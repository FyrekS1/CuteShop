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Отчет - цены и скидки на товары"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4">
    <fill>
      <patternFill patternType="none"/>
    </fill>
    <fill>
      <patternFill patternType="gray125"/>
    </fill>
    <fill>
      <patternFill patternType="solid">
        <fgColor rgb="FFEEFDEB"/>
      </patternFill>
    </fill>
    <fill>
      <patternFill patternType="solid">
        <fgColor rgb="FFFCFDEB"/>
      </patternFill>
    </fill>
  </fills>
  <borders count="2">
    <border>
      <left/>
      <right/>
      <top/>
      <bottom/>
      <diagonal/>
    </border>
    <border>
      <left style="thin">
        <color rgb="FFBBBBBB"/>
      </left>
      <right style="thin">
        <color rgb="FFBBBBBB"/>
      </right>
      <top style="thin">
        <color rgb="FFBBBBBB"/>
      </top>
      <bottom style="thin">
        <color rgb="FFBBBBBB"/>
      </bottom>
      <diagonal/>
    </border>
  </borders>
  <cellStyleXfs count="1">
    <xf numFmtId="0" fontId="0" fillId="0" borderId="0"/>
  </cellStyleXfs>
  <cellXfs count="8">
    <xf numFmtId="0" fontId="0" fillId="0" borderId="0" xfId="0"/>
    <xf numFmtId="0" fontId="1" fillId="0" borderId="1" xfId="0" applyFont="true" applyBorder="true" applyAlignment="true">
      <alignment horizontal="left" vertical="top" wrapText="true"/>
    </xf>
    <xf numFmtId="0" fontId="0" fillId="0" borderId="1" xfId="0" applyBorder="true" applyAlignment="true">
      <alignment horizontal="left"/>
    </xf>
    <xf numFmtId="0" fontId="1" fillId="2" borderId="1" xfId="0" applyFont="true" applyFill="true" applyBorder="true" applyAlignment="true">
      <alignment horizontal="left" vertical="top"/>
    </xf>
    <xf numFmtId="0" fontId="0" fillId="2" borderId="1" xfId="0" applyFill="true" applyBorder="true" applyAlignment="true">
      <alignment horizontal="left"/>
    </xf>
    <xf numFmtId="0" fontId="1" fillId="3" borderId="1" xfId="0" applyFont="true" applyFill="true" applyBorder="true" applyAlignment="true">
      <alignment horizontal="left" vertical="top"/>
    </xf>
    <xf numFmtId="0" fontId="0" fillId="3" borderId="1" xfId="0" applyFill="true" applyBorder="true" applyAlignment="true">
      <alignment horizontal="left"/>
    </xf>
    <xf numFmtId="0" fontId="0" fillId="0" borderId="1" xfId="0" applyBorder="true" applyAlignment="true">
      <alignment vertical="top" wrapText="true"/>
    </xf>
  </cellXfs>
  <cellStyles count="1">
    <cellStyle name="Normal" xfId="0" builtinId="0"/>
  </cellStyles>
  <dxfs count="3">
    <dxf/>
    <dxf>
      <font>
        <sz val="11"/>
        <color rgb="FFCD0003"/>
        <name val="Calibri"/>
        <family val="2"/>
      </font>
      <fill>
        <patternFill patternType="solid">
          <bgColor rgb="FFF6C5C6"/>
        </patternFill>
      </fill>
    </dxf>
    <dxf>
      <font>
        <sz val="11"/>
        <color rgb="FF000000"/>
        <name val="Calibri"/>
        <family val="2"/>
      </font>
      <fill>
        <patternFill patternType="solid">
          <bgColor rgb="FFFDEE98"/>
        </patternFill>
      </fill>
    </dxf>
  </dxfs>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1" width="15.833333333333334" customWidth="1"/>
    <col min="2" max="2" width="15.833333333333334" customWidth="1"/>
    <col min="3" max="3" width="15.833333333333334" customWidth="1"/>
    <col min="4" max="4" width="20" customWidth="1"/>
    <col min="5" max="5" width="20" customWidth="1"/>
    <col min="6" max="6" width="15.833333333333334" customWidth="1"/>
    <col min="7" max="7" width="20" customWidth="1"/>
    <col min="8" max="8" width="18.333333333333332" customWidth="1"/>
    <col min="9" max="9" width="18.333333333333332" customWidth="1"/>
    <col min="10" max="10" width="18.333333333333332" customWidth="1"/>
    <col min="11" max="11" width="18.333333333333332" customWidth="1"/>
    <col min="12" max="12" width="18.333333333333332" customWidth="1"/>
    <col min="13" max="13" width="20" customWidth="1"/>
    <col min="14" max="14" width="39.166666666666664" customWidth="1"/>
  </cols>
  <sheetData>
    <row r="1">
      <c r="A1" s="1" t="inlineStr">
        <is>
          <t>Бренд</t>
        </is>
      </c>
      <c r="B1" s="1" t="inlineStr">
        <is>
          <t>Категория</t>
        </is>
      </c>
      <c r="C1" s="1" t="inlineStr">
        <is>
          <t>Артикул WB</t>
        </is>
      </c>
      <c r="D1" s="1" t="inlineStr">
        <is>
          <t>Артикул продавца</t>
        </is>
      </c>
      <c r="E1" s="1" t="inlineStr">
        <is>
          <t>Последний баркод</t>
        </is>
      </c>
      <c r="F1" s="1" t="inlineStr">
        <is>
          <t>Остатки WB</t>
        </is>
      </c>
      <c r="G1" s="1" t="inlineStr">
        <is>
          <t>Остатки продавца</t>
        </is>
      </c>
      <c r="H1" s="1" t="inlineStr">
        <is>
          <t>Оборачиваемость</t>
        </is>
      </c>
      <c r="I1" s="1" t="inlineStr">
        <is>
          <t>Текущая цена</t>
        </is>
      </c>
      <c r="J1" s="3" t="inlineStr">
        <is>
          <t>Новая цена</t>
        </is>
      </c>
      <c r="K1" s="1" t="inlineStr">
        <is>
          <t>Текущая скидка</t>
        </is>
      </c>
      <c r="L1" s="5" t="inlineStr">
        <is>
          <t>Новая скидка</t>
        </is>
      </c>
      <c r="M1" s="1" t="inlineStr">
        <is>
          <t>Цена со скидкой</t>
        </is>
      </c>
      <c r="N1" s="1" t="inlineStr">
        <is>
          <t>Наличие ошибки</t>
        </is>
      </c>
    </row>
    <row r="2">
      <c r="A2" s="2" t="inlineStr">
        <is>
          <t/>
        </is>
      </c>
      <c r="B2" s="2" t="inlineStr">
        <is>
          <t>Аксессуары для бижутерии</t>
        </is>
      </c>
      <c r="C2" s="2">
        <v>184284061</v>
      </c>
      <c r="D2" s="2" t="inlineStr">
        <is>
          <t>conn-mes-gold-5</t>
        </is>
      </c>
      <c r="E2" s="2" t="inlineStr">
        <is>
          <t>2038848853067</t>
        </is>
      </c>
      <c r="F2" s="2">
        <v>0</v>
      </c>
      <c r="G2" s="2">
        <v>0</v>
      </c>
      <c r="H2" s="2">
        <v>1</v>
      </c>
      <c r="I2" s="2" t="inlineStr">
        <is>
          <t>440</t>
        </is>
      </c>
      <c r="J2" s="4"/>
      <c r="K2" s="2">
        <v>0</v>
      </c>
      <c r="L2" s="6"/>
      <c r="M2" s="2" t="str">
        <f>IF(J2="",ROUND(I2*(1-IF(ISBLANK(L2),K2,L2)/100),2),ROUND(J2*(1-IF(ISBLANK(L2),K2,L2)/100),2))</f>
      </c>
      <c r="N2" s="7" t="str">
        <f>IF(NOT(AND(J2="",L2="")),IF(OR(AND(L2&lt;&gt;"",NOT(ISNUMBER(L2))),IFERROR(MOD(L2,1),1)&gt;0,AND(ISNUMBER(L2),OR(L2&lt;0,L2&gt;95))),"Введите целое число от 0 до 95",IF(OR(AND(J2&lt;&gt;"",NOT(ISNUMBER(J2))),IFERROR(MOD(J2,1),1)&gt;0,AND(ISNUMBER(J2),OR(J2&lt;50,J2&gt;20000000))),"Введите целое число от 50 до 20000000",IF(NOT(ABS(IFERROR(VALUE(LEFT(M2,FIND("-",M2)-1)),M2)*100-(5000+2000000000)/2)&lt;=ABS(5000-2000000000)/2),"Цена со скидкой должна быть от 50 до 20000000",IF(IFERROR(VALUE(LEFT(M2,FIND("-",M2)-1)),M2)*220&lt;44000,"Вы уменьшили цену в несколько раз, товар попадет в карантин цен","")))),"")</f>
      </c>
    </row>
    <row r="3">
      <c r="A3" s="2" t="inlineStr">
        <is>
          <t>CuteShop</t>
        </is>
      </c>
      <c r="B3" s="2" t="inlineStr">
        <is>
          <t>Аксессуары для бижутерии</t>
        </is>
      </c>
      <c r="C3" s="2">
        <v>225218365</v>
      </c>
      <c r="D3" s="2" t="inlineStr">
        <is>
          <t>Bale-Zol-8*11-25</t>
        </is>
      </c>
      <c r="E3" s="2" t="inlineStr">
        <is>
          <t>2039854562707</t>
        </is>
      </c>
      <c r="F3" s="2">
        <v>0</v>
      </c>
      <c r="G3" s="2">
        <v>0</v>
      </c>
      <c r="H3" s="2" t="inlineStr">
        <is>
          <t/>
        </is>
      </c>
      <c r="I3" s="2" t="inlineStr">
        <is>
          <t>300</t>
        </is>
      </c>
      <c r="J3" s="4"/>
      <c r="K3" s="2">
        <v>0</v>
      </c>
      <c r="L3" s="6"/>
      <c r="M3" s="2" t="str">
        <f>IF(J3="",ROUND(I3*(1-IF(ISBLANK(L3),K3,L3)/100),2),ROUND(J3*(1-IF(ISBLANK(L3),K3,L3)/100),2))</f>
      </c>
      <c r="N3" s="7" t="str">
        <f>IF(NOT(AND(J3="",L3="")),IF(OR(AND(L3&lt;&gt;"",NOT(ISNUMBER(L3))),IFERROR(MOD(L3,1),1)&gt;0,AND(ISNUMBER(L3),OR(L3&lt;0,L3&gt;95))),"Введите целое число от 0 до 95",IF(OR(AND(J3&lt;&gt;"",NOT(ISNUMBER(J3))),IFERROR(MOD(J3,1),1)&gt;0,AND(ISNUMBER(J3),OR(J3&lt;50,J3&gt;20000000))),"Введите целое число от 50 до 20000000",IF(NOT(ABS(IFERROR(VALUE(LEFT(M3,FIND("-",M3)-1)),M3)*100-(5000+2000000000)/2)&lt;=ABS(5000-2000000000)/2),"Цена со скидкой должна быть от 50 до 20000000",IF(IFERROR(VALUE(LEFT(M3,FIND("-",M3)-1)),M3)*220&lt;30000,"Вы уменьшили цену в несколько раз, товар попадет в карантин цен","")))),"")</f>
      </c>
    </row>
    <row r="4">
      <c r="A4" s="2" t="inlineStr">
        <is>
          <t/>
        </is>
      </c>
      <c r="B4" s="2" t="inlineStr">
        <is>
          <t>Аксессуары для бижутерии</t>
        </is>
      </c>
      <c r="C4" s="2">
        <v>184284059</v>
      </c>
      <c r="D4" s="2" t="inlineStr">
        <is>
          <t>conn-allah-silver-5</t>
        </is>
      </c>
      <c r="E4" s="2" t="inlineStr">
        <is>
          <t>2038848805721</t>
        </is>
      </c>
      <c r="F4" s="2">
        <v>0</v>
      </c>
      <c r="G4" s="2">
        <v>0</v>
      </c>
      <c r="H4" s="2" t="inlineStr">
        <is>
          <t/>
        </is>
      </c>
      <c r="I4" s="2" t="inlineStr">
        <is>
          <t>440</t>
        </is>
      </c>
      <c r="J4" s="4"/>
      <c r="K4" s="2">
        <v>0</v>
      </c>
      <c r="L4" s="6"/>
      <c r="M4" s="2" t="str">
        <f>IF(J4="",ROUND(I4*(1-IF(ISBLANK(L4),K4,L4)/100),2),ROUND(J4*(1-IF(ISBLANK(L4),K4,L4)/100),2))</f>
      </c>
      <c r="N4" s="7" t="str">
        <f>IF(NOT(AND(J4="",L4="")),IF(OR(AND(L4&lt;&gt;"",NOT(ISNUMBER(L4))),IFERROR(MOD(L4,1),1)&gt;0,AND(ISNUMBER(L4),OR(L4&lt;0,L4&gt;95))),"Введите целое число от 0 до 95",IF(OR(AND(J4&lt;&gt;"",NOT(ISNUMBER(J4))),IFERROR(MOD(J4,1),1)&gt;0,AND(ISNUMBER(J4),OR(J4&lt;50,J4&gt;20000000))),"Введите целое число от 50 до 20000000",IF(NOT(ABS(IFERROR(VALUE(LEFT(M4,FIND("-",M4)-1)),M4)*100-(5000+2000000000)/2)&lt;=ABS(5000-2000000000)/2),"Цена со скидкой должна быть от 50 до 20000000",IF(IFERROR(VALUE(LEFT(M4,FIND("-",M4)-1)),M4)*220&lt;44000,"Вы уменьшили цену в несколько раз, товар попадет в карантин цен","")))),"")</f>
      </c>
    </row>
    <row r="5">
      <c r="A5" s="2" t="inlineStr">
        <is>
          <t>CuteShop</t>
        </is>
      </c>
      <c r="B5" s="2" t="inlineStr">
        <is>
          <t>Подвески бижутерные</t>
        </is>
      </c>
      <c r="C5" s="2">
        <v>273687273</v>
      </c>
      <c r="D5" s="2" t="inlineStr">
        <is>
          <t>Podv-NY3-20</t>
        </is>
      </c>
      <c r="E5" s="2" t="inlineStr">
        <is>
          <t>2041536100107</t>
        </is>
      </c>
      <c r="F5" s="2">
        <v>0</v>
      </c>
      <c r="G5" s="2">
        <v>0</v>
      </c>
      <c r="H5" s="2">
        <v>1</v>
      </c>
      <c r="I5" s="2" t="inlineStr">
        <is>
          <t>320</t>
        </is>
      </c>
      <c r="J5" s="4"/>
      <c r="K5" s="2">
        <v>0</v>
      </c>
      <c r="L5" s="6"/>
      <c r="M5" s="2" t="str">
        <f>IF(J5="",ROUND(I5*(1-IF(ISBLANK(L5),K5,L5)/100),2),ROUND(J5*(1-IF(ISBLANK(L5),K5,L5)/100),2))</f>
      </c>
      <c r="N5" s="7" t="str">
        <f>IF(NOT(AND(J5="",L5="")),IF(OR(AND(L5&lt;&gt;"",NOT(ISNUMBER(L5))),IFERROR(MOD(L5,1),1)&gt;0,AND(ISNUMBER(L5),OR(L5&lt;0,L5&gt;95))),"Введите целое число от 0 до 95",IF(OR(AND(J5&lt;&gt;"",NOT(ISNUMBER(J5))),IFERROR(MOD(J5,1),1)&gt;0,AND(ISNUMBER(J5),OR(J5&lt;50,J5&gt;20000000))),"Введите целое число от 50 до 20000000",IF(NOT(ABS(IFERROR(VALUE(LEFT(M5,FIND("-",M5)-1)),M5)*100-(5000+2000000000)/2)&lt;=ABS(5000-2000000000)/2),"Цена со скидкой должна быть от 50 до 20000000",IF(IFERROR(VALUE(LEFT(M5,FIND("-",M5)-1)),M5)*220&lt;32000,"Вы уменьшили цену в несколько раз, товар попадет в карантин цен","")))),"")</f>
      </c>
    </row>
    <row r="6">
      <c r="A6" s="2" t="inlineStr">
        <is>
          <t>CuteShop</t>
        </is>
      </c>
      <c r="B6" s="2" t="inlineStr">
        <is>
          <t>Аксессуары для бижутерии</t>
        </is>
      </c>
      <c r="C6" s="2">
        <v>225221212</v>
      </c>
      <c r="D6" s="2" t="inlineStr">
        <is>
          <t>Bus-Serd-Metal-26</t>
        </is>
      </c>
      <c r="E6" s="2" t="inlineStr">
        <is>
          <t>2039854640542</t>
        </is>
      </c>
      <c r="F6" s="2">
        <v>0</v>
      </c>
      <c r="G6" s="2">
        <v>0</v>
      </c>
      <c r="H6" s="2" t="inlineStr">
        <is>
          <t/>
        </is>
      </c>
      <c r="I6" s="2" t="inlineStr">
        <is>
          <t>300</t>
        </is>
      </c>
      <c r="J6" s="4"/>
      <c r="K6" s="2">
        <v>10</v>
      </c>
      <c r="L6" s="6"/>
      <c r="M6" s="2" t="str">
        <f>IF(J6="",ROUND(I6*(1-IF(ISBLANK(L6),K6,L6)/100),2),ROUND(J6*(1-IF(ISBLANK(L6),K6,L6)/100),2))</f>
      </c>
      <c r="N6" s="7" t="str">
        <f>IF(NOT(AND(J6="",L6="")),IF(OR(AND(L6&lt;&gt;"",NOT(ISNUMBER(L6))),IFERROR(MOD(L6,1),1)&gt;0,AND(ISNUMBER(L6),OR(L6&lt;0,L6&gt;95))),"Введите целое число от 0 до 95",IF(OR(AND(J6&lt;&gt;"",NOT(ISNUMBER(J6))),IFERROR(MOD(J6,1),1)&gt;0,AND(ISNUMBER(J6),OR(J6&lt;50,J6&gt;20000000))),"Введите целое число от 50 до 20000000",IF(NOT(ABS(IFERROR(VALUE(LEFT(M6,FIND("-",M6)-1)),M6)*100-(5000+2000000000)/2)&lt;=ABS(5000-2000000000)/2),"Цена со скидкой должна быть от 50 до 20000000",IF(IFERROR(VALUE(LEFT(M6,FIND("-",M6)-1)),M6)*220&lt;27000,"Вы уменьшили цену в несколько раз, товар попадет в карантин цен","")))),"")</f>
      </c>
    </row>
    <row r="7">
      <c r="A7" s="2" t="inlineStr">
        <is>
          <t>CuteShop</t>
        </is>
      </c>
      <c r="B7" s="2" t="inlineStr">
        <is>
          <t>Аксессуары для бижутерии</t>
        </is>
      </c>
      <c r="C7" s="2">
        <v>225220196</v>
      </c>
      <c r="D7" s="2" t="inlineStr">
        <is>
          <t>Bale-Ser-7*10-20</t>
        </is>
      </c>
      <c r="E7" s="2" t="inlineStr">
        <is>
          <t>2039854624771</t>
        </is>
      </c>
      <c r="F7" s="2">
        <v>0</v>
      </c>
      <c r="G7" s="2">
        <v>0</v>
      </c>
      <c r="H7" s="2" t="inlineStr">
        <is>
          <t/>
        </is>
      </c>
      <c r="I7" s="2" t="inlineStr">
        <is>
          <t>300</t>
        </is>
      </c>
      <c r="J7" s="4"/>
      <c r="K7" s="2">
        <v>0</v>
      </c>
      <c r="L7" s="6"/>
      <c r="M7" s="2" t="str">
        <f>IF(J7="",ROUND(I7*(1-IF(ISBLANK(L7),K7,L7)/100),2),ROUND(J7*(1-IF(ISBLANK(L7),K7,L7)/100),2))</f>
      </c>
      <c r="N7" s="7" t="str">
        <f>IF(NOT(AND(J7="",L7="")),IF(OR(AND(L7&lt;&gt;"",NOT(ISNUMBER(L7))),IFERROR(MOD(L7,1),1)&gt;0,AND(ISNUMBER(L7),OR(L7&lt;0,L7&gt;95))),"Введите целое число от 0 до 95",IF(OR(AND(J7&lt;&gt;"",NOT(ISNUMBER(J7))),IFERROR(MOD(J7,1),1)&gt;0,AND(ISNUMBER(J7),OR(J7&lt;50,J7&gt;20000000))),"Введите целое число от 50 до 20000000",IF(NOT(ABS(IFERROR(VALUE(LEFT(M7,FIND("-",M7)-1)),M7)*100-(5000+2000000000)/2)&lt;=ABS(5000-2000000000)/2),"Цена со скидкой должна быть от 50 до 20000000",IF(IFERROR(VALUE(LEFT(M7,FIND("-",M7)-1)),M7)*220&lt;30000,"Вы уменьшили цену в несколько раз, товар попадет в карантин цен","")))),"")</f>
      </c>
    </row>
    <row r="8">
      <c r="A8" s="2" t="inlineStr">
        <is>
          <t>CuteShop</t>
        </is>
      </c>
      <c r="B8" s="2" t="inlineStr">
        <is>
          <t>Подвески бижутерные</t>
        </is>
      </c>
      <c r="C8" s="2">
        <v>273690065</v>
      </c>
      <c r="D8" s="2" t="inlineStr">
        <is>
          <t>Podv-NY5-16</t>
        </is>
      </c>
      <c r="E8" s="2" t="inlineStr">
        <is>
          <t>2041536122000</t>
        </is>
      </c>
      <c r="F8" s="2">
        <v>0</v>
      </c>
      <c r="G8" s="2">
        <v>0</v>
      </c>
      <c r="H8" s="2" t="inlineStr">
        <is>
          <t/>
        </is>
      </c>
      <c r="I8" s="2" t="inlineStr">
        <is>
          <t>310</t>
        </is>
      </c>
      <c r="J8" s="4"/>
      <c r="K8" s="2">
        <v>0</v>
      </c>
      <c r="L8" s="6"/>
      <c r="M8" s="2" t="str">
        <f>IF(J8="",ROUND(I8*(1-IF(ISBLANK(L8),K8,L8)/100),2),ROUND(J8*(1-IF(ISBLANK(L8),K8,L8)/100),2))</f>
      </c>
      <c r="N8" s="7" t="str">
        <f>IF(NOT(AND(J8="",L8="")),IF(OR(AND(L8&lt;&gt;"",NOT(ISNUMBER(L8))),IFERROR(MOD(L8,1),1)&gt;0,AND(ISNUMBER(L8),OR(L8&lt;0,L8&gt;95))),"Введите целое число от 0 до 95",IF(OR(AND(J8&lt;&gt;"",NOT(ISNUMBER(J8))),IFERROR(MOD(J8,1),1)&gt;0,AND(ISNUMBER(J8),OR(J8&lt;50,J8&gt;20000000))),"Введите целое число от 50 до 20000000",IF(NOT(ABS(IFERROR(VALUE(LEFT(M8,FIND("-",M8)-1)),M8)*100-(5000+2000000000)/2)&lt;=ABS(5000-2000000000)/2),"Цена со скидкой должна быть от 50 до 20000000",IF(IFERROR(VALUE(LEFT(M8,FIND("-",M8)-1)),M8)*220&lt;31000,"Вы уменьшили цену в несколько раз, товар попадет в карантин цен","")))),"")</f>
      </c>
    </row>
    <row r="9">
      <c r="A9" s="2" t="inlineStr">
        <is>
          <t/>
        </is>
      </c>
      <c r="B9" s="2" t="inlineStr">
        <is>
          <t>Аксессуары для бижутерии</t>
        </is>
      </c>
      <c r="C9" s="2">
        <v>184284065</v>
      </c>
      <c r="D9" s="2" t="inlineStr">
        <is>
          <t>conn-mesmal-silver-5</t>
        </is>
      </c>
      <c r="E9" s="2" t="inlineStr">
        <is>
          <t>2038848868719</t>
        </is>
      </c>
      <c r="F9" s="2">
        <v>0</v>
      </c>
      <c r="G9" s="2">
        <v>0</v>
      </c>
      <c r="H9" s="2">
        <v>1</v>
      </c>
      <c r="I9" s="2" t="inlineStr">
        <is>
          <t>420</t>
        </is>
      </c>
      <c r="J9" s="4"/>
      <c r="K9" s="2">
        <v>0</v>
      </c>
      <c r="L9" s="6"/>
      <c r="M9" s="2" t="str">
        <f>IF(J9="",ROUND(I9*(1-IF(ISBLANK(L9),K9,L9)/100),2),ROUND(J9*(1-IF(ISBLANK(L9),K9,L9)/100),2))</f>
      </c>
      <c r="N9" s="7" t="str">
        <f>IF(NOT(AND(J9="",L9="")),IF(OR(AND(L9&lt;&gt;"",NOT(ISNUMBER(L9))),IFERROR(MOD(L9,1),1)&gt;0,AND(ISNUMBER(L9),OR(L9&lt;0,L9&gt;95))),"Введите целое число от 0 до 95",IF(OR(AND(J9&lt;&gt;"",NOT(ISNUMBER(J9))),IFERROR(MOD(J9,1),1)&gt;0,AND(ISNUMBER(J9),OR(J9&lt;50,J9&gt;20000000))),"Введите целое число от 50 до 20000000",IF(NOT(ABS(IFERROR(VALUE(LEFT(M9,FIND("-",M9)-1)),M9)*100-(5000+2000000000)/2)&lt;=ABS(5000-2000000000)/2),"Цена со скидкой должна быть от 50 до 20000000",IF(IFERROR(VALUE(LEFT(M9,FIND("-",M9)-1)),M9)*220&lt;42000,"Вы уменьшили цену в несколько раз, товар попадет в карантин цен","")))),"")</f>
      </c>
    </row>
    <row r="10">
      <c r="A10" s="2" t="inlineStr">
        <is>
          <t>CuteShop</t>
        </is>
      </c>
      <c r="B10" s="2" t="inlineStr">
        <is>
          <t>Брелоки</t>
        </is>
      </c>
      <c r="C10" s="2">
        <v>125961550</v>
      </c>
      <c r="D10" s="2" t="inlineStr">
        <is>
          <t>BrelRed</t>
        </is>
      </c>
      <c r="E10" s="2" t="inlineStr">
        <is>
          <t>2037001477621</t>
        </is>
      </c>
      <c r="F10" s="2">
        <v>0</v>
      </c>
      <c r="G10" s="2">
        <v>0</v>
      </c>
      <c r="H10" s="2" t="inlineStr">
        <is>
          <t/>
        </is>
      </c>
      <c r="I10" s="2" t="inlineStr">
        <is>
          <t>357</t>
        </is>
      </c>
      <c r="J10" s="4"/>
      <c r="K10" s="2">
        <v>0</v>
      </c>
      <c r="L10" s="6"/>
      <c r="M10" s="2" t="str">
        <f>IF(J10="",ROUND(I10*(1-IF(ISBLANK(L10),K10,L10)/100),2),ROUND(J10*(1-IF(ISBLANK(L10),K10,L10)/100),2))</f>
      </c>
      <c r="N10" s="7" t="str">
        <f>IF(NOT(AND(J10="",L10="")),IF(OR(AND(L10&lt;&gt;"",NOT(ISNUMBER(L10))),IFERROR(MOD(L10,1),1)&gt;0,AND(ISNUMBER(L10),OR(L10&lt;0,L10&gt;95))),"Введите целое число от 0 до 95",IF(OR(AND(J10&lt;&gt;"",NOT(ISNUMBER(J10))),IFERROR(MOD(J10,1),1)&gt;0,AND(ISNUMBER(J10),OR(J10&lt;50,J10&gt;20000000))),"Введите целое число от 50 до 20000000",IF(NOT(ABS(IFERROR(VALUE(LEFT(M10,FIND("-",M10)-1)),M10)*100-(5000+2000000000)/2)&lt;=ABS(5000-2000000000)/2),"Цена со скидкой должна быть от 50 до 20000000",IF(IFERROR(VALUE(LEFT(M10,FIND("-",M10)-1)),M10)*220&lt;35700,"Вы уменьшили цену в несколько раз, товар попадет в карантин цен","")))),"")</f>
      </c>
    </row>
    <row r="11">
      <c r="A11" s="2" t="inlineStr">
        <is>
          <t>CuteShop</t>
        </is>
      </c>
      <c r="B11" s="2" t="inlineStr">
        <is>
          <t>Подвески бижутерные</t>
        </is>
      </c>
      <c r="C11" s="2">
        <v>273688791</v>
      </c>
      <c r="D11" s="2" t="inlineStr">
        <is>
          <t>Podv-NY4-25</t>
        </is>
      </c>
      <c r="E11" s="2" t="inlineStr">
        <is>
          <t>2041536106383</t>
        </is>
      </c>
      <c r="F11" s="2">
        <v>0</v>
      </c>
      <c r="G11" s="2">
        <v>0</v>
      </c>
      <c r="H11" s="2" t="inlineStr">
        <is>
          <t/>
        </is>
      </c>
      <c r="I11" s="2" t="inlineStr">
        <is>
          <t>301</t>
        </is>
      </c>
      <c r="J11" s="4"/>
      <c r="K11" s="2">
        <v>0</v>
      </c>
      <c r="L11" s="6"/>
      <c r="M11" s="2" t="str">
        <f>IF(J11="",ROUND(I11*(1-IF(ISBLANK(L11),K11,L11)/100),2),ROUND(J11*(1-IF(ISBLANK(L11),K11,L11)/100),2))</f>
      </c>
      <c r="N11" s="7" t="str">
        <f>IF(NOT(AND(J11="",L11="")),IF(OR(AND(L11&lt;&gt;"",NOT(ISNUMBER(L11))),IFERROR(MOD(L11,1),1)&gt;0,AND(ISNUMBER(L11),OR(L11&lt;0,L11&gt;95))),"Введите целое число от 0 до 95",IF(OR(AND(J11&lt;&gt;"",NOT(ISNUMBER(J11))),IFERROR(MOD(J11,1),1)&gt;0,AND(ISNUMBER(J11),OR(J11&lt;50,J11&gt;20000000))),"Введите целое число от 50 до 20000000",IF(NOT(ABS(IFERROR(VALUE(LEFT(M11,FIND("-",M11)-1)),M11)*100-(5000+2000000000)/2)&lt;=ABS(5000-2000000000)/2),"Цена со скидкой должна быть от 50 до 20000000",IF(IFERROR(VALUE(LEFT(M11,FIND("-",M11)-1)),M11)*220&lt;30100,"Вы уменьшили цену в несколько раз, товар попадет в карантин цен","")))),"")</f>
      </c>
    </row>
    <row r="12">
      <c r="A12" s="2" t="inlineStr">
        <is>
          <t/>
        </is>
      </c>
      <c r="B12" s="2" t="inlineStr">
        <is>
          <t>Аксессуары для бижутерии</t>
        </is>
      </c>
      <c r="C12" s="2">
        <v>184284063</v>
      </c>
      <c r="D12" s="2" t="inlineStr">
        <is>
          <t>conn-mes-silver-5</t>
        </is>
      </c>
      <c r="E12" s="2" t="inlineStr">
        <is>
          <t>2038848862830</t>
        </is>
      </c>
      <c r="F12" s="2">
        <v>0</v>
      </c>
      <c r="G12" s="2">
        <v>0</v>
      </c>
      <c r="H12" s="2" t="inlineStr">
        <is>
          <t/>
        </is>
      </c>
      <c r="I12" s="2" t="inlineStr">
        <is>
          <t>440</t>
        </is>
      </c>
      <c r="J12" s="4"/>
      <c r="K12" s="2">
        <v>0</v>
      </c>
      <c r="L12" s="6"/>
      <c r="M12" s="2" t="str">
        <f>IF(J12="",ROUND(I12*(1-IF(ISBLANK(L12),K12,L12)/100),2),ROUND(J12*(1-IF(ISBLANK(L12),K12,L12)/100),2))</f>
      </c>
      <c r="N12" s="7" t="str">
        <f>IF(NOT(AND(J12="",L12="")),IF(OR(AND(L12&lt;&gt;"",NOT(ISNUMBER(L12))),IFERROR(MOD(L12,1),1)&gt;0,AND(ISNUMBER(L12),OR(L12&lt;0,L12&gt;95))),"Введите целое число от 0 до 95",IF(OR(AND(J12&lt;&gt;"",NOT(ISNUMBER(J12))),IFERROR(MOD(J12,1),1)&gt;0,AND(ISNUMBER(J12),OR(J12&lt;50,J12&gt;20000000))),"Введите целое число от 50 до 20000000",IF(NOT(ABS(IFERROR(VALUE(LEFT(M12,FIND("-",M12)-1)),M12)*100-(5000+2000000000)/2)&lt;=ABS(5000-2000000000)/2),"Цена со скидкой должна быть от 50 до 20000000",IF(IFERROR(VALUE(LEFT(M12,FIND("-",M12)-1)),M12)*220&lt;44000,"Вы уменьшили цену в несколько раз, товар попадет в карантин цен","")))),"")</f>
      </c>
    </row>
    <row r="13">
      <c r="A13" s="2" t="inlineStr">
        <is>
          <t/>
        </is>
      </c>
      <c r="B13" s="2" t="inlineStr">
        <is>
          <t>Аксессуары для бижутерии</t>
        </is>
      </c>
      <c r="C13" s="2">
        <v>184284068</v>
      </c>
      <c r="D13" s="2" t="inlineStr">
        <is>
          <t>conn-allahmal-silver-10</t>
        </is>
      </c>
      <c r="E13" s="2" t="inlineStr">
        <is>
          <t>2038848879258</t>
        </is>
      </c>
      <c r="F13" s="2">
        <v>0</v>
      </c>
      <c r="G13" s="2">
        <v>0</v>
      </c>
      <c r="H13" s="2" t="inlineStr">
        <is>
          <t/>
        </is>
      </c>
      <c r="I13" s="2" t="inlineStr">
        <is>
          <t>620</t>
        </is>
      </c>
      <c r="J13" s="4"/>
      <c r="K13" s="2">
        <v>0</v>
      </c>
      <c r="L13" s="6"/>
      <c r="M13" s="2" t="str">
        <f>IF(J13="",ROUND(I13*(1-IF(ISBLANK(L13),K13,L13)/100),2),ROUND(J13*(1-IF(ISBLANK(L13),K13,L13)/100),2))</f>
      </c>
      <c r="N13" s="7" t="str">
        <f>IF(NOT(AND(J13="",L13="")),IF(OR(AND(L13&lt;&gt;"",NOT(ISNUMBER(L13))),IFERROR(MOD(L13,1),1)&gt;0,AND(ISNUMBER(L13),OR(L13&lt;0,L13&gt;95))),"Введите целое число от 0 до 95",IF(OR(AND(J13&lt;&gt;"",NOT(ISNUMBER(J13))),IFERROR(MOD(J13,1),1)&gt;0,AND(ISNUMBER(J13),OR(J13&lt;50,J13&gt;20000000))),"Введите целое число от 50 до 20000000",IF(NOT(ABS(IFERROR(VALUE(LEFT(M13,FIND("-",M13)-1)),M13)*100-(5000+2000000000)/2)&lt;=ABS(5000-2000000000)/2),"Цена со скидкой должна быть от 50 до 20000000",IF(IFERROR(VALUE(LEFT(M13,FIND("-",M13)-1)),M13)*220&lt;62000,"Вы уменьшили цену в несколько раз, товар попадет в карантин цен","")))),"")</f>
      </c>
    </row>
    <row r="14">
      <c r="A14" s="2" t="inlineStr">
        <is>
          <t>CuteShop</t>
        </is>
      </c>
      <c r="B14" s="2" t="inlineStr">
        <is>
          <t>Брелоки</t>
        </is>
      </c>
      <c r="C14" s="2">
        <v>125961548</v>
      </c>
      <c r="D14" s="2" t="inlineStr">
        <is>
          <t>BrelBlue</t>
        </is>
      </c>
      <c r="E14" s="2" t="inlineStr">
        <is>
          <t>2037001476327</t>
        </is>
      </c>
      <c r="F14" s="2">
        <v>0</v>
      </c>
      <c r="G14" s="2">
        <v>0</v>
      </c>
      <c r="H14" s="2" t="inlineStr">
        <is>
          <t/>
        </is>
      </c>
      <c r="I14" s="2" t="inlineStr">
        <is>
          <t>357</t>
        </is>
      </c>
      <c r="J14" s="4"/>
      <c r="K14" s="2">
        <v>0</v>
      </c>
      <c r="L14" s="6"/>
      <c r="M14" s="2" t="str">
        <f>IF(J14="",ROUND(I14*(1-IF(ISBLANK(L14),K14,L14)/100),2),ROUND(J14*(1-IF(ISBLANK(L14),K14,L14)/100),2))</f>
      </c>
      <c r="N14" s="7" t="str">
        <f>IF(NOT(AND(J14="",L14="")),IF(OR(AND(L14&lt;&gt;"",NOT(ISNUMBER(L14))),IFERROR(MOD(L14,1),1)&gt;0,AND(ISNUMBER(L14),OR(L14&lt;0,L14&gt;95))),"Введите целое число от 0 до 95",IF(OR(AND(J14&lt;&gt;"",NOT(ISNUMBER(J14))),IFERROR(MOD(J14,1),1)&gt;0,AND(ISNUMBER(J14),OR(J14&lt;50,J14&gt;20000000))),"Введите целое число от 50 до 20000000",IF(NOT(ABS(IFERROR(VALUE(LEFT(M14,FIND("-",M14)-1)),M14)*100-(5000+2000000000)/2)&lt;=ABS(5000-2000000000)/2),"Цена со скидкой должна быть от 50 до 20000000",IF(IFERROR(VALUE(LEFT(M14,FIND("-",M14)-1)),M14)*220&lt;35700,"Вы уменьшили цену в несколько раз, товар попадет в карантин цен","")))),"")</f>
      </c>
    </row>
    <row r="15">
      <c r="A15" s="2" t="inlineStr">
        <is>
          <t>SANGSIN</t>
        </is>
      </c>
      <c r="B15" s="2" t="inlineStr">
        <is>
          <t>Колодки тормозные</t>
        </is>
      </c>
      <c r="C15" s="2">
        <v>139796625</v>
      </c>
      <c r="D15" s="2" t="inlineStr">
        <is>
          <t>RIR-SP1851</t>
        </is>
      </c>
      <c r="E15" s="2" t="inlineStr">
        <is>
          <t>2037282401476</t>
        </is>
      </c>
      <c r="F15" s="2">
        <v>0</v>
      </c>
      <c r="G15" s="2">
        <v>0</v>
      </c>
      <c r="H15" s="2">
        <v>0</v>
      </c>
      <c r="I15" s="2" t="inlineStr">
        <is>
          <t>1970</t>
        </is>
      </c>
      <c r="J15" s="4"/>
      <c r="K15" s="2">
        <v>0</v>
      </c>
      <c r="L15" s="6"/>
      <c r="M15" s="2" t="str">
        <f>IF(J15="",ROUND(I15*(1-IF(ISBLANK(L15),K15,L15)/100),2),ROUND(J15*(1-IF(ISBLANK(L15),K15,L15)/100),2))</f>
      </c>
      <c r="N15" s="7" t="str">
        <f>IF(NOT(AND(J15="",L15="")),IF(OR(AND(L15&lt;&gt;"",NOT(ISNUMBER(L15))),IFERROR(MOD(L15,1),1)&gt;0,AND(ISNUMBER(L15),OR(L15&lt;0,L15&gt;95))),"Введите целое число от 0 до 95",IF(OR(AND(J15&lt;&gt;"",NOT(ISNUMBER(J15))),IFERROR(MOD(J15,1),1)&gt;0,AND(ISNUMBER(J15),OR(J15&lt;50,J15&gt;20000000))),"Введите целое число от 50 до 20000000",IF(NOT(ABS(IFERROR(VALUE(LEFT(M15,FIND("-",M15)-1)),M15)*100-(5000+2000000000)/2)&lt;=ABS(5000-2000000000)/2),"Цена со скидкой должна быть от 50 до 20000000",IF(IFERROR(VALUE(LEFT(M15,FIND("-",M15)-1)),M15)*160&lt;197000,"Вы уменьшили цену в несколько раз, товар попадет в карантин цен","")))),"")</f>
      </c>
    </row>
    <row r="16">
      <c r="A16" s="2" t="inlineStr">
        <is>
          <t/>
        </is>
      </c>
      <c r="B16" s="2" t="inlineStr">
        <is>
          <t>Подарочные коробки</t>
        </is>
      </c>
      <c r="C16" s="2">
        <v>135230154</v>
      </c>
      <c r="D16" s="2" t="inlineStr">
        <is>
          <t>PVCBel-12-12x5</t>
        </is>
      </c>
      <c r="E16" s="2" t="inlineStr">
        <is>
          <t>2037101119803</t>
        </is>
      </c>
      <c r="F16" s="2">
        <v>0</v>
      </c>
      <c r="G16" s="2">
        <v>0</v>
      </c>
      <c r="H16" s="2">
        <v>0</v>
      </c>
      <c r="I16" s="2" t="inlineStr">
        <is>
          <t>360</t>
        </is>
      </c>
      <c r="J16" s="4"/>
      <c r="K16" s="2">
        <v>0</v>
      </c>
      <c r="L16" s="6"/>
      <c r="M16" s="2" t="str">
        <f>IF(J16="",ROUND(I16*(1-IF(ISBLANK(L16),K16,L16)/100),2),ROUND(J16*(1-IF(ISBLANK(L16),K16,L16)/100),2))</f>
      </c>
      <c r="N16" s="7" t="str">
        <f>IF(NOT(AND(J16="",L16="")),IF(OR(AND(L16&lt;&gt;"",NOT(ISNUMBER(L16))),IFERROR(MOD(L16,1),1)&gt;0,AND(ISNUMBER(L16),OR(L16&lt;0,L16&gt;95))),"Введите целое число от 0 до 95",IF(OR(AND(J16&lt;&gt;"",NOT(ISNUMBER(J16))),IFERROR(MOD(J16,1),1)&gt;0,AND(ISNUMBER(J16),OR(J16&lt;50,J16&gt;20000000))),"Введите целое число от 50 до 20000000",IF(NOT(ABS(IFERROR(VALUE(LEFT(M16,FIND("-",M16)-1)),M16)*100-(5000+2000000000)/2)&lt;=ABS(5000-2000000000)/2),"Цена со скидкой должна быть от 50 до 20000000",IF(IFERROR(VALUE(LEFT(M16,FIND("-",M16)-1)),M16)*180&lt;36000,"Вы уменьшили цену в несколько раз, товар попадет в карантин цен","")))),"")</f>
      </c>
    </row>
    <row r="17">
      <c r="A17" s="2" t="inlineStr">
        <is>
          <t/>
        </is>
      </c>
      <c r="B17" s="2" t="inlineStr">
        <is>
          <t>Подарочные коробки</t>
        </is>
      </c>
      <c r="C17" s="2">
        <v>135284681</v>
      </c>
      <c r="D17" s="2" t="inlineStr">
        <is>
          <t>PVCKraft-18-18x10</t>
        </is>
      </c>
      <c r="E17" s="2" t="inlineStr">
        <is>
          <t>2037101440464</t>
        </is>
      </c>
      <c r="F17" s="2">
        <v>0</v>
      </c>
      <c r="G17" s="2">
        <v>0</v>
      </c>
      <c r="H17" s="2">
        <v>0</v>
      </c>
      <c r="I17" s="2" t="inlineStr">
        <is>
          <t>570</t>
        </is>
      </c>
      <c r="J17" s="4"/>
      <c r="K17" s="2">
        <v>0</v>
      </c>
      <c r="L17" s="6"/>
      <c r="M17" s="2" t="str">
        <f>IF(J17="",ROUND(I17*(1-IF(ISBLANK(L17),K17,L17)/100),2),ROUND(J17*(1-IF(ISBLANK(L17),K17,L17)/100),2))</f>
      </c>
      <c r="N17" s="7" t="str">
        <f>IF(NOT(AND(J17="",L17="")),IF(OR(AND(L17&lt;&gt;"",NOT(ISNUMBER(L17))),IFERROR(MOD(L17,1),1)&gt;0,AND(ISNUMBER(L17),OR(L17&lt;0,L17&gt;95))),"Введите целое число от 0 до 95",IF(OR(AND(J17&lt;&gt;"",NOT(ISNUMBER(J17))),IFERROR(MOD(J17,1),1)&gt;0,AND(ISNUMBER(J17),OR(J17&lt;50,J17&gt;20000000))),"Введите целое число от 50 до 20000000",IF(NOT(ABS(IFERROR(VALUE(LEFT(M17,FIND("-",M17)-1)),M17)*100-(5000+2000000000)/2)&lt;=ABS(5000-2000000000)/2),"Цена со скидкой должна быть от 50 до 20000000",IF(IFERROR(VALUE(LEFT(M17,FIND("-",M17)-1)),M17)*180&lt;57000,"Вы уменьшили цену в несколько раз, товар попадет в карантин цен","")))),"")</f>
      </c>
    </row>
    <row r="18">
      <c r="A18" s="2" t="inlineStr">
        <is>
          <t>CuteShop</t>
        </is>
      </c>
      <c r="B18" s="2" t="inlineStr">
        <is>
          <t>Подарочные пакеты</t>
        </is>
      </c>
      <c r="C18" s="2">
        <v>296203225</v>
      </c>
      <c r="D18" s="2" t="inlineStr">
        <is>
          <t>Paketik-LL-Snezh-10*10-50</t>
        </is>
      </c>
      <c r="E18" s="2" t="inlineStr">
        <is>
          <t>2042121919821</t>
        </is>
      </c>
      <c r="F18" s="2">
        <v>0</v>
      </c>
      <c r="G18" s="2">
        <v>0</v>
      </c>
      <c r="H18" s="2" t="inlineStr">
        <is>
          <t/>
        </is>
      </c>
      <c r="I18" s="2" t="inlineStr">
        <is>
          <t>330</t>
        </is>
      </c>
      <c r="J18" s="4"/>
      <c r="K18" s="2">
        <v>10</v>
      </c>
      <c r="L18" s="6"/>
      <c r="M18" s="2" t="str">
        <f>IF(J18="",ROUND(I18*(1-IF(ISBLANK(L18),K18,L18)/100),2),ROUND(J18*(1-IF(ISBLANK(L18),K18,L18)/100),2))</f>
      </c>
      <c r="N18" s="7" t="str">
        <f>IF(NOT(AND(J18="",L18="")),IF(OR(AND(L18&lt;&gt;"",NOT(ISNUMBER(L18))),IFERROR(MOD(L18,1),1)&gt;0,AND(ISNUMBER(L18),OR(L18&lt;0,L18&gt;95))),"Введите целое число от 0 до 95",IF(OR(AND(J18&lt;&gt;"",NOT(ISNUMBER(J18))),IFERROR(MOD(J18,1),1)&gt;0,AND(ISNUMBER(J18),OR(J18&lt;50,J18&gt;20000000))),"Введите целое число от 50 до 20000000",IF(NOT(ABS(IFERROR(VALUE(LEFT(M18,FIND("-",M18)-1)),M18)*100-(5000+2000000000)/2)&lt;=ABS(5000-2000000000)/2),"Цена со скидкой должна быть от 50 до 20000000",IF(IFERROR(VALUE(LEFT(M18,FIND("-",M18)-1)),M18)*180&lt;29700,"Вы уменьшили цену в несколько раз, товар попадет в карантин цен","")))),"")</f>
      </c>
    </row>
    <row r="19">
      <c r="A19" s="2" t="inlineStr">
        <is>
          <t>CuteShop</t>
        </is>
      </c>
      <c r="B19" s="2" t="inlineStr">
        <is>
          <t>Подарочные пакеты</t>
        </is>
      </c>
      <c r="C19" s="2">
        <v>139979153</v>
      </c>
      <c r="D19" s="2" t="inlineStr">
        <is>
          <t>Paketik-LL-EspBir-45</t>
        </is>
      </c>
      <c r="E19" s="2" t="inlineStr">
        <is>
          <t>2037287152601</t>
        </is>
      </c>
      <c r="F19" s="2">
        <v>0</v>
      </c>
      <c r="G19" s="2">
        <v>0</v>
      </c>
      <c r="H19" s="2" t="inlineStr">
        <is>
          <t/>
        </is>
      </c>
      <c r="I19" s="2" t="inlineStr">
        <is>
          <t>410</t>
        </is>
      </c>
      <c r="J19" s="4"/>
      <c r="K19" s="2">
        <v>10</v>
      </c>
      <c r="L19" s="6"/>
      <c r="M19" s="2" t="str">
        <f>IF(J19="",ROUND(I19*(1-IF(ISBLANK(L19),K19,L19)/100),2),ROUND(J19*(1-IF(ISBLANK(L19),K19,L19)/100),2))</f>
      </c>
      <c r="N19" s="7" t="str">
        <f>IF(NOT(AND(J19="",L19="")),IF(OR(AND(L19&lt;&gt;"",NOT(ISNUMBER(L19))),IFERROR(MOD(L19,1),1)&gt;0,AND(ISNUMBER(L19),OR(L19&lt;0,L19&gt;95))),"Введите целое число от 0 до 95",IF(OR(AND(J19&lt;&gt;"",NOT(ISNUMBER(J19))),IFERROR(MOD(J19,1),1)&gt;0,AND(ISNUMBER(J19),OR(J19&lt;50,J19&gt;20000000))),"Введите целое число от 50 до 20000000",IF(NOT(ABS(IFERROR(VALUE(LEFT(M19,FIND("-",M19)-1)),M19)*100-(5000+2000000000)/2)&lt;=ABS(5000-2000000000)/2),"Цена со скидкой должна быть от 50 до 20000000",IF(IFERROR(VALUE(LEFT(M19,FIND("-",M19)-1)),M19)*180&lt;36900,"Вы уменьшили цену в несколько раз, товар попадет в карантин цен","")))),"")</f>
      </c>
    </row>
    <row r="20">
      <c r="A20" s="2" t="inlineStr">
        <is>
          <t/>
        </is>
      </c>
      <c r="B20" s="2" t="inlineStr">
        <is>
          <t>Подарочные коробки</t>
        </is>
      </c>
      <c r="C20" s="2">
        <v>122642127</v>
      </c>
      <c r="D20" s="2" t="inlineStr">
        <is>
          <t>Fiol-10-8</t>
        </is>
      </c>
      <c r="E20" s="2" t="inlineStr">
        <is>
          <t>2036956756102</t>
        </is>
      </c>
      <c r="F20" s="2">
        <v>0</v>
      </c>
      <c r="G20" s="2">
        <v>0</v>
      </c>
      <c r="H20" s="2">
        <v>0</v>
      </c>
      <c r="I20" s="2" t="inlineStr">
        <is>
          <t>500</t>
        </is>
      </c>
      <c r="J20" s="4"/>
      <c r="K20" s="2">
        <v>0</v>
      </c>
      <c r="L20" s="6"/>
      <c r="M20" s="2" t="str">
        <f>IF(J20="",ROUND(I20*(1-IF(ISBLANK(L20),K20,L20)/100),2),ROUND(J20*(1-IF(ISBLANK(L20),K20,L20)/100),2))</f>
      </c>
      <c r="N20" s="7" t="str">
        <f>IF(NOT(AND(J20="",L20="")),IF(OR(AND(L20&lt;&gt;"",NOT(ISNUMBER(L20))),IFERROR(MOD(L20,1),1)&gt;0,AND(ISNUMBER(L20),OR(L20&lt;0,L20&gt;95))),"Введите целое число от 0 до 95",IF(OR(AND(J20&lt;&gt;"",NOT(ISNUMBER(J20))),IFERROR(MOD(J20,1),1)&gt;0,AND(ISNUMBER(J20),OR(J20&lt;50,J20&gt;20000000))),"Введите целое число от 50 до 20000000",IF(NOT(ABS(IFERROR(VALUE(LEFT(M20,FIND("-",M20)-1)),M20)*100-(5000+2000000000)/2)&lt;=ABS(5000-2000000000)/2),"Цена со скидкой должна быть от 50 до 20000000",IF(IFERROR(VALUE(LEFT(M20,FIND("-",M20)-1)),M20)*180&lt;50000,"Вы уменьшили цену в несколько раз, товар попадет в карантин цен","")))),"")</f>
      </c>
    </row>
    <row r="21">
      <c r="A21" s="2" t="inlineStr">
        <is>
          <t>CuteShop</t>
        </is>
      </c>
      <c r="B21" s="2" t="inlineStr">
        <is>
          <t>Подарочные коробки</t>
        </is>
      </c>
      <c r="C21" s="2">
        <v>139978403</v>
      </c>
      <c r="D21" s="2" t="inlineStr">
        <is>
          <t>Kor-20-20-Kraft-5</t>
        </is>
      </c>
      <c r="E21" s="2" t="inlineStr">
        <is>
          <t>2037287143005</t>
        </is>
      </c>
      <c r="F21" s="2">
        <v>0</v>
      </c>
      <c r="G21" s="2">
        <v>0</v>
      </c>
      <c r="H21" s="2">
        <v>0</v>
      </c>
      <c r="I21" s="2" t="inlineStr">
        <is>
          <t>370</t>
        </is>
      </c>
      <c r="J21" s="4"/>
      <c r="K21" s="2">
        <v>0</v>
      </c>
      <c r="L21" s="6"/>
      <c r="M21" s="2" t="str">
        <f>IF(J21="",ROUND(I21*(1-IF(ISBLANK(L21),K21,L21)/100),2),ROUND(J21*(1-IF(ISBLANK(L21),K21,L21)/100),2))</f>
      </c>
      <c r="N21" s="7" t="str">
        <f>IF(NOT(AND(J21="",L21="")),IF(OR(AND(L21&lt;&gt;"",NOT(ISNUMBER(L21))),IFERROR(MOD(L21,1),1)&gt;0,AND(ISNUMBER(L21),OR(L21&lt;0,L21&gt;95))),"Введите целое число от 0 до 95",IF(OR(AND(J21&lt;&gt;"",NOT(ISNUMBER(J21))),IFERROR(MOD(J21,1),1)&gt;0,AND(ISNUMBER(J21),OR(J21&lt;50,J21&gt;20000000))),"Введите целое число от 50 до 20000000",IF(NOT(ABS(IFERROR(VALUE(LEFT(M21,FIND("-",M21)-1)),M21)*100-(5000+2000000000)/2)&lt;=ABS(5000-2000000000)/2),"Цена со скидкой должна быть от 50 до 20000000",IF(IFERROR(VALUE(LEFT(M21,FIND("-",M21)-1)),M21)*180&lt;37000,"Вы уменьшили цену в несколько раз, товар попадет в карантин цен","")))),"")</f>
      </c>
    </row>
    <row r="22">
      <c r="A22" s="2" t="inlineStr">
        <is>
          <t/>
        </is>
      </c>
      <c r="B22" s="2" t="inlineStr">
        <is>
          <t>Подарочные коробки</t>
        </is>
      </c>
      <c r="C22" s="2">
        <v>136557374</v>
      </c>
      <c r="D22" s="2" t="inlineStr">
        <is>
          <t>Box-Kraft-20-18-5</t>
        </is>
      </c>
      <c r="E22" s="2" t="inlineStr">
        <is>
          <t>2037188447639</t>
        </is>
      </c>
      <c r="F22" s="2">
        <v>0</v>
      </c>
      <c r="G22" s="2">
        <v>0</v>
      </c>
      <c r="H22" s="2">
        <v>0</v>
      </c>
      <c r="I22" s="2" t="inlineStr">
        <is>
          <t>470</t>
        </is>
      </c>
      <c r="J22" s="4"/>
      <c r="K22" s="2">
        <v>0</v>
      </c>
      <c r="L22" s="6"/>
      <c r="M22" s="2" t="str">
        <f>IF(J22="",ROUND(I22*(1-IF(ISBLANK(L22),K22,L22)/100),2),ROUND(J22*(1-IF(ISBLANK(L22),K22,L22)/100),2))</f>
      </c>
      <c r="N22" s="7" t="str">
        <f>IF(NOT(AND(J22="",L22="")),IF(OR(AND(L22&lt;&gt;"",NOT(ISNUMBER(L22))),IFERROR(MOD(L22,1),1)&gt;0,AND(ISNUMBER(L22),OR(L22&lt;0,L22&gt;95))),"Введите целое число от 0 до 95",IF(OR(AND(J22&lt;&gt;"",NOT(ISNUMBER(J22))),IFERROR(MOD(J22,1),1)&gt;0,AND(ISNUMBER(J22),OR(J22&lt;50,J22&gt;20000000))),"Введите целое число от 50 до 20000000",IF(NOT(ABS(IFERROR(VALUE(LEFT(M22,FIND("-",M22)-1)),M22)*100-(5000+2000000000)/2)&lt;=ABS(5000-2000000000)/2),"Цена со скидкой должна быть от 50 до 20000000",IF(IFERROR(VALUE(LEFT(M22,FIND("-",M22)-1)),M22)*180&lt;47000,"Вы уменьшили цену в несколько раз, товар попадет в карантин цен","")))),"")</f>
      </c>
    </row>
    <row r="23">
      <c r="A23" s="2" t="inlineStr">
        <is>
          <t>CuteShop</t>
        </is>
      </c>
      <c r="B23" s="2" t="inlineStr">
        <is>
          <t>Подарочные пакеты</t>
        </is>
      </c>
      <c r="C23" s="2">
        <v>270931678</v>
      </c>
      <c r="D23" s="2" t="inlineStr">
        <is>
          <t>pak-pol-zmeyka2-20</t>
        </is>
      </c>
      <c r="E23" s="2" t="inlineStr">
        <is>
          <t>2041464706556</t>
        </is>
      </c>
      <c r="F23" s="2">
        <v>0</v>
      </c>
      <c r="G23" s="2">
        <v>0</v>
      </c>
      <c r="H23" s="2" t="inlineStr">
        <is>
          <t/>
        </is>
      </c>
      <c r="I23" s="2" t="inlineStr">
        <is>
          <t>301</t>
        </is>
      </c>
      <c r="J23" s="4"/>
      <c r="K23" s="2">
        <v>10</v>
      </c>
      <c r="L23" s="6"/>
      <c r="M23" s="2" t="str">
        <f>IF(J23="",ROUND(I23*(1-IF(ISBLANK(L23),K23,L23)/100),2),ROUND(J23*(1-IF(ISBLANK(L23),K23,L23)/100),2))</f>
      </c>
      <c r="N23" s="7" t="str">
        <f>IF(NOT(AND(J23="",L23="")),IF(OR(AND(L23&lt;&gt;"",NOT(ISNUMBER(L23))),IFERROR(MOD(L23,1),1)&gt;0,AND(ISNUMBER(L23),OR(L23&lt;0,L23&gt;95))),"Введите целое число от 0 до 95",IF(OR(AND(J23&lt;&gt;"",NOT(ISNUMBER(J23))),IFERROR(MOD(J23,1),1)&gt;0,AND(ISNUMBER(J23),OR(J23&lt;50,J23&gt;20000000))),"Введите целое число от 50 до 20000000",IF(NOT(ABS(IFERROR(VALUE(LEFT(M23,FIND("-",M23)-1)),M23)*100-(5000+2000000000)/2)&lt;=ABS(5000-2000000000)/2),"Цена со скидкой должна быть от 50 до 20000000",IF(IFERROR(VALUE(LEFT(M23,FIND("-",M23)-1)),M23)*180&lt;27090,"Вы уменьшили цену в несколько раз, товар попадет в карантин цен","")))),"")</f>
      </c>
    </row>
    <row r="24">
      <c r="A24" s="2" t="inlineStr">
        <is>
          <t>CuteShop</t>
        </is>
      </c>
      <c r="B24" s="2" t="inlineStr">
        <is>
          <t>Подарочные пакеты</t>
        </is>
      </c>
      <c r="C24" s="2">
        <v>185760015</v>
      </c>
      <c r="D24" s="2" t="inlineStr">
        <is>
          <t>pak-pol-podishar-30</t>
        </is>
      </c>
      <c r="E24" s="2" t="inlineStr">
        <is>
          <t>2038876922216</t>
        </is>
      </c>
      <c r="F24" s="2">
        <v>0</v>
      </c>
      <c r="G24" s="2">
        <v>0</v>
      </c>
      <c r="H24" s="2" t="inlineStr">
        <is>
          <t/>
        </is>
      </c>
      <c r="I24" s="2" t="inlineStr">
        <is>
          <t>340</t>
        </is>
      </c>
      <c r="J24" s="4"/>
      <c r="K24" s="2">
        <v>10</v>
      </c>
      <c r="L24" s="6"/>
      <c r="M24" s="2" t="str">
        <f>IF(J24="",ROUND(I24*(1-IF(ISBLANK(L24),K24,L24)/100),2),ROUND(J24*(1-IF(ISBLANK(L24),K24,L24)/100),2))</f>
      </c>
      <c r="N24" s="7" t="str">
        <f>IF(NOT(AND(J24="",L24="")),IF(OR(AND(L24&lt;&gt;"",NOT(ISNUMBER(L24))),IFERROR(MOD(L24,1),1)&gt;0,AND(ISNUMBER(L24),OR(L24&lt;0,L24&gt;95))),"Введите целое число от 0 до 95",IF(OR(AND(J24&lt;&gt;"",NOT(ISNUMBER(J24))),IFERROR(MOD(J24,1),1)&gt;0,AND(ISNUMBER(J24),OR(J24&lt;50,J24&gt;20000000))),"Введите целое число от 50 до 20000000",IF(NOT(ABS(IFERROR(VALUE(LEFT(M24,FIND("-",M24)-1)),M24)*100-(5000+2000000000)/2)&lt;=ABS(5000-2000000000)/2),"Цена со скидкой должна быть от 50 до 20000000",IF(IFERROR(VALUE(LEFT(M24,FIND("-",M24)-1)),M24)*180&lt;30600,"Вы уменьшили цену в несколько раз, товар попадет в карантин цен","")))),"")</f>
      </c>
    </row>
    <row r="25">
      <c r="A25" s="2" t="inlineStr">
        <is>
          <t/>
        </is>
      </c>
      <c r="B25" s="2" t="inlineStr">
        <is>
          <t>Подарочные коробки</t>
        </is>
      </c>
      <c r="C25" s="2">
        <v>135260024</v>
      </c>
      <c r="D25" s="2" t="inlineStr">
        <is>
          <t>PVCMyat-15-15x10</t>
        </is>
      </c>
      <c r="E25" s="2" t="inlineStr">
        <is>
          <t>2037101307415</t>
        </is>
      </c>
      <c r="F25" s="2">
        <v>0</v>
      </c>
      <c r="G25" s="2">
        <v>0</v>
      </c>
      <c r="H25" s="2">
        <v>0</v>
      </c>
      <c r="I25" s="2" t="inlineStr">
        <is>
          <t>620</t>
        </is>
      </c>
      <c r="J25" s="4"/>
      <c r="K25" s="2">
        <v>0</v>
      </c>
      <c r="L25" s="6"/>
      <c r="M25" s="2" t="str">
        <f>IF(J25="",ROUND(I25*(1-IF(ISBLANK(L25),K25,L25)/100),2),ROUND(J25*(1-IF(ISBLANK(L25),K25,L25)/100),2))</f>
      </c>
      <c r="N25" s="7" t="str">
        <f>IF(NOT(AND(J25="",L25="")),IF(OR(AND(L25&lt;&gt;"",NOT(ISNUMBER(L25))),IFERROR(MOD(L25,1),1)&gt;0,AND(ISNUMBER(L25),OR(L25&lt;0,L25&gt;95))),"Введите целое число от 0 до 95",IF(OR(AND(J25&lt;&gt;"",NOT(ISNUMBER(J25))),IFERROR(MOD(J25,1),1)&gt;0,AND(ISNUMBER(J25),OR(J25&lt;50,J25&gt;20000000))),"Введите целое число от 50 до 20000000",IF(NOT(ABS(IFERROR(VALUE(LEFT(M25,FIND("-",M25)-1)),M25)*100-(5000+2000000000)/2)&lt;=ABS(5000-2000000000)/2),"Цена со скидкой должна быть от 50 до 20000000",IF(IFERROR(VALUE(LEFT(M25,FIND("-",M25)-1)),M25)*180&lt;62000,"Вы уменьшили цену в несколько раз, товар попадет в карантин цен","")))),"")</f>
      </c>
    </row>
    <row r="26">
      <c r="A26" s="2" t="inlineStr">
        <is>
          <t>CuteShop</t>
        </is>
      </c>
      <c r="B26" s="2" t="inlineStr">
        <is>
          <t>Подарочные коробки</t>
        </is>
      </c>
      <c r="C26" s="2">
        <v>139977518</v>
      </c>
      <c r="D26" s="2" t="inlineStr">
        <is>
          <t>Kor-15-15-Kraft-10</t>
        </is>
      </c>
      <c r="E26" s="2" t="inlineStr">
        <is>
          <t>2037287122437</t>
        </is>
      </c>
      <c r="F26" s="2">
        <v>0</v>
      </c>
      <c r="G26" s="2">
        <v>0</v>
      </c>
      <c r="H26" s="2" t="inlineStr">
        <is>
          <t/>
        </is>
      </c>
      <c r="I26" s="2" t="inlineStr">
        <is>
          <t>530</t>
        </is>
      </c>
      <c r="J26" s="4"/>
      <c r="K26" s="2">
        <v>0</v>
      </c>
      <c r="L26" s="6"/>
      <c r="M26" s="2" t="str">
        <f>IF(J26="",ROUND(I26*(1-IF(ISBLANK(L26),K26,L26)/100),2),ROUND(J26*(1-IF(ISBLANK(L26),K26,L26)/100),2))</f>
      </c>
      <c r="N26" s="7" t="str">
        <f>IF(NOT(AND(J26="",L26="")),IF(OR(AND(L26&lt;&gt;"",NOT(ISNUMBER(L26))),IFERROR(MOD(L26,1),1)&gt;0,AND(ISNUMBER(L26),OR(L26&lt;0,L26&gt;95))),"Введите целое число от 0 до 95",IF(OR(AND(J26&lt;&gt;"",NOT(ISNUMBER(J26))),IFERROR(MOD(J26,1),1)&gt;0,AND(ISNUMBER(J26),OR(J26&lt;50,J26&gt;20000000))),"Введите целое число от 50 до 20000000",IF(NOT(ABS(IFERROR(VALUE(LEFT(M26,FIND("-",M26)-1)),M26)*100-(5000+2000000000)/2)&lt;=ABS(5000-2000000000)/2),"Цена со скидкой должна быть от 50 до 20000000",IF(IFERROR(VALUE(LEFT(M26,FIND("-",M26)-1)),M26)*180&lt;53000,"Вы уменьшили цену в несколько раз, товар попадет в карантин цен","")))),"")</f>
      </c>
    </row>
    <row r="27">
      <c r="A27" s="2" t="inlineStr">
        <is>
          <t>CuteShop</t>
        </is>
      </c>
      <c r="B27" s="2" t="inlineStr">
        <is>
          <t>Подарочные пакеты</t>
        </is>
      </c>
      <c r="C27" s="2">
        <v>185760018</v>
      </c>
      <c r="D27" s="2" t="inlineStr">
        <is>
          <t>pak-pol-budschas-20</t>
        </is>
      </c>
      <c r="E27" s="2" t="inlineStr">
        <is>
          <t>2038876939467</t>
        </is>
      </c>
      <c r="F27" s="2">
        <v>0</v>
      </c>
      <c r="G27" s="2">
        <v>1</v>
      </c>
      <c r="H27" s="2" t="inlineStr">
        <is>
          <t/>
        </is>
      </c>
      <c r="I27" s="2" t="inlineStr">
        <is>
          <t>301</t>
        </is>
      </c>
      <c r="J27" s="4"/>
      <c r="K27" s="2">
        <v>10</v>
      </c>
      <c r="L27" s="6"/>
      <c r="M27" s="2" t="str">
        <f>IF(J27="",ROUND(I27*(1-IF(ISBLANK(L27),K27,L27)/100),2),ROUND(J27*(1-IF(ISBLANK(L27),K27,L27)/100),2))</f>
      </c>
      <c r="N27" s="7" t="str">
        <f>IF(NOT(AND(J27="",L27="")),IF(OR(AND(L27&lt;&gt;"",NOT(ISNUMBER(L27))),IFERROR(MOD(L27,1),1)&gt;0,AND(ISNUMBER(L27),OR(L27&lt;0,L27&gt;95))),"Введите целое число от 0 до 95",IF(OR(AND(J27&lt;&gt;"",NOT(ISNUMBER(J27))),IFERROR(MOD(J27,1),1)&gt;0,AND(ISNUMBER(J27),OR(J27&lt;50,J27&gt;20000000))),"Введите целое число от 50 до 20000000",IF(NOT(ABS(IFERROR(VALUE(LEFT(M27,FIND("-",M27)-1)),M27)*100-(5000+2000000000)/2)&lt;=ABS(5000-2000000000)/2),"Цена со скидкой должна быть от 50 до 20000000",IF(IFERROR(VALUE(LEFT(M27,FIND("-",M27)-1)),M27)*180&lt;27090,"Вы уменьшили цену в несколько раз, товар попадет в карантин цен","")))),"")</f>
      </c>
    </row>
    <row r="28">
      <c r="A28" s="2" t="inlineStr">
        <is>
          <t/>
        </is>
      </c>
      <c r="B28" s="2" t="inlineStr">
        <is>
          <t>Подарочные коробки</t>
        </is>
      </c>
      <c r="C28" s="2">
        <v>135231758</v>
      </c>
      <c r="D28" s="2" t="inlineStr">
        <is>
          <t>PVCKraft-12-12x5</t>
        </is>
      </c>
      <c r="E28" s="2" t="inlineStr">
        <is>
          <t>2037101158642</t>
        </is>
      </c>
      <c r="F28" s="2">
        <v>0</v>
      </c>
      <c r="G28" s="2">
        <v>0</v>
      </c>
      <c r="H28" s="2" t="inlineStr">
        <is>
          <t/>
        </is>
      </c>
      <c r="I28" s="2" t="inlineStr">
        <is>
          <t>380</t>
        </is>
      </c>
      <c r="J28" s="4"/>
      <c r="K28" s="2">
        <v>0</v>
      </c>
      <c r="L28" s="6"/>
      <c r="M28" s="2" t="str">
        <f>IF(J28="",ROUND(I28*(1-IF(ISBLANK(L28),K28,L28)/100),2),ROUND(J28*(1-IF(ISBLANK(L28),K28,L28)/100),2))</f>
      </c>
      <c r="N28" s="7" t="str">
        <f>IF(NOT(AND(J28="",L28="")),IF(OR(AND(L28&lt;&gt;"",NOT(ISNUMBER(L28))),IFERROR(MOD(L28,1),1)&gt;0,AND(ISNUMBER(L28),OR(L28&lt;0,L28&gt;95))),"Введите целое число от 0 до 95",IF(OR(AND(J28&lt;&gt;"",NOT(ISNUMBER(J28))),IFERROR(MOD(J28,1),1)&gt;0,AND(ISNUMBER(J28),OR(J28&lt;50,J28&gt;20000000))),"Введите целое число от 50 до 20000000",IF(NOT(ABS(IFERROR(VALUE(LEFT(M28,FIND("-",M28)-1)),M28)*100-(5000+2000000000)/2)&lt;=ABS(5000-2000000000)/2),"Цена со скидкой должна быть от 50 до 20000000",IF(IFERROR(VALUE(LEFT(M28,FIND("-",M28)-1)),M28)*180&lt;38000,"Вы уменьшили цену в несколько раз, товар попадет в карантин цен","")))),"")</f>
      </c>
    </row>
    <row r="29">
      <c r="A29" s="2" t="inlineStr">
        <is>
          <t>CuteShop</t>
        </is>
      </c>
      <c r="B29" s="2" t="inlineStr">
        <is>
          <t>Елочные украшения</t>
        </is>
      </c>
      <c r="C29" s="2">
        <v>123878144</v>
      </c>
      <c r="D29" s="2" t="inlineStr">
        <is>
          <t>Shar-10x2</t>
        </is>
      </c>
      <c r="E29" s="2" t="inlineStr">
        <is>
          <t>2036977576789</t>
        </is>
      </c>
      <c r="F29" s="2">
        <v>0</v>
      </c>
      <c r="G29" s="2">
        <v>0</v>
      </c>
      <c r="H29" s="2">
        <v>0</v>
      </c>
      <c r="I29" s="2" t="inlineStr">
        <is>
          <t>508</t>
        </is>
      </c>
      <c r="J29" s="4"/>
      <c r="K29" s="2">
        <v>0</v>
      </c>
      <c r="L29" s="6"/>
      <c r="M29" s="2" t="str">
        <f>IF(J29="",ROUND(I29*(1-IF(ISBLANK(L29),K29,L29)/100),2),ROUND(J29*(1-IF(ISBLANK(L29),K29,L29)/100),2))</f>
      </c>
      <c r="N29" s="7" t="str">
        <f>IF(NOT(AND(J29="",L29="")),IF(OR(AND(L29&lt;&gt;"",NOT(ISNUMBER(L29))),IFERROR(MOD(L29,1),1)&gt;0,AND(ISNUMBER(L29),OR(L29&lt;0,L29&gt;95))),"Введите целое число от 0 до 95",IF(OR(AND(J29&lt;&gt;"",NOT(ISNUMBER(J29))),IFERROR(MOD(J29,1),1)&gt;0,AND(ISNUMBER(J29),OR(J29&lt;50,J29&gt;20000000))),"Введите целое число от 50 до 20000000",IF(NOT(ABS(IFERROR(VALUE(LEFT(M29,FIND("-",M29)-1)),M29)*100-(5000+2000000000)/2)&lt;=ABS(5000-2000000000)/2),"Цена со скидкой должна быть от 50 до 20000000",IF(IFERROR(VALUE(LEFT(M29,FIND("-",M29)-1)),M29)*180&lt;50800,"Вы уменьшили цену в несколько раз, товар попадет в карантин цен","")))),"")</f>
      </c>
    </row>
    <row r="30">
      <c r="A30" s="2" t="inlineStr">
        <is>
          <t/>
        </is>
      </c>
      <c r="B30" s="2" t="inlineStr">
        <is>
          <t>Подарочные коробки</t>
        </is>
      </c>
      <c r="C30" s="2">
        <v>140159114</v>
      </c>
      <c r="D30" s="2" t="inlineStr">
        <is>
          <t>Box-Bel-21-15-5</t>
        </is>
      </c>
      <c r="E30" s="2" t="inlineStr">
        <is>
          <t>2037292077135</t>
        </is>
      </c>
      <c r="F30" s="2">
        <v>0</v>
      </c>
      <c r="G30" s="2">
        <v>0</v>
      </c>
      <c r="H30" s="2" t="inlineStr">
        <is>
          <t/>
        </is>
      </c>
      <c r="I30" s="2" t="inlineStr">
        <is>
          <t>440</t>
        </is>
      </c>
      <c r="J30" s="4"/>
      <c r="K30" s="2">
        <v>0</v>
      </c>
      <c r="L30" s="6"/>
      <c r="M30" s="2" t="str">
        <f>IF(J30="",ROUND(I30*(1-IF(ISBLANK(L30),K30,L30)/100),2),ROUND(J30*(1-IF(ISBLANK(L30),K30,L30)/100),2))</f>
      </c>
      <c r="N30" s="7" t="str">
        <f>IF(NOT(AND(J30="",L30="")),IF(OR(AND(L30&lt;&gt;"",NOT(ISNUMBER(L30))),IFERROR(MOD(L30,1),1)&gt;0,AND(ISNUMBER(L30),OR(L30&lt;0,L30&gt;95))),"Введите целое число от 0 до 95",IF(OR(AND(J30&lt;&gt;"",NOT(ISNUMBER(J30))),IFERROR(MOD(J30,1),1)&gt;0,AND(ISNUMBER(J30),OR(J30&lt;50,J30&gt;20000000))),"Введите целое число от 50 до 20000000",IF(NOT(ABS(IFERROR(VALUE(LEFT(M30,FIND("-",M30)-1)),M30)*100-(5000+2000000000)/2)&lt;=ABS(5000-2000000000)/2),"Цена со скидкой должна быть от 50 до 20000000",IF(IFERROR(VALUE(LEFT(M30,FIND("-",M30)-1)),M30)*180&lt;44000,"Вы уменьшили цену в несколько раз, товар попадет в карантин цен","")))),"")</f>
      </c>
    </row>
    <row r="31">
      <c r="A31" s="2" t="inlineStr">
        <is>
          <t>CuteShop</t>
        </is>
      </c>
      <c r="B31" s="2" t="inlineStr">
        <is>
          <t>Подарочные пакеты</t>
        </is>
      </c>
      <c r="C31" s="2">
        <v>139979308</v>
      </c>
      <c r="D31" s="2" t="inlineStr">
        <is>
          <t>Paketik-LL-Mish-30</t>
        </is>
      </c>
      <c r="E31" s="2" t="inlineStr">
        <is>
          <t>2037287157323</t>
        </is>
      </c>
      <c r="F31" s="2">
        <v>0</v>
      </c>
      <c r="G31" s="2">
        <v>1</v>
      </c>
      <c r="H31" s="2" t="inlineStr">
        <is>
          <t/>
        </is>
      </c>
      <c r="I31" s="2" t="inlineStr">
        <is>
          <t>330</t>
        </is>
      </c>
      <c r="J31" s="4"/>
      <c r="K31" s="2">
        <v>10</v>
      </c>
      <c r="L31" s="6"/>
      <c r="M31" s="2" t="str">
        <f>IF(J31="",ROUND(I31*(1-IF(ISBLANK(L31),K31,L31)/100),2),ROUND(J31*(1-IF(ISBLANK(L31),K31,L31)/100),2))</f>
      </c>
      <c r="N31" s="7" t="str">
        <f>IF(NOT(AND(J31="",L31="")),IF(OR(AND(L31&lt;&gt;"",NOT(ISNUMBER(L31))),IFERROR(MOD(L31,1),1)&gt;0,AND(ISNUMBER(L31),OR(L31&lt;0,L31&gt;95))),"Введите целое число от 0 до 95",IF(OR(AND(J31&lt;&gt;"",NOT(ISNUMBER(J31))),IFERROR(MOD(J31,1),1)&gt;0,AND(ISNUMBER(J31),OR(J31&lt;50,J31&gt;20000000))),"Введите целое число от 50 до 20000000",IF(NOT(ABS(IFERROR(VALUE(LEFT(M31,FIND("-",M31)-1)),M31)*100-(5000+2000000000)/2)&lt;=ABS(5000-2000000000)/2),"Цена со скидкой должна быть от 50 до 20000000",IF(IFERROR(VALUE(LEFT(M31,FIND("-",M31)-1)),M31)*180&lt;29700,"Вы уменьшили цену в несколько раз, товар попадет в карантин цен","")))),"")</f>
      </c>
    </row>
    <row r="32">
      <c r="A32" s="2" t="inlineStr">
        <is>
          <t/>
        </is>
      </c>
      <c r="B32" s="2" t="inlineStr">
        <is>
          <t>Подарочные коробки</t>
        </is>
      </c>
      <c r="C32" s="2">
        <v>135230156</v>
      </c>
      <c r="D32" s="2" t="inlineStr">
        <is>
          <t>PVCBel-12-12x10</t>
        </is>
      </c>
      <c r="E32" s="2" t="inlineStr">
        <is>
          <t>2037101122957</t>
        </is>
      </c>
      <c r="F32" s="2">
        <v>0</v>
      </c>
      <c r="G32" s="2">
        <v>0</v>
      </c>
      <c r="H32" s="2">
        <v>0</v>
      </c>
      <c r="I32" s="2" t="inlineStr">
        <is>
          <t>570</t>
        </is>
      </c>
      <c r="J32" s="4"/>
      <c r="K32" s="2">
        <v>0</v>
      </c>
      <c r="L32" s="6"/>
      <c r="M32" s="2" t="str">
        <f>IF(J32="",ROUND(I32*(1-IF(ISBLANK(L32),K32,L32)/100),2),ROUND(J32*(1-IF(ISBLANK(L32),K32,L32)/100),2))</f>
      </c>
      <c r="N32" s="7" t="str">
        <f>IF(NOT(AND(J32="",L32="")),IF(OR(AND(L32&lt;&gt;"",NOT(ISNUMBER(L32))),IFERROR(MOD(L32,1),1)&gt;0,AND(ISNUMBER(L32),OR(L32&lt;0,L32&gt;95))),"Введите целое число от 0 до 95",IF(OR(AND(J32&lt;&gt;"",NOT(ISNUMBER(J32))),IFERROR(MOD(J32,1),1)&gt;0,AND(ISNUMBER(J32),OR(J32&lt;50,J32&gt;20000000))),"Введите целое число от 50 до 20000000",IF(NOT(ABS(IFERROR(VALUE(LEFT(M32,FIND("-",M32)-1)),M32)*100-(5000+2000000000)/2)&lt;=ABS(5000-2000000000)/2),"Цена со скидкой должна быть от 50 до 20000000",IF(IFERROR(VALUE(LEFT(M32,FIND("-",M32)-1)),M32)*180&lt;57000,"Вы уменьшили цену в несколько раз, товар попадет в карантин цен","")))),"")</f>
      </c>
    </row>
    <row r="33">
      <c r="A33" s="2" t="inlineStr">
        <is>
          <t/>
        </is>
      </c>
      <c r="B33" s="2" t="inlineStr">
        <is>
          <t>Подарочные коробки</t>
        </is>
      </c>
      <c r="C33" s="2">
        <v>187031547</v>
      </c>
      <c r="D33" s="2" t="inlineStr">
        <is>
          <t>PVCGol-12-12x10</t>
        </is>
      </c>
      <c r="E33" s="2" t="inlineStr">
        <is>
          <t>2038899034002</t>
        </is>
      </c>
      <c r="F33" s="2">
        <v>0</v>
      </c>
      <c r="G33" s="2">
        <v>0</v>
      </c>
      <c r="H33" s="2" t="inlineStr">
        <is>
          <t/>
        </is>
      </c>
      <c r="I33" s="2" t="inlineStr">
        <is>
          <t>490</t>
        </is>
      </c>
      <c r="J33" s="4"/>
      <c r="K33" s="2">
        <v>0</v>
      </c>
      <c r="L33" s="6"/>
      <c r="M33" s="2" t="str">
        <f>IF(J33="",ROUND(I33*(1-IF(ISBLANK(L33),K33,L33)/100),2),ROUND(J33*(1-IF(ISBLANK(L33),K33,L33)/100),2))</f>
      </c>
      <c r="N33" s="7" t="str">
        <f>IF(NOT(AND(J33="",L33="")),IF(OR(AND(L33&lt;&gt;"",NOT(ISNUMBER(L33))),IFERROR(MOD(L33,1),1)&gt;0,AND(ISNUMBER(L33),OR(L33&lt;0,L33&gt;95))),"Введите целое число от 0 до 95",IF(OR(AND(J33&lt;&gt;"",NOT(ISNUMBER(J33))),IFERROR(MOD(J33,1),1)&gt;0,AND(ISNUMBER(J33),OR(J33&lt;50,J33&gt;20000000))),"Введите целое число от 50 до 20000000",IF(NOT(ABS(IFERROR(VALUE(LEFT(M33,FIND("-",M33)-1)),M33)*100-(5000+2000000000)/2)&lt;=ABS(5000-2000000000)/2),"Цена со скидкой должна быть от 50 до 20000000",IF(IFERROR(VALUE(LEFT(M33,FIND("-",M33)-1)),M33)*180&lt;49000,"Вы уменьшили цену в несколько раз, товар попадет в карантин цен","")))),"")</f>
      </c>
    </row>
    <row r="34">
      <c r="A34" s="2" t="inlineStr">
        <is>
          <t/>
        </is>
      </c>
      <c r="B34" s="2" t="inlineStr">
        <is>
          <t>Подарочные коробки</t>
        </is>
      </c>
      <c r="C34" s="2">
        <v>187033894</v>
      </c>
      <c r="D34" s="2" t="inlineStr">
        <is>
          <t>PVCZel-12-12x10</t>
        </is>
      </c>
      <c r="E34" s="2" t="inlineStr">
        <is>
          <t>2038899088579</t>
        </is>
      </c>
      <c r="F34" s="2">
        <v>0</v>
      </c>
      <c r="G34" s="2">
        <v>0</v>
      </c>
      <c r="H34" s="2" t="inlineStr">
        <is>
          <t/>
        </is>
      </c>
      <c r="I34" s="2" t="inlineStr">
        <is>
          <t>490</t>
        </is>
      </c>
      <c r="J34" s="4"/>
      <c r="K34" s="2">
        <v>0</v>
      </c>
      <c r="L34" s="6"/>
      <c r="M34" s="2" t="str">
        <f>IF(J34="",ROUND(I34*(1-IF(ISBLANK(L34),K34,L34)/100),2),ROUND(J34*(1-IF(ISBLANK(L34),K34,L34)/100),2))</f>
      </c>
      <c r="N34" s="7" t="str">
        <f>IF(NOT(AND(J34="",L34="")),IF(OR(AND(L34&lt;&gt;"",NOT(ISNUMBER(L34))),IFERROR(MOD(L34,1),1)&gt;0,AND(ISNUMBER(L34),OR(L34&lt;0,L34&gt;95))),"Введите целое число от 0 до 95",IF(OR(AND(J34&lt;&gt;"",NOT(ISNUMBER(J34))),IFERROR(MOD(J34,1),1)&gt;0,AND(ISNUMBER(J34),OR(J34&lt;50,J34&gt;20000000))),"Введите целое число от 50 до 20000000",IF(NOT(ABS(IFERROR(VALUE(LEFT(M34,FIND("-",M34)-1)),M34)*100-(5000+2000000000)/2)&lt;=ABS(5000-2000000000)/2),"Цена со скидкой должна быть от 50 до 20000000",IF(IFERROR(VALUE(LEFT(M34,FIND("-",M34)-1)),M34)*180&lt;49000,"Вы уменьшили цену в несколько раз, товар попадет в карантин цен","")))),"")</f>
      </c>
    </row>
    <row r="35">
      <c r="A35" s="2" t="inlineStr">
        <is>
          <t>CuteShop</t>
        </is>
      </c>
      <c r="B35" s="2" t="inlineStr">
        <is>
          <t>Подарочные коробки</t>
        </is>
      </c>
      <c r="C35" s="2">
        <v>190312189</v>
      </c>
      <c r="D35" s="2" t="inlineStr">
        <is>
          <t>Kor-10-8-Kraft-10</t>
        </is>
      </c>
      <c r="E35" s="2" t="inlineStr">
        <is>
          <t>2039006153104</t>
        </is>
      </c>
      <c r="F35" s="2">
        <v>0</v>
      </c>
      <c r="G35" s="2">
        <v>0</v>
      </c>
      <c r="H35" s="2">
        <v>1</v>
      </c>
      <c r="I35" s="2" t="inlineStr">
        <is>
          <t>350</t>
        </is>
      </c>
      <c r="J35" s="4"/>
      <c r="K35" s="2">
        <v>0</v>
      </c>
      <c r="L35" s="6"/>
      <c r="M35" s="2" t="str">
        <f>IF(J35="",ROUND(I35*(1-IF(ISBLANK(L35),K35,L35)/100),2),ROUND(J35*(1-IF(ISBLANK(L35),K35,L35)/100),2))</f>
      </c>
      <c r="N35" s="7" t="str">
        <f>IF(NOT(AND(J35="",L35="")),IF(OR(AND(L35&lt;&gt;"",NOT(ISNUMBER(L35))),IFERROR(MOD(L35,1),1)&gt;0,AND(ISNUMBER(L35),OR(L35&lt;0,L35&gt;95))),"Введите целое число от 0 до 95",IF(OR(AND(J35&lt;&gt;"",NOT(ISNUMBER(J35))),IFERROR(MOD(J35,1),1)&gt;0,AND(ISNUMBER(J35),OR(J35&lt;50,J35&gt;20000000))),"Введите целое число от 50 до 20000000",IF(NOT(ABS(IFERROR(VALUE(LEFT(M35,FIND("-",M35)-1)),M35)*100-(5000+2000000000)/2)&lt;=ABS(5000-2000000000)/2),"Цена со скидкой должна быть от 50 до 20000000",IF(IFERROR(VALUE(LEFT(M35,FIND("-",M35)-1)),M35)*180&lt;35000,"Вы уменьшили цену в несколько раз, товар попадет в карантин цен","")))),"")</f>
      </c>
    </row>
    <row r="36">
      <c r="A36" s="2" t="inlineStr">
        <is>
          <t>CuteShop</t>
        </is>
      </c>
      <c r="B36" s="2" t="inlineStr">
        <is>
          <t>Подарочные пакеты</t>
        </is>
      </c>
      <c r="C36" s="2">
        <v>185760017</v>
      </c>
      <c r="D36" s="2" t="inlineStr">
        <is>
          <t>pak-pol-podarochek-30</t>
        </is>
      </c>
      <c r="E36" s="2" t="inlineStr">
        <is>
          <t>2038876933618</t>
        </is>
      </c>
      <c r="F36" s="2">
        <v>0</v>
      </c>
      <c r="G36" s="2">
        <v>0</v>
      </c>
      <c r="H36" s="2" t="inlineStr">
        <is>
          <t/>
        </is>
      </c>
      <c r="I36" s="2" t="inlineStr">
        <is>
          <t>340</t>
        </is>
      </c>
      <c r="J36" s="4"/>
      <c r="K36" s="2">
        <v>10</v>
      </c>
      <c r="L36" s="6"/>
      <c r="M36" s="2" t="str">
        <f>IF(J36="",ROUND(I36*(1-IF(ISBLANK(L36),K36,L36)/100),2),ROUND(J36*(1-IF(ISBLANK(L36),K36,L36)/100),2))</f>
      </c>
      <c r="N36" s="7" t="str">
        <f>IF(NOT(AND(J36="",L36="")),IF(OR(AND(L36&lt;&gt;"",NOT(ISNUMBER(L36))),IFERROR(MOD(L36,1),1)&gt;0,AND(ISNUMBER(L36),OR(L36&lt;0,L36&gt;95))),"Введите целое число от 0 до 95",IF(OR(AND(J36&lt;&gt;"",NOT(ISNUMBER(J36))),IFERROR(MOD(J36,1),1)&gt;0,AND(ISNUMBER(J36),OR(J36&lt;50,J36&gt;20000000))),"Введите целое число от 50 до 20000000",IF(NOT(ABS(IFERROR(VALUE(LEFT(M36,FIND("-",M36)-1)),M36)*100-(5000+2000000000)/2)&lt;=ABS(5000-2000000000)/2),"Цена со скидкой должна быть от 50 до 20000000",IF(IFERROR(VALUE(LEFT(M36,FIND("-",M36)-1)),M36)*180&lt;30600,"Вы уменьшили цену в несколько раз, товар попадет в карантин цен","")))),"")</f>
      </c>
    </row>
    <row r="37">
      <c r="A37" s="2" t="inlineStr">
        <is>
          <t>CuteShop</t>
        </is>
      </c>
      <c r="B37" s="2" t="inlineStr">
        <is>
          <t>Подарочные коробки</t>
        </is>
      </c>
      <c r="C37" s="2">
        <v>135223771</v>
      </c>
      <c r="D37" s="2" t="inlineStr">
        <is>
          <t>Kor-115-115-Kraft-10</t>
        </is>
      </c>
      <c r="E37" s="2" t="inlineStr">
        <is>
          <t>2037101082824</t>
        </is>
      </c>
      <c r="F37" s="2">
        <v>0</v>
      </c>
      <c r="G37" s="2">
        <v>0</v>
      </c>
      <c r="H37" s="2">
        <v>0</v>
      </c>
      <c r="I37" s="2" t="inlineStr">
        <is>
          <t>390</t>
        </is>
      </c>
      <c r="J37" s="4"/>
      <c r="K37" s="2">
        <v>7</v>
      </c>
      <c r="L37" s="6"/>
      <c r="M37" s="2" t="str">
        <f>IF(J37="",ROUND(I37*(1-IF(ISBLANK(L37),K37,L37)/100),2),ROUND(J37*(1-IF(ISBLANK(L37),K37,L37)/100),2))</f>
      </c>
      <c r="N37" s="7" t="str">
        <f>IF(NOT(AND(J37="",L37="")),IF(OR(AND(L37&lt;&gt;"",NOT(ISNUMBER(L37))),IFERROR(MOD(L37,1),1)&gt;0,AND(ISNUMBER(L37),OR(L37&lt;0,L37&gt;95))),"Введите целое число от 0 до 95",IF(OR(AND(J37&lt;&gt;"",NOT(ISNUMBER(J37))),IFERROR(MOD(J37,1),1)&gt;0,AND(ISNUMBER(J37),OR(J37&lt;50,J37&gt;20000000))),"Введите целое число от 50 до 20000000",IF(NOT(ABS(IFERROR(VALUE(LEFT(M37,FIND("-",M37)-1)),M37)*100-(5000+2000000000)/2)&lt;=ABS(5000-2000000000)/2),"Цена со скидкой должна быть от 50 до 20000000",IF(IFERROR(VALUE(LEFT(M37,FIND("-",M37)-1)),M37)*180&lt;36270,"Вы уменьшили цену в несколько раз, товар попадет в карантин цен","")))),"")</f>
      </c>
    </row>
    <row r="38">
      <c r="A38" s="2" t="inlineStr">
        <is>
          <t/>
        </is>
      </c>
      <c r="B38" s="2" t="inlineStr">
        <is>
          <t>Подарочные коробки</t>
        </is>
      </c>
      <c r="C38" s="2">
        <v>122647503</v>
      </c>
      <c r="D38" s="2" t="inlineStr">
        <is>
          <t>Zel-20-12</t>
        </is>
      </c>
      <c r="E38" s="2" t="inlineStr">
        <is>
          <t>2036956815441</t>
        </is>
      </c>
      <c r="F38" s="2">
        <v>0</v>
      </c>
      <c r="G38" s="2">
        <v>0</v>
      </c>
      <c r="H38" s="2">
        <v>0</v>
      </c>
      <c r="I38" s="2" t="inlineStr">
        <is>
          <t>583</t>
        </is>
      </c>
      <c r="J38" s="4"/>
      <c r="K38" s="2">
        <v>0</v>
      </c>
      <c r="L38" s="6"/>
      <c r="M38" s="2" t="str">
        <f>IF(J38="",ROUND(I38*(1-IF(ISBLANK(L38),K38,L38)/100),2),ROUND(J38*(1-IF(ISBLANK(L38),K38,L38)/100),2))</f>
      </c>
      <c r="N38" s="7" t="str">
        <f>IF(NOT(AND(J38="",L38="")),IF(OR(AND(L38&lt;&gt;"",NOT(ISNUMBER(L38))),IFERROR(MOD(L38,1),1)&gt;0,AND(ISNUMBER(L38),OR(L38&lt;0,L38&gt;95))),"Введите целое число от 0 до 95",IF(OR(AND(J38&lt;&gt;"",NOT(ISNUMBER(J38))),IFERROR(MOD(J38,1),1)&gt;0,AND(ISNUMBER(J38),OR(J38&lt;50,J38&gt;20000000))),"Введите целое число от 50 до 20000000",IF(NOT(ABS(IFERROR(VALUE(LEFT(M38,FIND("-",M38)-1)),M38)*100-(5000+2000000000)/2)&lt;=ABS(5000-2000000000)/2),"Цена со скидкой должна быть от 50 до 20000000",IF(IFERROR(VALUE(LEFT(M38,FIND("-",M38)-1)),M38)*180&lt;58300,"Вы уменьшили цену в несколько раз, товар попадет в карантин цен","")))),"")</f>
      </c>
    </row>
    <row r="39">
      <c r="A39" s="2" t="inlineStr">
        <is>
          <t/>
        </is>
      </c>
      <c r="B39" s="2" t="inlineStr">
        <is>
          <t>Подарочные коробки</t>
        </is>
      </c>
      <c r="C39" s="2">
        <v>187756797</v>
      </c>
      <c r="D39" s="2" t="inlineStr">
        <is>
          <t>PVCBel-21-21x10</t>
        </is>
      </c>
      <c r="E39" s="2" t="inlineStr">
        <is>
          <t>2038919493703</t>
        </is>
      </c>
      <c r="F39" s="2">
        <v>0</v>
      </c>
      <c r="G39" s="2">
        <v>0</v>
      </c>
      <c r="H39" s="2" t="inlineStr">
        <is>
          <t/>
        </is>
      </c>
      <c r="I39" s="2" t="inlineStr">
        <is>
          <t>650</t>
        </is>
      </c>
      <c r="J39" s="4"/>
      <c r="K39" s="2">
        <v>0</v>
      </c>
      <c r="L39" s="6"/>
      <c r="M39" s="2" t="str">
        <f>IF(J39="",ROUND(I39*(1-IF(ISBLANK(L39),K39,L39)/100),2),ROUND(J39*(1-IF(ISBLANK(L39),K39,L39)/100),2))</f>
      </c>
      <c r="N39" s="7" t="str">
        <f>IF(NOT(AND(J39="",L39="")),IF(OR(AND(L39&lt;&gt;"",NOT(ISNUMBER(L39))),IFERROR(MOD(L39,1),1)&gt;0,AND(ISNUMBER(L39),OR(L39&lt;0,L39&gt;95))),"Введите целое число от 0 до 95",IF(OR(AND(J39&lt;&gt;"",NOT(ISNUMBER(J39))),IFERROR(MOD(J39,1),1)&gt;0,AND(ISNUMBER(J39),OR(J39&lt;50,J39&gt;20000000))),"Введите целое число от 50 до 20000000",IF(NOT(ABS(IFERROR(VALUE(LEFT(M39,FIND("-",M39)-1)),M39)*100-(5000+2000000000)/2)&lt;=ABS(5000-2000000000)/2),"Цена со скидкой должна быть от 50 до 20000000",IF(IFERROR(VALUE(LEFT(M39,FIND("-",M39)-1)),M39)*180&lt;65000,"Вы уменьшили цену в несколько раз, товар попадет в карантин цен","")))),"")</f>
      </c>
    </row>
    <row r="40">
      <c r="A40" s="2" t="inlineStr">
        <is>
          <t>CuteShop</t>
        </is>
      </c>
      <c r="B40" s="2" t="inlineStr">
        <is>
          <t>Аксессуары для бижутерии</t>
        </is>
      </c>
      <c r="C40" s="2">
        <v>225218366</v>
      </c>
      <c r="D40" s="2" t="inlineStr">
        <is>
          <t>Bale-Zol-8*11-50</t>
        </is>
      </c>
      <c r="E40" s="2" t="inlineStr">
        <is>
          <t>2039854571051</t>
        </is>
      </c>
      <c r="F40" s="2">
        <v>0</v>
      </c>
      <c r="G40" s="2">
        <v>0</v>
      </c>
      <c r="H40" s="2" t="inlineStr">
        <is>
          <t/>
        </is>
      </c>
      <c r="I40" s="2" t="inlineStr">
        <is>
          <t>400</t>
        </is>
      </c>
      <c r="J40" s="4"/>
      <c r="K40" s="2">
        <v>0</v>
      </c>
      <c r="L40" s="6"/>
      <c r="M40" s="2" t="str">
        <f>IF(J40="",ROUND(I40*(1-IF(ISBLANK(L40),K40,L40)/100),2),ROUND(J40*(1-IF(ISBLANK(L40),K40,L40)/100),2))</f>
      </c>
      <c r="N40" s="7" t="str">
        <f>IF(NOT(AND(J40="",L40="")),IF(OR(AND(L40&lt;&gt;"",NOT(ISNUMBER(L40))),IFERROR(MOD(L40,1),1)&gt;0,AND(ISNUMBER(L40),OR(L40&lt;0,L40&gt;95))),"Введите целое число от 0 до 95",IF(OR(AND(J40&lt;&gt;"",NOT(ISNUMBER(J40))),IFERROR(MOD(J40,1),1)&gt;0,AND(ISNUMBER(J40),OR(J40&lt;50,J40&gt;20000000))),"Введите целое число от 50 до 20000000",IF(NOT(ABS(IFERROR(VALUE(LEFT(M40,FIND("-",M40)-1)),M40)*100-(5000+2000000000)/2)&lt;=ABS(5000-2000000000)/2),"Цена со скидкой должна быть от 50 до 20000000",IF(IFERROR(VALUE(LEFT(M40,FIND("-",M40)-1)),M40)*220&lt;40000,"Вы уменьшили цену в несколько раз, товар попадет в карантин цен","")))),"")</f>
      </c>
    </row>
    <row r="41">
      <c r="A41" s="2" t="inlineStr">
        <is>
          <t/>
        </is>
      </c>
      <c r="B41" s="2" t="inlineStr">
        <is>
          <t>Подарочные коробки</t>
        </is>
      </c>
      <c r="C41" s="2">
        <v>136557377</v>
      </c>
      <c r="D41" s="2" t="inlineStr">
        <is>
          <t>Box-Kraft-22-15-10</t>
        </is>
      </c>
      <c r="E41" s="2" t="inlineStr">
        <is>
          <t>2037188506527</t>
        </is>
      </c>
      <c r="F41" s="2">
        <v>0</v>
      </c>
      <c r="G41" s="2">
        <v>0</v>
      </c>
      <c r="H41" s="2">
        <v>0</v>
      </c>
      <c r="I41" s="2" t="inlineStr">
        <is>
          <t>650</t>
        </is>
      </c>
      <c r="J41" s="4"/>
      <c r="K41" s="2">
        <v>0</v>
      </c>
      <c r="L41" s="6"/>
      <c r="M41" s="2" t="str">
        <f>IF(J41="",ROUND(I41*(1-IF(ISBLANK(L41),K41,L41)/100),2),ROUND(J41*(1-IF(ISBLANK(L41),K41,L41)/100),2))</f>
      </c>
      <c r="N41" s="7" t="str">
        <f>IF(NOT(AND(J41="",L41="")),IF(OR(AND(L41&lt;&gt;"",NOT(ISNUMBER(L41))),IFERROR(MOD(L41,1),1)&gt;0,AND(ISNUMBER(L41),OR(L41&lt;0,L41&gt;95))),"Введите целое число от 0 до 95",IF(OR(AND(J41&lt;&gt;"",NOT(ISNUMBER(J41))),IFERROR(MOD(J41,1),1)&gt;0,AND(ISNUMBER(J41),OR(J41&lt;50,J41&gt;20000000))),"Введите целое число от 50 до 20000000",IF(NOT(ABS(IFERROR(VALUE(LEFT(M41,FIND("-",M41)-1)),M41)*100-(5000+2000000000)/2)&lt;=ABS(5000-2000000000)/2),"Цена со скидкой должна быть от 50 до 20000000",IF(IFERROR(VALUE(LEFT(M41,FIND("-",M41)-1)),M41)*180&lt;65000,"Вы уменьшили цену в несколько раз, товар попадет в карантин цен","")))),"")</f>
      </c>
    </row>
    <row r="42">
      <c r="A42" s="2" t="inlineStr">
        <is>
          <t/>
        </is>
      </c>
      <c r="B42" s="2" t="inlineStr">
        <is>
          <t>Подарочные коробки</t>
        </is>
      </c>
      <c r="C42" s="2">
        <v>190308315</v>
      </c>
      <c r="D42" s="2" t="inlineStr">
        <is>
          <t>Box-Bel-22-15-5</t>
        </is>
      </c>
      <c r="E42" s="2" t="inlineStr">
        <is>
          <t>2039005815027</t>
        </is>
      </c>
      <c r="F42" s="2">
        <v>0</v>
      </c>
      <c r="G42" s="2">
        <v>0</v>
      </c>
      <c r="H42" s="2" t="inlineStr">
        <is>
          <t/>
        </is>
      </c>
      <c r="I42" s="2" t="inlineStr">
        <is>
          <t>420</t>
        </is>
      </c>
      <c r="J42" s="4"/>
      <c r="K42" s="2">
        <v>0</v>
      </c>
      <c r="L42" s="6"/>
      <c r="M42" s="2" t="str">
        <f>IF(J42="",ROUND(I42*(1-IF(ISBLANK(L42),K42,L42)/100),2),ROUND(J42*(1-IF(ISBLANK(L42),K42,L42)/100),2))</f>
      </c>
      <c r="N42" s="7" t="str">
        <f>IF(NOT(AND(J42="",L42="")),IF(OR(AND(L42&lt;&gt;"",NOT(ISNUMBER(L42))),IFERROR(MOD(L42,1),1)&gt;0,AND(ISNUMBER(L42),OR(L42&lt;0,L42&gt;95))),"Введите целое число от 0 до 95",IF(OR(AND(J42&lt;&gt;"",NOT(ISNUMBER(J42))),IFERROR(MOD(J42,1),1)&gt;0,AND(ISNUMBER(J42),OR(J42&lt;50,J42&gt;20000000))),"Введите целое число от 50 до 20000000",IF(NOT(ABS(IFERROR(VALUE(LEFT(M42,FIND("-",M42)-1)),M42)*100-(5000+2000000000)/2)&lt;=ABS(5000-2000000000)/2),"Цена со скидкой должна быть от 50 до 20000000",IF(IFERROR(VALUE(LEFT(M42,FIND("-",M42)-1)),M42)*180&lt;42000,"Вы уменьшили цену в несколько раз, товар попадет в карантин цен","")))),"")</f>
      </c>
    </row>
    <row r="43">
      <c r="A43" s="2" t="inlineStr">
        <is>
          <t/>
        </is>
      </c>
      <c r="B43" s="2" t="inlineStr">
        <is>
          <t>Аксессуары для бижутерии</t>
        </is>
      </c>
      <c r="C43" s="2">
        <v>184284067</v>
      </c>
      <c r="D43" s="2" t="inlineStr">
        <is>
          <t>conn-mesmal-gold-5</t>
        </is>
      </c>
      <c r="E43" s="2" t="inlineStr">
        <is>
          <t>2038848877230</t>
        </is>
      </c>
      <c r="F43" s="2">
        <v>0</v>
      </c>
      <c r="G43" s="2">
        <v>0</v>
      </c>
      <c r="H43" s="2" t="inlineStr">
        <is>
          <t/>
        </is>
      </c>
      <c r="I43" s="2" t="inlineStr">
        <is>
          <t>420</t>
        </is>
      </c>
      <c r="J43" s="4"/>
      <c r="K43" s="2">
        <v>0</v>
      </c>
      <c r="L43" s="6"/>
      <c r="M43" s="2" t="str">
        <f>IF(J43="",ROUND(I43*(1-IF(ISBLANK(L43),K43,L43)/100),2),ROUND(J43*(1-IF(ISBLANK(L43),K43,L43)/100),2))</f>
      </c>
      <c r="N43" s="7" t="str">
        <f>IF(NOT(AND(J43="",L43="")),IF(OR(AND(L43&lt;&gt;"",NOT(ISNUMBER(L43))),IFERROR(MOD(L43,1),1)&gt;0,AND(ISNUMBER(L43),OR(L43&lt;0,L43&gt;95))),"Введите целое число от 0 до 95",IF(OR(AND(J43&lt;&gt;"",NOT(ISNUMBER(J43))),IFERROR(MOD(J43,1),1)&gt;0,AND(ISNUMBER(J43),OR(J43&lt;50,J43&gt;20000000))),"Введите целое число от 50 до 20000000",IF(NOT(ABS(IFERROR(VALUE(LEFT(M43,FIND("-",M43)-1)),M43)*100-(5000+2000000000)/2)&lt;=ABS(5000-2000000000)/2),"Цена со скидкой должна быть от 50 до 20000000",IF(IFERROR(VALUE(LEFT(M43,FIND("-",M43)-1)),M43)*220&lt;42000,"Вы уменьшили цену в несколько раз, товар попадет в карантин цен","")))),"")</f>
      </c>
    </row>
    <row r="44">
      <c r="A44" s="2" t="inlineStr">
        <is>
          <t/>
        </is>
      </c>
      <c r="B44" s="2" t="inlineStr">
        <is>
          <t>Аксессуары для бижутерии</t>
        </is>
      </c>
      <c r="C44" s="2">
        <v>184284064</v>
      </c>
      <c r="D44" s="2" t="inlineStr">
        <is>
          <t>conn-mesmal-silver-10</t>
        </is>
      </c>
      <c r="E44" s="2" t="inlineStr">
        <is>
          <t>2038848865701</t>
        </is>
      </c>
      <c r="F44" s="2">
        <v>0</v>
      </c>
      <c r="G44" s="2">
        <v>0</v>
      </c>
      <c r="H44" s="2" t="inlineStr">
        <is>
          <t/>
        </is>
      </c>
      <c r="I44" s="2" t="inlineStr">
        <is>
          <t>600</t>
        </is>
      </c>
      <c r="J44" s="4"/>
      <c r="K44" s="2">
        <v>0</v>
      </c>
      <c r="L44" s="6"/>
      <c r="M44" s="2" t="str">
        <f>IF(J44="",ROUND(I44*(1-IF(ISBLANK(L44),K44,L44)/100),2),ROUND(J44*(1-IF(ISBLANK(L44),K44,L44)/100),2))</f>
      </c>
      <c r="N44" s="7" t="str">
        <f>IF(NOT(AND(J44="",L44="")),IF(OR(AND(L44&lt;&gt;"",NOT(ISNUMBER(L44))),IFERROR(MOD(L44,1),1)&gt;0,AND(ISNUMBER(L44),OR(L44&lt;0,L44&gt;95))),"Введите целое число от 0 до 95",IF(OR(AND(J44&lt;&gt;"",NOT(ISNUMBER(J44))),IFERROR(MOD(J44,1),1)&gt;0,AND(ISNUMBER(J44),OR(J44&lt;50,J44&gt;20000000))),"Введите целое число от 50 до 20000000",IF(NOT(ABS(IFERROR(VALUE(LEFT(M44,FIND("-",M44)-1)),M44)*100-(5000+2000000000)/2)&lt;=ABS(5000-2000000000)/2),"Цена со скидкой должна быть от 50 до 20000000",IF(IFERROR(VALUE(LEFT(M44,FIND("-",M44)-1)),M44)*220&lt;60000,"Вы уменьшили цену в несколько раз, товар попадет в карантин цен","")))),"")</f>
      </c>
    </row>
    <row r="45">
      <c r="A45" s="2" t="inlineStr">
        <is>
          <t/>
        </is>
      </c>
      <c r="B45" s="2" t="inlineStr">
        <is>
          <t>Подарочные коробки</t>
        </is>
      </c>
      <c r="C45" s="2">
        <v>230661146</v>
      </c>
      <c r="D45" s="2" t="inlineStr">
        <is>
          <t>Box-Kraft-20-12-10</t>
        </is>
      </c>
      <c r="E45" s="2" t="inlineStr">
        <is>
          <t>2039976186942</t>
        </is>
      </c>
      <c r="F45" s="2">
        <v>0</v>
      </c>
      <c r="G45" s="2">
        <v>0</v>
      </c>
      <c r="H45" s="2" t="inlineStr">
        <is>
          <t/>
        </is>
      </c>
      <c r="I45" s="2" t="inlineStr">
        <is>
          <t>700</t>
        </is>
      </c>
      <c r="J45" s="4"/>
      <c r="K45" s="2">
        <v>0</v>
      </c>
      <c r="L45" s="6"/>
      <c r="M45" s="2" t="str">
        <f>IF(J45="",ROUND(I45*(1-IF(ISBLANK(L45),K45,L45)/100),2),ROUND(J45*(1-IF(ISBLANK(L45),K45,L45)/100),2))</f>
      </c>
      <c r="N45" s="7" t="str">
        <f>IF(NOT(AND(J45="",L45="")),IF(OR(AND(L45&lt;&gt;"",NOT(ISNUMBER(L45))),IFERROR(MOD(L45,1),1)&gt;0,AND(ISNUMBER(L45),OR(L45&lt;0,L45&gt;95))),"Введите целое число от 0 до 95",IF(OR(AND(J45&lt;&gt;"",NOT(ISNUMBER(J45))),IFERROR(MOD(J45,1),1)&gt;0,AND(ISNUMBER(J45),OR(J45&lt;50,J45&gt;20000000))),"Введите целое число от 50 до 20000000",IF(NOT(ABS(IFERROR(VALUE(LEFT(M45,FIND("-",M45)-1)),M45)*100-(5000+2000000000)/2)&lt;=ABS(5000-2000000000)/2),"Цена со скидкой должна быть от 50 до 20000000",IF(IFERROR(VALUE(LEFT(M45,FIND("-",M45)-1)),M45)*180&lt;70000,"Вы уменьшили цену в несколько раз, товар попадет в карантин цен","")))),"")</f>
      </c>
    </row>
    <row r="46">
      <c r="A46" s="2" t="inlineStr">
        <is>
          <t>CuteShop</t>
        </is>
      </c>
      <c r="B46" s="2" t="inlineStr">
        <is>
          <t>Аксессуары для бижутерии</t>
        </is>
      </c>
      <c r="C46" s="2">
        <v>225208161</v>
      </c>
      <c r="D46" s="2" t="inlineStr">
        <is>
          <t>Bale-Ser-9*12-50</t>
        </is>
      </c>
      <c r="E46" s="2" t="inlineStr">
        <is>
          <t>2039854395596</t>
        </is>
      </c>
      <c r="F46" s="2">
        <v>0</v>
      </c>
      <c r="G46" s="2">
        <v>0</v>
      </c>
      <c r="H46" s="2" t="inlineStr">
        <is>
          <t/>
        </is>
      </c>
      <c r="I46" s="2" t="inlineStr">
        <is>
          <t>400</t>
        </is>
      </c>
      <c r="J46" s="4"/>
      <c r="K46" s="2">
        <v>10</v>
      </c>
      <c r="L46" s="6"/>
      <c r="M46" s="2" t="str">
        <f>IF(J46="",ROUND(I46*(1-IF(ISBLANK(L46),K46,L46)/100),2),ROUND(J46*(1-IF(ISBLANK(L46),K46,L46)/100),2))</f>
      </c>
      <c r="N46" s="7" t="str">
        <f>IF(NOT(AND(J46="",L46="")),IF(OR(AND(L46&lt;&gt;"",NOT(ISNUMBER(L46))),IFERROR(MOD(L46,1),1)&gt;0,AND(ISNUMBER(L46),OR(L46&lt;0,L46&gt;95))),"Введите целое число от 0 до 95",IF(OR(AND(J46&lt;&gt;"",NOT(ISNUMBER(J46))),IFERROR(MOD(J46,1),1)&gt;0,AND(ISNUMBER(J46),OR(J46&lt;50,J46&gt;20000000))),"Введите целое число от 50 до 20000000",IF(NOT(ABS(IFERROR(VALUE(LEFT(M46,FIND("-",M46)-1)),M46)*100-(5000+2000000000)/2)&lt;=ABS(5000-2000000000)/2),"Цена со скидкой должна быть от 50 до 20000000",IF(IFERROR(VALUE(LEFT(M46,FIND("-",M46)-1)),M46)*220&lt;36000,"Вы уменьшили цену в несколько раз, товар попадет в карантин цен","")))),"")</f>
      </c>
    </row>
    <row r="47">
      <c r="A47" s="2" t="inlineStr">
        <is>
          <t/>
        </is>
      </c>
      <c r="B47" s="2" t="inlineStr">
        <is>
          <t>Аксессуары для бижутерии</t>
        </is>
      </c>
      <c r="C47" s="2">
        <v>184284060</v>
      </c>
      <c r="D47" s="2" t="inlineStr">
        <is>
          <t>conn-mes-gold-10</t>
        </is>
      </c>
      <c r="E47" s="2" t="inlineStr">
        <is>
          <t>2038848849817</t>
        </is>
      </c>
      <c r="F47" s="2">
        <v>0</v>
      </c>
      <c r="G47" s="2">
        <v>0</v>
      </c>
      <c r="H47" s="2" t="inlineStr">
        <is>
          <t/>
        </is>
      </c>
      <c r="I47" s="2" t="inlineStr">
        <is>
          <t>620</t>
        </is>
      </c>
      <c r="J47" s="4"/>
      <c r="K47" s="2">
        <v>0</v>
      </c>
      <c r="L47" s="6"/>
      <c r="M47" s="2" t="str">
        <f>IF(J47="",ROUND(I47*(1-IF(ISBLANK(L47),K47,L47)/100),2),ROUND(J47*(1-IF(ISBLANK(L47),K47,L47)/100),2))</f>
      </c>
      <c r="N47" s="7" t="str">
        <f>IF(NOT(AND(J47="",L47="")),IF(OR(AND(L47&lt;&gt;"",NOT(ISNUMBER(L47))),IFERROR(MOD(L47,1),1)&gt;0,AND(ISNUMBER(L47),OR(L47&lt;0,L47&gt;95))),"Введите целое число от 0 до 95",IF(OR(AND(J47&lt;&gt;"",NOT(ISNUMBER(J47))),IFERROR(MOD(J47,1),1)&gt;0,AND(ISNUMBER(J47),OR(J47&lt;50,J47&gt;20000000))),"Введите целое число от 50 до 20000000",IF(NOT(ABS(IFERROR(VALUE(LEFT(M47,FIND("-",M47)-1)),M47)*100-(5000+2000000000)/2)&lt;=ABS(5000-2000000000)/2),"Цена со скидкой должна быть от 50 до 20000000",IF(IFERROR(VALUE(LEFT(M47,FIND("-",M47)-1)),M47)*220&lt;62000,"Вы уменьшили цену в несколько раз, товар попадет в карантин цен","")))),"")</f>
      </c>
    </row>
    <row r="48">
      <c r="A48" s="2" t="inlineStr">
        <is>
          <t>CuteShop</t>
        </is>
      </c>
      <c r="B48" s="2" t="inlineStr">
        <is>
          <t>Подарочные пакеты</t>
        </is>
      </c>
      <c r="C48" s="2">
        <v>139979155</v>
      </c>
      <c r="D48" s="2" t="inlineStr">
        <is>
          <t>Paketik-LL-SerdBant-50</t>
        </is>
      </c>
      <c r="E48" s="2" t="inlineStr">
        <is>
          <t>2037287150560</t>
        </is>
      </c>
      <c r="F48" s="2">
        <v>0</v>
      </c>
      <c r="G48" s="2">
        <v>0</v>
      </c>
      <c r="H48" s="2" t="inlineStr">
        <is>
          <t/>
        </is>
      </c>
      <c r="I48" s="2" t="inlineStr">
        <is>
          <t>420</t>
        </is>
      </c>
      <c r="J48" s="4"/>
      <c r="K48" s="2">
        <v>10</v>
      </c>
      <c r="L48" s="6"/>
      <c r="M48" s="2" t="str">
        <f>IF(J48="",ROUND(I48*(1-IF(ISBLANK(L48),K48,L48)/100),2),ROUND(J48*(1-IF(ISBLANK(L48),K48,L48)/100),2))</f>
      </c>
      <c r="N48" s="7" t="str">
        <f>IF(NOT(AND(J48="",L48="")),IF(OR(AND(L48&lt;&gt;"",NOT(ISNUMBER(L48))),IFERROR(MOD(L48,1),1)&gt;0,AND(ISNUMBER(L48),OR(L48&lt;0,L48&gt;95))),"Введите целое число от 0 до 95",IF(OR(AND(J48&lt;&gt;"",NOT(ISNUMBER(J48))),IFERROR(MOD(J48,1),1)&gt;0,AND(ISNUMBER(J48),OR(J48&lt;50,J48&gt;20000000))),"Введите целое число от 50 до 20000000",IF(NOT(ABS(IFERROR(VALUE(LEFT(M48,FIND("-",M48)-1)),M48)*100-(5000+2000000000)/2)&lt;=ABS(5000-2000000000)/2),"Цена со скидкой должна быть от 50 до 20000000",IF(IFERROR(VALUE(LEFT(M48,FIND("-",M48)-1)),M48)*180&lt;37800,"Вы уменьшили цену в несколько раз, товар попадет в карантин цен","")))),"")</f>
      </c>
    </row>
    <row r="49">
      <c r="A49" s="2" t="inlineStr">
        <is>
          <t>CuteShop</t>
        </is>
      </c>
      <c r="B49" s="2" t="inlineStr">
        <is>
          <t>Аксессуары для бижутерии</t>
        </is>
      </c>
      <c r="C49" s="2">
        <v>225210484</v>
      </c>
      <c r="D49" s="2" t="inlineStr">
        <is>
          <t>Bale-Zol-9*12-25</t>
        </is>
      </c>
      <c r="E49" s="2" t="inlineStr">
        <is>
          <t>2039854442283</t>
        </is>
      </c>
      <c r="F49" s="2">
        <v>0</v>
      </c>
      <c r="G49" s="2">
        <v>0</v>
      </c>
      <c r="H49" s="2" t="inlineStr">
        <is>
          <t/>
        </is>
      </c>
      <c r="I49" s="2" t="inlineStr">
        <is>
          <t>300</t>
        </is>
      </c>
      <c r="J49" s="4"/>
      <c r="K49" s="2">
        <v>0</v>
      </c>
      <c r="L49" s="6"/>
      <c r="M49" s="2" t="str">
        <f>IF(J49="",ROUND(I49*(1-IF(ISBLANK(L49),K49,L49)/100),2),ROUND(J49*(1-IF(ISBLANK(L49),K49,L49)/100),2))</f>
      </c>
      <c r="N49" s="7" t="str">
        <f>IF(NOT(AND(J49="",L49="")),IF(OR(AND(L49&lt;&gt;"",NOT(ISNUMBER(L49))),IFERROR(MOD(L49,1),1)&gt;0,AND(ISNUMBER(L49),OR(L49&lt;0,L49&gt;95))),"Введите целое число от 0 до 95",IF(OR(AND(J49&lt;&gt;"",NOT(ISNUMBER(J49))),IFERROR(MOD(J49,1),1)&gt;0,AND(ISNUMBER(J49),OR(J49&lt;50,J49&gt;20000000))),"Введите целое число от 50 до 20000000",IF(NOT(ABS(IFERROR(VALUE(LEFT(M49,FIND("-",M49)-1)),M49)*100-(5000+2000000000)/2)&lt;=ABS(5000-2000000000)/2),"Цена со скидкой должна быть от 50 до 20000000",IF(IFERROR(VALUE(LEFT(M49,FIND("-",M49)-1)),M49)*220&lt;30000,"Вы уменьшили цену в несколько раз, товар попадет в карантин цен","")))),"")</f>
      </c>
    </row>
    <row r="50">
      <c r="A50" s="2" t="inlineStr">
        <is>
          <t>CuteShop</t>
        </is>
      </c>
      <c r="B50" s="2" t="inlineStr">
        <is>
          <t>Подвески бижутерные</t>
        </is>
      </c>
      <c r="C50" s="2">
        <v>273681600</v>
      </c>
      <c r="D50" s="2" t="inlineStr">
        <is>
          <t>Podv-NY1-20</t>
        </is>
      </c>
      <c r="E50" s="2" t="inlineStr">
        <is>
          <t>2041535899644</t>
        </is>
      </c>
      <c r="F50" s="2">
        <v>0</v>
      </c>
      <c r="G50" s="2">
        <v>0</v>
      </c>
      <c r="H50" s="2" t="inlineStr">
        <is>
          <t/>
        </is>
      </c>
      <c r="I50" s="2" t="inlineStr">
        <is>
          <t>310</t>
        </is>
      </c>
      <c r="J50" s="4"/>
      <c r="K50" s="2">
        <v>0</v>
      </c>
      <c r="L50" s="6"/>
      <c r="M50" s="2" t="str">
        <f>IF(J50="",ROUND(I50*(1-IF(ISBLANK(L50),K50,L50)/100),2),ROUND(J50*(1-IF(ISBLANK(L50),K50,L50)/100),2))</f>
      </c>
      <c r="N50" s="7" t="str">
        <f>IF(NOT(AND(J50="",L50="")),IF(OR(AND(L50&lt;&gt;"",NOT(ISNUMBER(L50))),IFERROR(MOD(L50,1),1)&gt;0,AND(ISNUMBER(L50),OR(L50&lt;0,L50&gt;95))),"Введите целое число от 0 до 95",IF(OR(AND(J50&lt;&gt;"",NOT(ISNUMBER(J50))),IFERROR(MOD(J50,1),1)&gt;0,AND(ISNUMBER(J50),OR(J50&lt;50,J50&gt;20000000))),"Введите целое число от 50 до 20000000",IF(NOT(ABS(IFERROR(VALUE(LEFT(M50,FIND("-",M50)-1)),M50)*100-(5000+2000000000)/2)&lt;=ABS(5000-2000000000)/2),"Цена со скидкой должна быть от 50 до 20000000",IF(IFERROR(VALUE(LEFT(M50,FIND("-",M50)-1)),M50)*220&lt;31000,"Вы уменьшили цену в несколько раз, товар попадет в карантин цен","")))),"")</f>
      </c>
    </row>
    <row r="51">
      <c r="A51" s="2" t="inlineStr">
        <is>
          <t/>
        </is>
      </c>
      <c r="B51" s="2" t="inlineStr">
        <is>
          <t>Подарочные коробки</t>
        </is>
      </c>
      <c r="C51" s="2">
        <v>136557373</v>
      </c>
      <c r="D51" s="2" t="inlineStr">
        <is>
          <t>Box-Kraft-22-15-5</t>
        </is>
      </c>
      <c r="E51" s="2" t="inlineStr">
        <is>
          <t>2037188495159</t>
        </is>
      </c>
      <c r="F51" s="2">
        <v>0</v>
      </c>
      <c r="G51" s="2">
        <v>0</v>
      </c>
      <c r="H51" s="2">
        <v>0</v>
      </c>
      <c r="I51" s="2" t="inlineStr">
        <is>
          <t>430</t>
        </is>
      </c>
      <c r="J51" s="4"/>
      <c r="K51" s="2">
        <v>0</v>
      </c>
      <c r="L51" s="6"/>
      <c r="M51" s="2" t="str">
        <f>IF(J51="",ROUND(I51*(1-IF(ISBLANK(L51),K51,L51)/100),2),ROUND(J51*(1-IF(ISBLANK(L51),K51,L51)/100),2))</f>
      </c>
      <c r="N51" s="7" t="str">
        <f>IF(NOT(AND(J51="",L51="")),IF(OR(AND(L51&lt;&gt;"",NOT(ISNUMBER(L51))),IFERROR(MOD(L51,1),1)&gt;0,AND(ISNUMBER(L51),OR(L51&lt;0,L51&gt;95))),"Введите целое число от 0 до 95",IF(OR(AND(J51&lt;&gt;"",NOT(ISNUMBER(J51))),IFERROR(MOD(J51,1),1)&gt;0,AND(ISNUMBER(J51),OR(J51&lt;50,J51&gt;20000000))),"Введите целое число от 50 до 20000000",IF(NOT(ABS(IFERROR(VALUE(LEFT(M51,FIND("-",M51)-1)),M51)*100-(5000+2000000000)/2)&lt;=ABS(5000-2000000000)/2),"Цена со скидкой должна быть от 50 до 20000000",IF(IFERROR(VALUE(LEFT(M51,FIND("-",M51)-1)),M51)*180&lt;43000,"Вы уменьшили цену в несколько раз, товар попадет в карантин цен","")))),"")</f>
      </c>
    </row>
    <row r="52">
      <c r="A52" s="2" t="inlineStr">
        <is>
          <t/>
        </is>
      </c>
      <c r="B52" s="2" t="inlineStr">
        <is>
          <t>Подарочные коробки</t>
        </is>
      </c>
      <c r="C52" s="2">
        <v>140157533</v>
      </c>
      <c r="D52" s="2" t="inlineStr">
        <is>
          <t>Kras-17-7</t>
        </is>
      </c>
      <c r="E52" s="2" t="inlineStr">
        <is>
          <t>2037292053399</t>
        </is>
      </c>
      <c r="F52" s="2">
        <v>0</v>
      </c>
      <c r="G52" s="2">
        <v>0</v>
      </c>
      <c r="H52" s="2">
        <v>0</v>
      </c>
      <c r="I52" s="2" t="inlineStr">
        <is>
          <t>440</t>
        </is>
      </c>
      <c r="J52" s="4"/>
      <c r="K52" s="2">
        <v>0</v>
      </c>
      <c r="L52" s="6"/>
      <c r="M52" s="2" t="str">
        <f>IF(J52="",ROUND(I52*(1-IF(ISBLANK(L52),K52,L52)/100),2),ROUND(J52*(1-IF(ISBLANK(L52),K52,L52)/100),2))</f>
      </c>
      <c r="N52" s="7" t="str">
        <f>IF(NOT(AND(J52="",L52="")),IF(OR(AND(L52&lt;&gt;"",NOT(ISNUMBER(L52))),IFERROR(MOD(L52,1),1)&gt;0,AND(ISNUMBER(L52),OR(L52&lt;0,L52&gt;95))),"Введите целое число от 0 до 95",IF(OR(AND(J52&lt;&gt;"",NOT(ISNUMBER(J52))),IFERROR(MOD(J52,1),1)&gt;0,AND(ISNUMBER(J52),OR(J52&lt;50,J52&gt;20000000))),"Введите целое число от 50 до 20000000",IF(NOT(ABS(IFERROR(VALUE(LEFT(M52,FIND("-",M52)-1)),M52)*100-(5000+2000000000)/2)&lt;=ABS(5000-2000000000)/2),"Цена со скидкой должна быть от 50 до 20000000",IF(IFERROR(VALUE(LEFT(M52,FIND("-",M52)-1)),M52)*180&lt;44000,"Вы уменьшили цену в несколько раз, товар попадет в карантин цен","")))),"")</f>
      </c>
    </row>
    <row r="53">
      <c r="A53" s="2" t="inlineStr">
        <is>
          <t/>
        </is>
      </c>
      <c r="B53" s="2" t="inlineStr">
        <is>
          <t>Аксессуары для бижутерии</t>
        </is>
      </c>
      <c r="C53" s="2">
        <v>184284066</v>
      </c>
      <c r="D53" s="2" t="inlineStr">
        <is>
          <t>conn-mesmal-gold-10</t>
        </is>
      </c>
      <c r="E53" s="2" t="inlineStr">
        <is>
          <t>2038848871603</t>
        </is>
      </c>
      <c r="F53" s="2">
        <v>0</v>
      </c>
      <c r="G53" s="2">
        <v>0</v>
      </c>
      <c r="H53" s="2" t="inlineStr">
        <is>
          <t/>
        </is>
      </c>
      <c r="I53" s="2" t="inlineStr">
        <is>
          <t>600</t>
        </is>
      </c>
      <c r="J53" s="4"/>
      <c r="K53" s="2">
        <v>0</v>
      </c>
      <c r="L53" s="6"/>
      <c r="M53" s="2" t="str">
        <f>IF(J53="",ROUND(I53*(1-IF(ISBLANK(L53),K53,L53)/100),2),ROUND(J53*(1-IF(ISBLANK(L53),K53,L53)/100),2))</f>
      </c>
      <c r="N53" s="7" t="str">
        <f>IF(NOT(AND(J53="",L53="")),IF(OR(AND(L53&lt;&gt;"",NOT(ISNUMBER(L53))),IFERROR(MOD(L53,1),1)&gt;0,AND(ISNUMBER(L53),OR(L53&lt;0,L53&gt;95))),"Введите целое число от 0 до 95",IF(OR(AND(J53&lt;&gt;"",NOT(ISNUMBER(J53))),IFERROR(MOD(J53,1),1)&gt;0,AND(ISNUMBER(J53),OR(J53&lt;50,J53&gt;20000000))),"Введите целое число от 50 до 20000000",IF(NOT(ABS(IFERROR(VALUE(LEFT(M53,FIND("-",M53)-1)),M53)*100-(5000+2000000000)/2)&lt;=ABS(5000-2000000000)/2),"Цена со скидкой должна быть от 50 до 20000000",IF(IFERROR(VALUE(LEFT(M53,FIND("-",M53)-1)),M53)*220&lt;60000,"Вы уменьшили цену в несколько раз, товар попадет в карантин цен","")))),"")</f>
      </c>
    </row>
    <row r="54">
      <c r="A54" s="2" t="inlineStr">
        <is>
          <t/>
        </is>
      </c>
      <c r="B54" s="2" t="inlineStr">
        <is>
          <t>Аксессуары для бижутерии</t>
        </is>
      </c>
      <c r="C54" s="2">
        <v>184284069</v>
      </c>
      <c r="D54" s="2" t="inlineStr">
        <is>
          <t>conn-allahmal-silver-5</t>
        </is>
      </c>
      <c r="E54" s="2" t="inlineStr">
        <is>
          <t>2038848882418</t>
        </is>
      </c>
      <c r="F54" s="2">
        <v>0</v>
      </c>
      <c r="G54" s="2">
        <v>0</v>
      </c>
      <c r="H54" s="2">
        <v>1</v>
      </c>
      <c r="I54" s="2" t="inlineStr">
        <is>
          <t>440</t>
        </is>
      </c>
      <c r="J54" s="4"/>
      <c r="K54" s="2">
        <v>0</v>
      </c>
      <c r="L54" s="6"/>
      <c r="M54" s="2" t="str">
        <f>IF(J54="",ROUND(I54*(1-IF(ISBLANK(L54),K54,L54)/100),2),ROUND(J54*(1-IF(ISBLANK(L54),K54,L54)/100),2))</f>
      </c>
      <c r="N54" s="7" t="str">
        <f>IF(NOT(AND(J54="",L54="")),IF(OR(AND(L54&lt;&gt;"",NOT(ISNUMBER(L54))),IFERROR(MOD(L54,1),1)&gt;0,AND(ISNUMBER(L54),OR(L54&lt;0,L54&gt;95))),"Введите целое число от 0 до 95",IF(OR(AND(J54&lt;&gt;"",NOT(ISNUMBER(J54))),IFERROR(MOD(J54,1),1)&gt;0,AND(ISNUMBER(J54),OR(J54&lt;50,J54&gt;20000000))),"Введите целое число от 50 до 20000000",IF(NOT(ABS(IFERROR(VALUE(LEFT(M54,FIND("-",M54)-1)),M54)*100-(5000+2000000000)/2)&lt;=ABS(5000-2000000000)/2),"Цена со скидкой должна быть от 50 до 20000000",IF(IFERROR(VALUE(LEFT(M54,FIND("-",M54)-1)),M54)*220&lt;44000,"Вы уменьшили цену в несколько раз, товар попадет в карантин цен","")))),"")</f>
      </c>
    </row>
    <row r="55">
      <c r="A55" s="2" t="inlineStr">
        <is>
          <t/>
        </is>
      </c>
      <c r="B55" s="2" t="inlineStr">
        <is>
          <t>Подарочные коробки</t>
        </is>
      </c>
      <c r="C55" s="2">
        <v>271010122</v>
      </c>
      <c r="D55" s="2" t="inlineStr">
        <is>
          <t>Kraft-17-7-25</t>
        </is>
      </c>
      <c r="E55" s="2" t="inlineStr">
        <is>
          <t>2041465920401</t>
        </is>
      </c>
      <c r="F55" s="2">
        <v>0</v>
      </c>
      <c r="G55" s="2">
        <v>0</v>
      </c>
      <c r="H55" s="2" t="inlineStr">
        <is>
          <t/>
        </is>
      </c>
      <c r="I55" s="2" t="inlineStr">
        <is>
          <t>670</t>
        </is>
      </c>
      <c r="J55" s="4"/>
      <c r="K55" s="2">
        <v>10</v>
      </c>
      <c r="L55" s="6"/>
      <c r="M55" s="2" t="str">
        <f>IF(J55="",ROUND(I55*(1-IF(ISBLANK(L55),K55,L55)/100),2),ROUND(J55*(1-IF(ISBLANK(L55),K55,L55)/100),2))</f>
      </c>
      <c r="N55" s="7" t="str">
        <f>IF(NOT(AND(J55="",L55="")),IF(OR(AND(L55&lt;&gt;"",NOT(ISNUMBER(L55))),IFERROR(MOD(L55,1),1)&gt;0,AND(ISNUMBER(L55),OR(L55&lt;0,L55&gt;95))),"Введите целое число от 0 до 95",IF(OR(AND(J55&lt;&gt;"",NOT(ISNUMBER(J55))),IFERROR(MOD(J55,1),1)&gt;0,AND(ISNUMBER(J55),OR(J55&lt;50,J55&gt;20000000))),"Введите целое число от 50 до 20000000",IF(NOT(ABS(IFERROR(VALUE(LEFT(M55,FIND("-",M55)-1)),M55)*100-(5000+2000000000)/2)&lt;=ABS(5000-2000000000)/2),"Цена со скидкой должна быть от 50 до 20000000",IF(IFERROR(VALUE(LEFT(M55,FIND("-",M55)-1)),M55)*180&lt;60300,"Вы уменьшили цену в несколько раз, товар попадет в карантин цен","")))),"")</f>
      </c>
    </row>
    <row r="56">
      <c r="A56" s="2" t="inlineStr">
        <is>
          <t/>
        </is>
      </c>
      <c r="B56" s="2" t="inlineStr">
        <is>
          <t>Подарочные коробки</t>
        </is>
      </c>
      <c r="C56" s="2">
        <v>122647505</v>
      </c>
      <c r="D56" s="2" t="inlineStr">
        <is>
          <t>Kraft-20-12</t>
        </is>
      </c>
      <c r="E56" s="2" t="inlineStr">
        <is>
          <t>2036956810729</t>
        </is>
      </c>
      <c r="F56" s="2">
        <v>0</v>
      </c>
      <c r="G56" s="2">
        <v>1</v>
      </c>
      <c r="H56" s="2">
        <v>0</v>
      </c>
      <c r="I56" s="2" t="inlineStr">
        <is>
          <t>550</t>
        </is>
      </c>
      <c r="J56" s="4"/>
      <c r="K56" s="2">
        <v>10</v>
      </c>
      <c r="L56" s="6"/>
      <c r="M56" s="2" t="str">
        <f>IF(J56="",ROUND(I56*(1-IF(ISBLANK(L56),K56,L56)/100),2),ROUND(J56*(1-IF(ISBLANK(L56),K56,L56)/100),2))</f>
      </c>
      <c r="N56" s="7" t="str">
        <f>IF(NOT(AND(J56="",L56="")),IF(OR(AND(L56&lt;&gt;"",NOT(ISNUMBER(L56))),IFERROR(MOD(L56,1),1)&gt;0,AND(ISNUMBER(L56),OR(L56&lt;0,L56&gt;95))),"Введите целое число от 0 до 95",IF(OR(AND(J56&lt;&gt;"",NOT(ISNUMBER(J56))),IFERROR(MOD(J56,1),1)&gt;0,AND(ISNUMBER(J56),OR(J56&lt;50,J56&gt;20000000))),"Введите целое число от 50 до 20000000",IF(NOT(ABS(IFERROR(VALUE(LEFT(M56,FIND("-",M56)-1)),M56)*100-(5000+2000000000)/2)&lt;=ABS(5000-2000000000)/2),"Цена со скидкой должна быть от 50 до 20000000",IF(IFERROR(VALUE(LEFT(M56,FIND("-",M56)-1)),M56)*180&lt;49500,"Вы уменьшили цену в несколько раз, товар попадет в карантин цен","")))),"")</f>
      </c>
    </row>
    <row r="57">
      <c r="A57" s="2" t="inlineStr">
        <is>
          <t/>
        </is>
      </c>
      <c r="B57" s="2" t="inlineStr">
        <is>
          <t>Аксессуары для бижутерии</t>
        </is>
      </c>
      <c r="C57" s="2">
        <v>184284058</v>
      </c>
      <c r="D57" s="2" t="inlineStr">
        <is>
          <t>conn-allah-silver-10</t>
        </is>
      </c>
      <c r="E57" s="2" t="inlineStr">
        <is>
          <t>2038848797347</t>
        </is>
      </c>
      <c r="F57" s="2">
        <v>0</v>
      </c>
      <c r="G57" s="2">
        <v>0</v>
      </c>
      <c r="H57" s="2" t="inlineStr">
        <is>
          <t/>
        </is>
      </c>
      <c r="I57" s="2" t="inlineStr">
        <is>
          <t>620</t>
        </is>
      </c>
      <c r="J57" s="4"/>
      <c r="K57" s="2">
        <v>0</v>
      </c>
      <c r="L57" s="6"/>
      <c r="M57" s="2" t="str">
        <f>IF(J57="",ROUND(I57*(1-IF(ISBLANK(L57),K57,L57)/100),2),ROUND(J57*(1-IF(ISBLANK(L57),K57,L57)/100),2))</f>
      </c>
      <c r="N57" s="7" t="str">
        <f>IF(NOT(AND(J57="",L57="")),IF(OR(AND(L57&lt;&gt;"",NOT(ISNUMBER(L57))),IFERROR(MOD(L57,1),1)&gt;0,AND(ISNUMBER(L57),OR(L57&lt;0,L57&gt;95))),"Введите целое число от 0 до 95",IF(OR(AND(J57&lt;&gt;"",NOT(ISNUMBER(J57))),IFERROR(MOD(J57,1),1)&gt;0,AND(ISNUMBER(J57),OR(J57&lt;50,J57&gt;20000000))),"Введите целое число от 50 до 20000000",IF(NOT(ABS(IFERROR(VALUE(LEFT(M57,FIND("-",M57)-1)),M57)*100-(5000+2000000000)/2)&lt;=ABS(5000-2000000000)/2),"Цена со скидкой должна быть от 50 до 20000000",IF(IFERROR(VALUE(LEFT(M57,FIND("-",M57)-1)),M57)*220&lt;62000,"Вы уменьшили цену в несколько раз, товар попадет в карантин цен","")))),"")</f>
      </c>
    </row>
    <row r="58">
      <c r="A58" s="2" t="inlineStr">
        <is>
          <t>CuteShop</t>
        </is>
      </c>
      <c r="B58" s="2" t="inlineStr">
        <is>
          <t>Елочные украшения</t>
        </is>
      </c>
      <c r="C58" s="2">
        <v>123878143</v>
      </c>
      <c r="D58" s="2" t="inlineStr">
        <is>
          <t>Shar-8x2</t>
        </is>
      </c>
      <c r="E58" s="2" t="inlineStr">
        <is>
          <t>2036977568913</t>
        </is>
      </c>
      <c r="F58" s="2">
        <v>0</v>
      </c>
      <c r="G58" s="2">
        <v>0</v>
      </c>
      <c r="H58" s="2">
        <v>0</v>
      </c>
      <c r="I58" s="2" t="inlineStr">
        <is>
          <t>452</t>
        </is>
      </c>
      <c r="J58" s="4"/>
      <c r="K58" s="2">
        <v>0</v>
      </c>
      <c r="L58" s="6"/>
      <c r="M58" s="2" t="str">
        <f>IF(J58="",ROUND(I58*(1-IF(ISBLANK(L58),K58,L58)/100),2),ROUND(J58*(1-IF(ISBLANK(L58),K58,L58)/100),2))</f>
      </c>
      <c r="N58" s="7" t="str">
        <f>IF(NOT(AND(J58="",L58="")),IF(OR(AND(L58&lt;&gt;"",NOT(ISNUMBER(L58))),IFERROR(MOD(L58,1),1)&gt;0,AND(ISNUMBER(L58),OR(L58&lt;0,L58&gt;95))),"Введите целое число от 0 до 95",IF(OR(AND(J58&lt;&gt;"",NOT(ISNUMBER(J58))),IFERROR(MOD(J58,1),1)&gt;0,AND(ISNUMBER(J58),OR(J58&lt;50,J58&gt;20000000))),"Введите целое число от 50 до 20000000",IF(NOT(ABS(IFERROR(VALUE(LEFT(M58,FIND("-",M58)-1)),M58)*100-(5000+2000000000)/2)&lt;=ABS(5000-2000000000)/2),"Цена со скидкой должна быть от 50 до 20000000",IF(IFERROR(VALUE(LEFT(M58,FIND("-",M58)-1)),M58)*180&lt;45200,"Вы уменьшили цену в несколько раз, товар попадет в карантин цен","")))),"")</f>
      </c>
    </row>
    <row r="59">
      <c r="A59" s="2" t="inlineStr">
        <is>
          <t>CuteShop</t>
        </is>
      </c>
      <c r="B59" s="2" t="inlineStr">
        <is>
          <t>Аксессуары для бижутерии</t>
        </is>
      </c>
      <c r="C59" s="2">
        <v>225210485</v>
      </c>
      <c r="D59" s="2" t="inlineStr">
        <is>
          <t>Bale-Zol-9*12-50</t>
        </is>
      </c>
      <c r="E59" s="2" t="inlineStr">
        <is>
          <t>2039854442511</t>
        </is>
      </c>
      <c r="F59" s="2">
        <v>0</v>
      </c>
      <c r="G59" s="2">
        <v>0</v>
      </c>
      <c r="H59" s="2" t="inlineStr">
        <is>
          <t/>
        </is>
      </c>
      <c r="I59" s="2" t="inlineStr">
        <is>
          <t>400</t>
        </is>
      </c>
      <c r="J59" s="4"/>
      <c r="K59" s="2">
        <v>0</v>
      </c>
      <c r="L59" s="6"/>
      <c r="M59" s="2" t="str">
        <f>IF(J59="",ROUND(I59*(1-IF(ISBLANK(L59),K59,L59)/100),2),ROUND(J59*(1-IF(ISBLANK(L59),K59,L59)/100),2))</f>
      </c>
      <c r="N59" s="7" t="str">
        <f>IF(NOT(AND(J59="",L59="")),IF(OR(AND(L59&lt;&gt;"",NOT(ISNUMBER(L59))),IFERROR(MOD(L59,1),1)&gt;0,AND(ISNUMBER(L59),OR(L59&lt;0,L59&gt;95))),"Введите целое число от 0 до 95",IF(OR(AND(J59&lt;&gt;"",NOT(ISNUMBER(J59))),IFERROR(MOD(J59,1),1)&gt;0,AND(ISNUMBER(J59),OR(J59&lt;50,J59&gt;20000000))),"Введите целое число от 50 до 20000000",IF(NOT(ABS(IFERROR(VALUE(LEFT(M59,FIND("-",M59)-1)),M59)*100-(5000+2000000000)/2)&lt;=ABS(5000-2000000000)/2),"Цена со скидкой должна быть от 50 до 20000000",IF(IFERROR(VALUE(LEFT(M59,FIND("-",M59)-1)),M59)*220&lt;40000,"Вы уменьшили цену в несколько раз, товар попадет в карантин цен","")))),"")</f>
      </c>
    </row>
    <row r="60">
      <c r="A60" s="2" t="inlineStr">
        <is>
          <t/>
        </is>
      </c>
      <c r="B60" s="2" t="inlineStr">
        <is>
          <t>Подарочные коробки</t>
        </is>
      </c>
      <c r="C60" s="2">
        <v>122596573</v>
      </c>
      <c r="D60" s="2" t="inlineStr">
        <is>
          <t>Kraft-10-8</t>
        </is>
      </c>
      <c r="E60" s="2" t="inlineStr">
        <is>
          <t>2036955974859</t>
        </is>
      </c>
      <c r="F60" s="2">
        <v>0</v>
      </c>
      <c r="G60" s="2">
        <v>0</v>
      </c>
      <c r="H60" s="2">
        <v>0</v>
      </c>
      <c r="I60" s="2" t="inlineStr">
        <is>
          <t>452</t>
        </is>
      </c>
      <c r="J60" s="4"/>
      <c r="K60" s="2">
        <v>0</v>
      </c>
      <c r="L60" s="6"/>
      <c r="M60" s="2" t="str">
        <f>IF(J60="",ROUND(I60*(1-IF(ISBLANK(L60),K60,L60)/100),2),ROUND(J60*(1-IF(ISBLANK(L60),K60,L60)/100),2))</f>
      </c>
      <c r="N60" s="7" t="str">
        <f>IF(NOT(AND(J60="",L60="")),IF(OR(AND(L60&lt;&gt;"",NOT(ISNUMBER(L60))),IFERROR(MOD(L60,1),1)&gt;0,AND(ISNUMBER(L60),OR(L60&lt;0,L60&gt;95))),"Введите целое число от 0 до 95",IF(OR(AND(J60&lt;&gt;"",NOT(ISNUMBER(J60))),IFERROR(MOD(J60,1),1)&gt;0,AND(ISNUMBER(J60),OR(J60&lt;50,J60&gt;20000000))),"Введите целое число от 50 до 20000000",IF(NOT(ABS(IFERROR(VALUE(LEFT(M60,FIND("-",M60)-1)),M60)*100-(5000+2000000000)/2)&lt;=ABS(5000-2000000000)/2),"Цена со скидкой должна быть от 50 до 20000000",IF(IFERROR(VALUE(LEFT(M60,FIND("-",M60)-1)),M60)*180&lt;45200,"Вы уменьшили цену в несколько раз, товар попадет в карантин цен","")))),"")</f>
      </c>
    </row>
    <row r="61">
      <c r="A61" s="2" t="inlineStr">
        <is>
          <t/>
        </is>
      </c>
      <c r="B61" s="2" t="inlineStr">
        <is>
          <t>Аксессуары для бижутерии</t>
        </is>
      </c>
      <c r="C61" s="2">
        <v>184284070</v>
      </c>
      <c r="D61" s="2" t="inlineStr">
        <is>
          <t>conn-serbesk-gold-6</t>
        </is>
      </c>
      <c r="E61" s="2" t="inlineStr">
        <is>
          <t>2038848884320</t>
        </is>
      </c>
      <c r="F61" s="2">
        <v>0</v>
      </c>
      <c r="G61" s="2">
        <v>0</v>
      </c>
      <c r="H61" s="2" t="inlineStr">
        <is>
          <t/>
        </is>
      </c>
      <c r="I61" s="2" t="inlineStr">
        <is>
          <t>460</t>
        </is>
      </c>
      <c r="J61" s="4"/>
      <c r="K61" s="2">
        <v>0</v>
      </c>
      <c r="L61" s="6"/>
      <c r="M61" s="2" t="str">
        <f>IF(J61="",ROUND(I61*(1-IF(ISBLANK(L61),K61,L61)/100),2),ROUND(J61*(1-IF(ISBLANK(L61),K61,L61)/100),2))</f>
      </c>
      <c r="N61" s="7" t="str">
        <f>IF(NOT(AND(J61="",L61="")),IF(OR(AND(L61&lt;&gt;"",NOT(ISNUMBER(L61))),IFERROR(MOD(L61,1),1)&gt;0,AND(ISNUMBER(L61),OR(L61&lt;0,L61&gt;95))),"Введите целое число от 0 до 95",IF(OR(AND(J61&lt;&gt;"",NOT(ISNUMBER(J61))),IFERROR(MOD(J61,1),1)&gt;0,AND(ISNUMBER(J61),OR(J61&lt;50,J61&gt;20000000))),"Введите целое число от 50 до 20000000",IF(NOT(ABS(IFERROR(VALUE(LEFT(M61,FIND("-",M61)-1)),M61)*100-(5000+2000000000)/2)&lt;=ABS(5000-2000000000)/2),"Цена со скидкой должна быть от 50 до 20000000",IF(IFERROR(VALUE(LEFT(M61,FIND("-",M61)-1)),M61)*220&lt;46000,"Вы уменьшили цену в несколько раз, товар попадет в карантин цен","")))),"")</f>
      </c>
    </row>
    <row r="62">
      <c r="A62" s="2" t="inlineStr">
        <is>
          <t>CuteShop</t>
        </is>
      </c>
      <c r="B62" s="2" t="inlineStr">
        <is>
          <t>Аксессуары для бижутерии</t>
        </is>
      </c>
      <c r="C62" s="2">
        <v>225208160</v>
      </c>
      <c r="D62" s="2" t="inlineStr">
        <is>
          <t>Bale-Ser-9*12-25</t>
        </is>
      </c>
      <c r="E62" s="2" t="inlineStr">
        <is>
          <t>2039854391215</t>
        </is>
      </c>
      <c r="F62" s="2">
        <v>0</v>
      </c>
      <c r="G62" s="2">
        <v>0</v>
      </c>
      <c r="H62" s="2" t="inlineStr">
        <is>
          <t/>
        </is>
      </c>
      <c r="I62" s="2" t="inlineStr">
        <is>
          <t>300</t>
        </is>
      </c>
      <c r="J62" s="4"/>
      <c r="K62" s="2">
        <v>10</v>
      </c>
      <c r="L62" s="6"/>
      <c r="M62" s="2" t="str">
        <f>IF(J62="",ROUND(I62*(1-IF(ISBLANK(L62),K62,L62)/100),2),ROUND(J62*(1-IF(ISBLANK(L62),K62,L62)/100),2))</f>
      </c>
      <c r="N62" s="7" t="str">
        <f>IF(NOT(AND(J62="",L62="")),IF(OR(AND(L62&lt;&gt;"",NOT(ISNUMBER(L62))),IFERROR(MOD(L62,1),1)&gt;0,AND(ISNUMBER(L62),OR(L62&lt;0,L62&gt;95))),"Введите целое число от 0 до 95",IF(OR(AND(J62&lt;&gt;"",NOT(ISNUMBER(J62))),IFERROR(MOD(J62,1),1)&gt;0,AND(ISNUMBER(J62),OR(J62&lt;50,J62&gt;20000000))),"Введите целое число от 50 до 20000000",IF(NOT(ABS(IFERROR(VALUE(LEFT(M62,FIND("-",M62)-1)),M62)*100-(5000+2000000000)/2)&lt;=ABS(5000-2000000000)/2),"Цена со скидкой должна быть от 50 до 20000000",IF(IFERROR(VALUE(LEFT(M62,FIND("-",M62)-1)),M62)*220&lt;27000,"Вы уменьшили цену в несколько раз, товар попадет в карантин цен","")))),"")</f>
      </c>
    </row>
    <row r="63">
      <c r="A63" s="2" t="inlineStr">
        <is>
          <t/>
        </is>
      </c>
      <c r="B63" s="2" t="inlineStr">
        <is>
          <t>Аксессуары для бижутерии</t>
        </is>
      </c>
      <c r="C63" s="2">
        <v>184284062</v>
      </c>
      <c r="D63" s="2" t="inlineStr">
        <is>
          <t>conn-mes-silver-10</t>
        </is>
      </c>
      <c r="E63" s="2" t="inlineStr">
        <is>
          <t>2038848855603</t>
        </is>
      </c>
      <c r="F63" s="2">
        <v>0</v>
      </c>
      <c r="G63" s="2">
        <v>0</v>
      </c>
      <c r="H63" s="2" t="inlineStr">
        <is>
          <t/>
        </is>
      </c>
      <c r="I63" s="2" t="inlineStr">
        <is>
          <t>620</t>
        </is>
      </c>
      <c r="J63" s="4"/>
      <c r="K63" s="2">
        <v>0</v>
      </c>
      <c r="L63" s="6"/>
      <c r="M63" s="2" t="str">
        <f>IF(J63="",ROUND(I63*(1-IF(ISBLANK(L63),K63,L63)/100),2),ROUND(J63*(1-IF(ISBLANK(L63),K63,L63)/100),2))</f>
      </c>
      <c r="N63" s="7" t="str">
        <f>IF(NOT(AND(J63="",L63="")),IF(OR(AND(L63&lt;&gt;"",NOT(ISNUMBER(L63))),IFERROR(MOD(L63,1),1)&gt;0,AND(ISNUMBER(L63),OR(L63&lt;0,L63&gt;95))),"Введите целое число от 0 до 95",IF(OR(AND(J63&lt;&gt;"",NOT(ISNUMBER(J63))),IFERROR(MOD(J63,1),1)&gt;0,AND(ISNUMBER(J63),OR(J63&lt;50,J63&gt;20000000))),"Введите целое число от 50 до 20000000",IF(NOT(ABS(IFERROR(VALUE(LEFT(M63,FIND("-",M63)-1)),M63)*100-(5000+2000000000)/2)&lt;=ABS(5000-2000000000)/2),"Цена со скидкой должна быть от 50 до 20000000",IF(IFERROR(VALUE(LEFT(M63,FIND("-",M63)-1)),M63)*220&lt;62000,"Вы уменьшили цену в несколько раз, товар попадет в карантин цен","")))),"")</f>
      </c>
    </row>
    <row r="64">
      <c r="A64" s="2" t="inlineStr">
        <is>
          <t>CuteShop</t>
        </is>
      </c>
      <c r="B64" s="2" t="inlineStr">
        <is>
          <t>Подарочные пакеты</t>
        </is>
      </c>
      <c r="C64" s="2">
        <v>270936563</v>
      </c>
      <c r="D64" s="2" t="inlineStr">
        <is>
          <t>Paketik-LL-EspRoz-80</t>
        </is>
      </c>
      <c r="E64" s="2" t="inlineStr">
        <is>
          <t>2041464780198</t>
        </is>
      </c>
      <c r="F64" s="2">
        <v>0</v>
      </c>
      <c r="G64" s="2">
        <v>0</v>
      </c>
      <c r="H64" s="2" t="inlineStr">
        <is>
          <t/>
        </is>
      </c>
      <c r="I64" s="2" t="inlineStr">
        <is>
          <t>400</t>
        </is>
      </c>
      <c r="J64" s="4"/>
      <c r="K64" s="2">
        <v>0</v>
      </c>
      <c r="L64" s="6"/>
      <c r="M64" s="2" t="str">
        <f>IF(J64="",ROUND(I64*(1-IF(ISBLANK(L64),K64,L64)/100),2),ROUND(J64*(1-IF(ISBLANK(L64),K64,L64)/100),2))</f>
      </c>
      <c r="N64" s="7" t="str">
        <f>IF(NOT(AND(J64="",L64="")),IF(OR(AND(L64&lt;&gt;"",NOT(ISNUMBER(L64))),IFERROR(MOD(L64,1),1)&gt;0,AND(ISNUMBER(L64),OR(L64&lt;0,L64&gt;95))),"Введите целое число от 0 до 95",IF(OR(AND(J64&lt;&gt;"",NOT(ISNUMBER(J64))),IFERROR(MOD(J64,1),1)&gt;0,AND(ISNUMBER(J64),OR(J64&lt;50,J64&gt;20000000))),"Введите целое число от 50 до 20000000",IF(NOT(ABS(IFERROR(VALUE(LEFT(M64,FIND("-",M64)-1)),M64)*100-(5000+2000000000)/2)&lt;=ABS(5000-2000000000)/2),"Цена со скидкой должна быть от 50 до 20000000",IF(IFERROR(VALUE(LEFT(M64,FIND("-",M64)-1)),M64)*180&lt;40000,"Вы уменьшили цену в несколько раз, товар попадет в карантин цен","")))),"")</f>
      </c>
    </row>
    <row r="65">
      <c r="A65" s="2" t="inlineStr">
        <is>
          <t>CuteShop</t>
        </is>
      </c>
      <c r="B65" s="2" t="inlineStr">
        <is>
          <t>Подарочные пакеты</t>
        </is>
      </c>
      <c r="C65" s="2">
        <v>139978959</v>
      </c>
      <c r="D65" s="2" t="inlineStr">
        <is>
          <t>Paketik-LL-Pryanik-35</t>
        </is>
      </c>
      <c r="E65" s="2" t="inlineStr">
        <is>
          <t>2037287147911</t>
        </is>
      </c>
      <c r="F65" s="2">
        <v>0</v>
      </c>
      <c r="G65" s="2">
        <v>0</v>
      </c>
      <c r="H65" s="2" t="inlineStr">
        <is>
          <t/>
        </is>
      </c>
      <c r="I65" s="2" t="inlineStr">
        <is>
          <t>360</t>
        </is>
      </c>
      <c r="J65" s="4"/>
      <c r="K65" s="2">
        <v>0</v>
      </c>
      <c r="L65" s="6"/>
      <c r="M65" s="2" t="str">
        <f>IF(J65="",ROUND(I65*(1-IF(ISBLANK(L65),K65,L65)/100),2),ROUND(J65*(1-IF(ISBLANK(L65),K65,L65)/100),2))</f>
      </c>
      <c r="N65" s="7" t="str">
        <f>IF(NOT(AND(J65="",L65="")),IF(OR(AND(L65&lt;&gt;"",NOT(ISNUMBER(L65))),IFERROR(MOD(L65,1),1)&gt;0,AND(ISNUMBER(L65),OR(L65&lt;0,L65&gt;95))),"Введите целое число от 0 до 95",IF(OR(AND(J65&lt;&gt;"",NOT(ISNUMBER(J65))),IFERROR(MOD(J65,1),1)&gt;0,AND(ISNUMBER(J65),OR(J65&lt;50,J65&gt;20000000))),"Введите целое число от 50 до 20000000",IF(NOT(ABS(IFERROR(VALUE(LEFT(M65,FIND("-",M65)-1)),M65)*100-(5000+2000000000)/2)&lt;=ABS(5000-2000000000)/2),"Цена со скидкой должна быть от 50 до 20000000",IF(IFERROR(VALUE(LEFT(M65,FIND("-",M65)-1)),M65)*180&lt;36000,"Вы уменьшили цену в несколько раз, товар попадет в карантин цен","")))),"")</f>
      </c>
    </row>
    <row r="66">
      <c r="A66" s="2" t="inlineStr">
        <is>
          <t/>
        </is>
      </c>
      <c r="B66" s="2" t="inlineStr">
        <is>
          <t>Подарочные коробки</t>
        </is>
      </c>
      <c r="C66" s="2">
        <v>135241038</v>
      </c>
      <c r="D66" s="2" t="inlineStr">
        <is>
          <t>PVCFiol-15-15x5</t>
        </is>
      </c>
      <c r="E66" s="2" t="inlineStr">
        <is>
          <t>2037101217479</t>
        </is>
      </c>
      <c r="F66" s="2">
        <v>0</v>
      </c>
      <c r="G66" s="2">
        <v>0</v>
      </c>
      <c r="H66" s="2" t="inlineStr">
        <is>
          <t/>
        </is>
      </c>
      <c r="I66" s="2" t="inlineStr">
        <is>
          <t>420</t>
        </is>
      </c>
      <c r="J66" s="4"/>
      <c r="K66" s="2">
        <v>0</v>
      </c>
      <c r="L66" s="6"/>
      <c r="M66" s="2" t="str">
        <f>IF(J66="",ROUND(I66*(1-IF(ISBLANK(L66),K66,L66)/100),2),ROUND(J66*(1-IF(ISBLANK(L66),K66,L66)/100),2))</f>
      </c>
      <c r="N66" s="7" t="str">
        <f>IF(NOT(AND(J66="",L66="")),IF(OR(AND(L66&lt;&gt;"",NOT(ISNUMBER(L66))),IFERROR(MOD(L66,1),1)&gt;0,AND(ISNUMBER(L66),OR(L66&lt;0,L66&gt;95))),"Введите целое число от 0 до 95",IF(OR(AND(J66&lt;&gt;"",NOT(ISNUMBER(J66))),IFERROR(MOD(J66,1),1)&gt;0,AND(ISNUMBER(J66),OR(J66&lt;50,J66&gt;20000000))),"Введите целое число от 50 до 20000000",IF(NOT(ABS(IFERROR(VALUE(LEFT(M66,FIND("-",M66)-1)),M66)*100-(5000+2000000000)/2)&lt;=ABS(5000-2000000000)/2),"Цена со скидкой должна быть от 50 до 20000000",IF(IFERROR(VALUE(LEFT(M66,FIND("-",M66)-1)),M66)*180&lt;42000,"Вы уменьшили цену в несколько раз, товар попадет в карантин цен","")))),"")</f>
      </c>
    </row>
    <row r="67">
      <c r="A67" s="2" t="inlineStr">
        <is>
          <t/>
        </is>
      </c>
      <c r="B67" s="2" t="inlineStr">
        <is>
          <t>Аксессуары для бижутерии</t>
        </is>
      </c>
      <c r="C67" s="2">
        <v>184284057</v>
      </c>
      <c r="D67" s="2" t="inlineStr">
        <is>
          <t>conn-allah-gold-7</t>
        </is>
      </c>
      <c r="E67" s="2" t="inlineStr">
        <is>
          <t>2038848768392</t>
        </is>
      </c>
      <c r="F67" s="2">
        <v>0</v>
      </c>
      <c r="G67" s="2">
        <v>0</v>
      </c>
      <c r="H67" s="2">
        <v>1</v>
      </c>
      <c r="I67" s="2" t="inlineStr">
        <is>
          <t>510</t>
        </is>
      </c>
      <c r="J67" s="4"/>
      <c r="K67" s="2">
        <v>7</v>
      </c>
      <c r="L67" s="6"/>
      <c r="M67" s="2" t="str">
        <f>IF(J67="",ROUND(I67*(1-IF(ISBLANK(L67),K67,L67)/100),2),ROUND(J67*(1-IF(ISBLANK(L67),K67,L67)/100),2))</f>
      </c>
      <c r="N67" s="7" t="str">
        <f>IF(NOT(AND(J67="",L67="")),IF(OR(AND(L67&lt;&gt;"",NOT(ISNUMBER(L67))),IFERROR(MOD(L67,1),1)&gt;0,AND(ISNUMBER(L67),OR(L67&lt;0,L67&gt;95))),"Введите целое число от 0 до 95",IF(OR(AND(J67&lt;&gt;"",NOT(ISNUMBER(J67))),IFERROR(MOD(J67,1),1)&gt;0,AND(ISNUMBER(J67),OR(J67&lt;50,J67&gt;20000000))),"Введите целое число от 50 до 20000000",IF(NOT(ABS(IFERROR(VALUE(LEFT(M67,FIND("-",M67)-1)),M67)*100-(5000+2000000000)/2)&lt;=ABS(5000-2000000000)/2),"Цена со скидкой должна быть от 50 до 20000000",IF(IFERROR(VALUE(LEFT(M67,FIND("-",M67)-1)),M67)*220&lt;47429,"Вы уменьшили цену в несколько раз, товар попадет в карантин цен","")))),"")</f>
      </c>
    </row>
    <row r="68">
      <c r="A68" s="2" t="inlineStr">
        <is>
          <t/>
        </is>
      </c>
      <c r="B68" s="2" t="inlineStr">
        <is>
          <t>Подарочные коробки</t>
        </is>
      </c>
      <c r="C68" s="2">
        <v>135284683</v>
      </c>
      <c r="D68" s="2" t="inlineStr">
        <is>
          <t>PVCBel-18-18x10</t>
        </is>
      </c>
      <c r="E68" s="2" t="inlineStr">
        <is>
          <t>2037101435514</t>
        </is>
      </c>
      <c r="F68" s="2">
        <v>0</v>
      </c>
      <c r="G68" s="2">
        <v>0</v>
      </c>
      <c r="H68" s="2">
        <v>0</v>
      </c>
      <c r="I68" s="2" t="inlineStr">
        <is>
          <t>710</t>
        </is>
      </c>
      <c r="J68" s="4"/>
      <c r="K68" s="2">
        <v>10</v>
      </c>
      <c r="L68" s="6"/>
      <c r="M68" s="2" t="str">
        <f>IF(J68="",ROUND(I68*(1-IF(ISBLANK(L68),K68,L68)/100),2),ROUND(J68*(1-IF(ISBLANK(L68),K68,L68)/100),2))</f>
      </c>
      <c r="N68" s="7" t="str">
        <f>IF(NOT(AND(J68="",L68="")),IF(OR(AND(L68&lt;&gt;"",NOT(ISNUMBER(L68))),IFERROR(MOD(L68,1),1)&gt;0,AND(ISNUMBER(L68),OR(L68&lt;0,L68&gt;95))),"Введите целое число от 0 до 95",IF(OR(AND(J68&lt;&gt;"",NOT(ISNUMBER(J68))),IFERROR(MOD(J68,1),1)&gt;0,AND(ISNUMBER(J68),OR(J68&lt;50,J68&gt;20000000))),"Введите целое число от 50 до 20000000",IF(NOT(ABS(IFERROR(VALUE(LEFT(M68,FIND("-",M68)-1)),M68)*100-(5000+2000000000)/2)&lt;=ABS(5000-2000000000)/2),"Цена со скидкой должна быть от 50 до 20000000",IF(IFERROR(VALUE(LEFT(M68,FIND("-",M68)-1)),M68)*180&lt;63900,"Вы уменьшили цену в несколько раз, товар попадет в карантин цен","")))),"")</f>
      </c>
    </row>
    <row r="69">
      <c r="A69" s="2" t="inlineStr">
        <is>
          <t/>
        </is>
      </c>
      <c r="B69" s="2" t="inlineStr">
        <is>
          <t>Подарочные коробки</t>
        </is>
      </c>
      <c r="C69" s="2">
        <v>190309793</v>
      </c>
      <c r="D69" s="2" t="inlineStr">
        <is>
          <t>Box-Bel-20-12-10</t>
        </is>
      </c>
      <c r="E69" s="2" t="inlineStr">
        <is>
          <t>2039005988530</t>
        </is>
      </c>
      <c r="F69" s="2">
        <v>0</v>
      </c>
      <c r="G69" s="2">
        <v>0</v>
      </c>
      <c r="H69" s="2" t="inlineStr">
        <is>
          <t/>
        </is>
      </c>
      <c r="I69" s="2" t="inlineStr">
        <is>
          <t>660</t>
        </is>
      </c>
      <c r="J69" s="4"/>
      <c r="K69" s="2">
        <v>10</v>
      </c>
      <c r="L69" s="6"/>
      <c r="M69" s="2" t="str">
        <f>IF(J69="",ROUND(I69*(1-IF(ISBLANK(L69),K69,L69)/100),2),ROUND(J69*(1-IF(ISBLANK(L69),K69,L69)/100),2))</f>
      </c>
      <c r="N69" s="7" t="str">
        <f>IF(NOT(AND(J69="",L69="")),IF(OR(AND(L69&lt;&gt;"",NOT(ISNUMBER(L69))),IFERROR(MOD(L69,1),1)&gt;0,AND(ISNUMBER(L69),OR(L69&lt;0,L69&gt;95))),"Введите целое число от 0 до 95",IF(OR(AND(J69&lt;&gt;"",NOT(ISNUMBER(J69))),IFERROR(MOD(J69,1),1)&gt;0,AND(ISNUMBER(J69),OR(J69&lt;50,J69&gt;20000000))),"Введите целое число от 50 до 20000000",IF(NOT(ABS(IFERROR(VALUE(LEFT(M69,FIND("-",M69)-1)),M69)*100-(5000+2000000000)/2)&lt;=ABS(5000-2000000000)/2),"Цена со скидкой должна быть от 50 до 20000000",IF(IFERROR(VALUE(LEFT(M69,FIND("-",M69)-1)),M69)*180&lt;59400,"Вы уменьшили цену в несколько раз, товар попадет в карантин цен","")))),"")</f>
      </c>
    </row>
    <row r="70">
      <c r="A70" s="2" t="inlineStr">
        <is>
          <t>CuteShop</t>
        </is>
      </c>
      <c r="B70" s="2" t="inlineStr">
        <is>
          <t>Подарочные коробки</t>
        </is>
      </c>
      <c r="C70" s="2">
        <v>139977510</v>
      </c>
      <c r="D70" s="2" t="inlineStr">
        <is>
          <t>Kor-15-15-Kraft-5</t>
        </is>
      </c>
      <c r="E70" s="2" t="inlineStr">
        <is>
          <t>2037287119888</t>
        </is>
      </c>
      <c r="F70" s="2">
        <v>0</v>
      </c>
      <c r="G70" s="2">
        <v>0</v>
      </c>
      <c r="H70" s="2" t="inlineStr">
        <is>
          <t/>
        </is>
      </c>
      <c r="I70" s="2" t="inlineStr">
        <is>
          <t>370</t>
        </is>
      </c>
      <c r="J70" s="4"/>
      <c r="K70" s="2">
        <v>0</v>
      </c>
      <c r="L70" s="6"/>
      <c r="M70" s="2" t="str">
        <f>IF(J70="",ROUND(I70*(1-IF(ISBLANK(L70),K70,L70)/100),2),ROUND(J70*(1-IF(ISBLANK(L70),K70,L70)/100),2))</f>
      </c>
      <c r="N70" s="7" t="str">
        <f>IF(NOT(AND(J70="",L70="")),IF(OR(AND(L70&lt;&gt;"",NOT(ISNUMBER(L70))),IFERROR(MOD(L70,1),1)&gt;0,AND(ISNUMBER(L70),OR(L70&lt;0,L70&gt;95))),"Введите целое число от 0 до 95",IF(OR(AND(J70&lt;&gt;"",NOT(ISNUMBER(J70))),IFERROR(MOD(J70,1),1)&gt;0,AND(ISNUMBER(J70),OR(J70&lt;50,J70&gt;20000000))),"Введите целое число от 50 до 20000000",IF(NOT(ABS(IFERROR(VALUE(LEFT(M70,FIND("-",M70)-1)),M70)*100-(5000+2000000000)/2)&lt;=ABS(5000-2000000000)/2),"Цена со скидкой должна быть от 50 до 20000000",IF(IFERROR(VALUE(LEFT(M70,FIND("-",M70)-1)),M70)*180&lt;37000,"Вы уменьшили цену в несколько раз, товар попадет в карантин цен","")))),"")</f>
      </c>
    </row>
    <row r="71">
      <c r="A71" s="2" t="inlineStr">
        <is>
          <t>CuteShop</t>
        </is>
      </c>
      <c r="B71" s="2" t="inlineStr">
        <is>
          <t>Подвески бижутерные</t>
        </is>
      </c>
      <c r="C71" s="2">
        <v>273685650</v>
      </c>
      <c r="D71" s="2" t="inlineStr">
        <is>
          <t>Podv-NY2-19</t>
        </is>
      </c>
      <c r="E71" s="2" t="inlineStr">
        <is>
          <t>2041536023246</t>
        </is>
      </c>
      <c r="F71" s="2">
        <v>0</v>
      </c>
      <c r="G71" s="2">
        <v>0</v>
      </c>
      <c r="H71" s="2" t="inlineStr">
        <is>
          <t/>
        </is>
      </c>
      <c r="I71" s="2" t="inlineStr">
        <is>
          <t>330</t>
        </is>
      </c>
      <c r="J71" s="4"/>
      <c r="K71" s="2">
        <v>0</v>
      </c>
      <c r="L71" s="6"/>
      <c r="M71" s="2" t="str">
        <f>IF(J71="",ROUND(I71*(1-IF(ISBLANK(L71),K71,L71)/100),2),ROUND(J71*(1-IF(ISBLANK(L71),K71,L71)/100),2))</f>
      </c>
      <c r="N71" s="7" t="str">
        <f>IF(NOT(AND(J71="",L71="")),IF(OR(AND(L71&lt;&gt;"",NOT(ISNUMBER(L71))),IFERROR(MOD(L71,1),1)&gt;0,AND(ISNUMBER(L71),OR(L71&lt;0,L71&gt;95))),"Введите целое число от 0 до 95",IF(OR(AND(J71&lt;&gt;"",NOT(ISNUMBER(J71))),IFERROR(MOD(J71,1),1)&gt;0,AND(ISNUMBER(J71),OR(J71&lt;50,J71&gt;20000000))),"Введите целое число от 50 до 20000000",IF(NOT(ABS(IFERROR(VALUE(LEFT(M71,FIND("-",M71)-1)),M71)*100-(5000+2000000000)/2)&lt;=ABS(5000-2000000000)/2),"Цена со скидкой должна быть от 50 до 20000000",IF(IFERROR(VALUE(LEFT(M71,FIND("-",M71)-1)),M71)*220&lt;33000,"Вы уменьшили цену в несколько раз, товар попадет в карантин цен","")))),"")</f>
      </c>
    </row>
    <row r="72">
      <c r="A72" s="2" t="inlineStr">
        <is>
          <t>CuteShop</t>
        </is>
      </c>
      <c r="B72" s="2" t="inlineStr">
        <is>
          <t>Подарочные пакеты</t>
        </is>
      </c>
      <c r="C72" s="2">
        <v>180625515</v>
      </c>
      <c r="D72" s="2" t="inlineStr">
        <is>
          <t>Paketik-LL-Korea-7*7-100</t>
        </is>
      </c>
      <c r="E72" s="2" t="inlineStr">
        <is>
          <t>2038741766198</t>
        </is>
      </c>
      <c r="F72" s="2">
        <v>0</v>
      </c>
      <c r="G72" s="2">
        <v>0</v>
      </c>
      <c r="H72" s="2" t="inlineStr">
        <is>
          <t/>
        </is>
      </c>
      <c r="I72" s="2" t="inlineStr">
        <is>
          <t>330</t>
        </is>
      </c>
      <c r="J72" s="4"/>
      <c r="K72" s="2">
        <v>10</v>
      </c>
      <c r="L72" s="6"/>
      <c r="M72" s="2" t="str">
        <f>IF(J72="",ROUND(I72*(1-IF(ISBLANK(L72),K72,L72)/100),2),ROUND(J72*(1-IF(ISBLANK(L72),K72,L72)/100),2))</f>
      </c>
      <c r="N72" s="7" t="str">
        <f>IF(NOT(AND(J72="",L72="")),IF(OR(AND(L72&lt;&gt;"",NOT(ISNUMBER(L72))),IFERROR(MOD(L72,1),1)&gt;0,AND(ISNUMBER(L72),OR(L72&lt;0,L72&gt;95))),"Введите целое число от 0 до 95",IF(OR(AND(J72&lt;&gt;"",NOT(ISNUMBER(J72))),IFERROR(MOD(J72,1),1)&gt;0,AND(ISNUMBER(J72),OR(J72&lt;50,J72&gt;20000000))),"Введите целое число от 50 до 20000000",IF(NOT(ABS(IFERROR(VALUE(LEFT(M72,FIND("-",M72)-1)),M72)*100-(5000+2000000000)/2)&lt;=ABS(5000-2000000000)/2),"Цена со скидкой должна быть от 50 до 20000000",IF(IFERROR(VALUE(LEFT(M72,FIND("-",M72)-1)),M72)*180&lt;29700,"Вы уменьшили цену в несколько раз, товар попадет в карантин цен","")))),"")</f>
      </c>
    </row>
    <row r="73">
      <c r="A73" s="2" t="inlineStr">
        <is>
          <t>CuteShop</t>
        </is>
      </c>
      <c r="B73" s="2" t="inlineStr">
        <is>
          <t>Подарочные пакеты</t>
        </is>
      </c>
      <c r="C73" s="2">
        <v>219953930</v>
      </c>
      <c r="D73" s="2" t="inlineStr">
        <is>
          <t>pak-8mkraft</t>
        </is>
      </c>
      <c r="E73" s="2" t="inlineStr">
        <is>
          <t>2039728779170</t>
        </is>
      </c>
      <c r="F73" s="2">
        <v>0</v>
      </c>
      <c r="G73" s="2">
        <v>0</v>
      </c>
      <c r="H73" s="2" t="inlineStr">
        <is>
          <t/>
        </is>
      </c>
      <c r="I73" s="2" t="inlineStr">
        <is>
          <t>300</t>
        </is>
      </c>
      <c r="J73" s="4"/>
      <c r="K73" s="2">
        <v>10</v>
      </c>
      <c r="L73" s="6"/>
      <c r="M73" s="2" t="str">
        <f>IF(J73="",ROUND(I73*(1-IF(ISBLANK(L73),K73,L73)/100),2),ROUND(J73*(1-IF(ISBLANK(L73),K73,L73)/100),2))</f>
      </c>
      <c r="N73" s="7" t="str">
        <f>IF(NOT(AND(J73="",L73="")),IF(OR(AND(L73&lt;&gt;"",NOT(ISNUMBER(L73))),IFERROR(MOD(L73,1),1)&gt;0,AND(ISNUMBER(L73),OR(L73&lt;0,L73&gt;95))),"Введите целое число от 0 до 95",IF(OR(AND(J73&lt;&gt;"",NOT(ISNUMBER(J73))),IFERROR(MOD(J73,1),1)&gt;0,AND(ISNUMBER(J73),OR(J73&lt;50,J73&gt;20000000))),"Введите целое число от 50 до 20000000",IF(NOT(ABS(IFERROR(VALUE(LEFT(M73,FIND("-",M73)-1)),M73)*100-(5000+2000000000)/2)&lt;=ABS(5000-2000000000)/2),"Цена со скидкой должна быть от 50 до 20000000",IF(IFERROR(VALUE(LEFT(M73,FIND("-",M73)-1)),M73)*180&lt;27000,"Вы уменьшили цену в несколько раз, товар попадет в карантин цен","")))),"")</f>
      </c>
    </row>
    <row r="74">
      <c r="A74" s="2" t="inlineStr">
        <is>
          <t/>
        </is>
      </c>
      <c r="B74" s="2" t="inlineStr">
        <is>
          <t>Подарочные коробки</t>
        </is>
      </c>
      <c r="C74" s="2">
        <v>196628376</v>
      </c>
      <c r="D74" s="2" t="inlineStr">
        <is>
          <t>PVCNab-12-12x10</t>
        </is>
      </c>
      <c r="E74" s="2" t="inlineStr">
        <is>
          <t>2039183543477</t>
        </is>
      </c>
      <c r="F74" s="2">
        <v>0</v>
      </c>
      <c r="G74" s="2">
        <v>0</v>
      </c>
      <c r="H74" s="2">
        <v>1</v>
      </c>
      <c r="I74" s="2" t="inlineStr">
        <is>
          <t>460</t>
        </is>
      </c>
      <c r="J74" s="4"/>
      <c r="K74" s="2">
        <v>0</v>
      </c>
      <c r="L74" s="6"/>
      <c r="M74" s="2" t="str">
        <f>IF(J74="",ROUND(I74*(1-IF(ISBLANK(L74),K74,L74)/100),2),ROUND(J74*(1-IF(ISBLANK(L74),K74,L74)/100),2))</f>
      </c>
      <c r="N74" s="7" t="str">
        <f>IF(NOT(AND(J74="",L74="")),IF(OR(AND(L74&lt;&gt;"",NOT(ISNUMBER(L74))),IFERROR(MOD(L74,1),1)&gt;0,AND(ISNUMBER(L74),OR(L74&lt;0,L74&gt;95))),"Введите целое число от 0 до 95",IF(OR(AND(J74&lt;&gt;"",NOT(ISNUMBER(J74))),IFERROR(MOD(J74,1),1)&gt;0,AND(ISNUMBER(J74),OR(J74&lt;50,J74&gt;20000000))),"Введите целое число от 50 до 20000000",IF(NOT(ABS(IFERROR(VALUE(LEFT(M74,FIND("-",M74)-1)),M74)*100-(5000+2000000000)/2)&lt;=ABS(5000-2000000000)/2),"Цена со скидкой должна быть от 50 до 20000000",IF(IFERROR(VALUE(LEFT(M74,FIND("-",M74)-1)),M74)*180&lt;46000,"Вы уменьшили цену в несколько раз, товар попадет в карантин цен","")))),"")</f>
      </c>
    </row>
    <row r="75">
      <c r="A75" s="2" t="inlineStr">
        <is>
          <t/>
        </is>
      </c>
      <c r="B75" s="2" t="inlineStr">
        <is>
          <t>Подарочные коробки</t>
        </is>
      </c>
      <c r="C75" s="2">
        <v>140159113</v>
      </c>
      <c r="D75" s="2" t="inlineStr">
        <is>
          <t>Box-Bel-21-15-10</t>
        </is>
      </c>
      <c r="E75" s="2" t="inlineStr">
        <is>
          <t>2037292077920</t>
        </is>
      </c>
      <c r="F75" s="2">
        <v>0</v>
      </c>
      <c r="G75" s="2">
        <v>0</v>
      </c>
      <c r="H75" s="2">
        <v>0</v>
      </c>
      <c r="I75" s="2" t="inlineStr">
        <is>
          <t>580</t>
        </is>
      </c>
      <c r="J75" s="4"/>
      <c r="K75" s="2">
        <v>0</v>
      </c>
      <c r="L75" s="6"/>
      <c r="M75" s="2" t="str">
        <f>IF(J75="",ROUND(I75*(1-IF(ISBLANK(L75),K75,L75)/100),2),ROUND(J75*(1-IF(ISBLANK(L75),K75,L75)/100),2))</f>
      </c>
      <c r="N75" s="7" t="str">
        <f>IF(NOT(AND(J75="",L75="")),IF(OR(AND(L75&lt;&gt;"",NOT(ISNUMBER(L75))),IFERROR(MOD(L75,1),1)&gt;0,AND(ISNUMBER(L75),OR(L75&lt;0,L75&gt;95))),"Введите целое число от 0 до 95",IF(OR(AND(J75&lt;&gt;"",NOT(ISNUMBER(J75))),IFERROR(MOD(J75,1),1)&gt;0,AND(ISNUMBER(J75),OR(J75&lt;50,J75&gt;20000000))),"Введите целое число от 50 до 20000000",IF(NOT(ABS(IFERROR(VALUE(LEFT(M75,FIND("-",M75)-1)),M75)*100-(5000+2000000000)/2)&lt;=ABS(5000-2000000000)/2),"Цена со скидкой должна быть от 50 до 20000000",IF(IFERROR(VALUE(LEFT(M75,FIND("-",M75)-1)),M75)*180&lt;58000,"Вы уменьшили цену в несколько раз, товар попадет в карантин цен","")))),"")</f>
      </c>
    </row>
    <row r="76">
      <c r="A76" s="2" t="inlineStr">
        <is>
          <t/>
        </is>
      </c>
      <c r="B76" s="2" t="inlineStr">
        <is>
          <t>Подарочные коробки</t>
        </is>
      </c>
      <c r="C76" s="2">
        <v>196657290</v>
      </c>
      <c r="D76" s="2" t="inlineStr">
        <is>
          <t>PVCNabor-22-15x4</t>
        </is>
      </c>
      <c r="E76" s="2" t="inlineStr">
        <is>
          <t>2039183964753</t>
        </is>
      </c>
      <c r="F76" s="2">
        <v>0</v>
      </c>
      <c r="G76" s="2">
        <v>0</v>
      </c>
      <c r="H76" s="2" t="inlineStr">
        <is>
          <t/>
        </is>
      </c>
      <c r="I76" s="2" t="inlineStr">
        <is>
          <t>360</t>
        </is>
      </c>
      <c r="J76" s="4"/>
      <c r="K76" s="2">
        <v>0</v>
      </c>
      <c r="L76" s="6"/>
      <c r="M76" s="2" t="str">
        <f>IF(J76="",ROUND(I76*(1-IF(ISBLANK(L76),K76,L76)/100),2),ROUND(J76*(1-IF(ISBLANK(L76),K76,L76)/100),2))</f>
      </c>
      <c r="N76" s="7" t="str">
        <f>IF(NOT(AND(J76="",L76="")),IF(OR(AND(L76&lt;&gt;"",NOT(ISNUMBER(L76))),IFERROR(MOD(L76,1),1)&gt;0,AND(ISNUMBER(L76),OR(L76&lt;0,L76&gt;95))),"Введите целое число от 0 до 95",IF(OR(AND(J76&lt;&gt;"",NOT(ISNUMBER(J76))),IFERROR(MOD(J76,1),1)&gt;0,AND(ISNUMBER(J76),OR(J76&lt;50,J76&gt;20000000))),"Введите целое число от 50 до 20000000",IF(NOT(ABS(IFERROR(VALUE(LEFT(M76,FIND("-",M76)-1)),M76)*100-(5000+2000000000)/2)&lt;=ABS(5000-2000000000)/2),"Цена со скидкой должна быть от 50 до 20000000",IF(IFERROR(VALUE(LEFT(M76,FIND("-",M76)-1)),M76)*180&lt;36000,"Вы уменьшили цену в несколько раз, товар попадет в карантин цен","")))),"")</f>
      </c>
    </row>
    <row r="77">
      <c r="A77" s="2" t="inlineStr">
        <is>
          <t>CuteShop</t>
        </is>
      </c>
      <c r="B77" s="2" t="inlineStr">
        <is>
          <t>Подарочные коробки</t>
        </is>
      </c>
      <c r="C77" s="2">
        <v>187762364</v>
      </c>
      <c r="D77" s="2" t="inlineStr">
        <is>
          <t>Kor-115-115-ZelKrug-5</t>
        </is>
      </c>
      <c r="E77" s="2" t="inlineStr">
        <is>
          <t>2038919585774</t>
        </is>
      </c>
      <c r="F77" s="2">
        <v>0</v>
      </c>
      <c r="G77" s="2">
        <v>0</v>
      </c>
      <c r="H77" s="2" t="inlineStr">
        <is>
          <t/>
        </is>
      </c>
      <c r="I77" s="2" t="inlineStr">
        <is>
          <t>380</t>
        </is>
      </c>
      <c r="J77" s="4"/>
      <c r="K77" s="2">
        <v>0</v>
      </c>
      <c r="L77" s="6"/>
      <c r="M77" s="2" t="str">
        <f>IF(J77="",ROUND(I77*(1-IF(ISBLANK(L77),K77,L77)/100),2),ROUND(J77*(1-IF(ISBLANK(L77),K77,L77)/100),2))</f>
      </c>
      <c r="N77" s="7" t="str">
        <f>IF(NOT(AND(J77="",L77="")),IF(OR(AND(L77&lt;&gt;"",NOT(ISNUMBER(L77))),IFERROR(MOD(L77,1),1)&gt;0,AND(ISNUMBER(L77),OR(L77&lt;0,L77&gt;95))),"Введите целое число от 0 до 95",IF(OR(AND(J77&lt;&gt;"",NOT(ISNUMBER(J77))),IFERROR(MOD(J77,1),1)&gt;0,AND(ISNUMBER(J77),OR(J77&lt;50,J77&gt;20000000))),"Введите целое число от 50 до 20000000",IF(NOT(ABS(IFERROR(VALUE(LEFT(M77,FIND("-",M77)-1)),M77)*100-(5000+2000000000)/2)&lt;=ABS(5000-2000000000)/2),"Цена со скидкой должна быть от 50 до 20000000",IF(IFERROR(VALUE(LEFT(M77,FIND("-",M77)-1)),M77)*180&lt;38000,"Вы уменьшили цену в несколько раз, товар попадет в карантин цен","")))),"")</f>
      </c>
    </row>
    <row r="78">
      <c r="A78" s="2" t="inlineStr">
        <is>
          <t>CuteShop</t>
        </is>
      </c>
      <c r="B78" s="2" t="inlineStr">
        <is>
          <t>Елочные украшения</t>
        </is>
      </c>
      <c r="C78" s="2">
        <v>123878145</v>
      </c>
      <c r="D78" s="2" t="inlineStr">
        <is>
          <t>Shar-8x5</t>
        </is>
      </c>
      <c r="E78" s="2" t="inlineStr">
        <is>
          <t>2036977575324</t>
        </is>
      </c>
      <c r="F78" s="2">
        <v>0</v>
      </c>
      <c r="G78" s="2">
        <v>0</v>
      </c>
      <c r="H78" s="2">
        <v>0</v>
      </c>
      <c r="I78" s="2" t="inlineStr">
        <is>
          <t>619</t>
        </is>
      </c>
      <c r="J78" s="4"/>
      <c r="K78" s="2">
        <v>0</v>
      </c>
      <c r="L78" s="6"/>
      <c r="M78" s="2" t="str">
        <f>IF(J78="",ROUND(I78*(1-IF(ISBLANK(L78),K78,L78)/100),2),ROUND(J78*(1-IF(ISBLANK(L78),K78,L78)/100),2))</f>
      </c>
      <c r="N78" s="7" t="str">
        <f>IF(NOT(AND(J78="",L78="")),IF(OR(AND(L78&lt;&gt;"",NOT(ISNUMBER(L78))),IFERROR(MOD(L78,1),1)&gt;0,AND(ISNUMBER(L78),OR(L78&lt;0,L78&gt;95))),"Введите целое число от 0 до 95",IF(OR(AND(J78&lt;&gt;"",NOT(ISNUMBER(J78))),IFERROR(MOD(J78,1),1)&gt;0,AND(ISNUMBER(J78),OR(J78&lt;50,J78&gt;20000000))),"Введите целое число от 50 до 20000000",IF(NOT(ABS(IFERROR(VALUE(LEFT(M78,FIND("-",M78)-1)),M78)*100-(5000+2000000000)/2)&lt;=ABS(5000-2000000000)/2),"Цена со скидкой должна быть от 50 до 20000000",IF(IFERROR(VALUE(LEFT(M78,FIND("-",M78)-1)),M78)*180&lt;61900,"Вы уменьшили цену в несколько раз, товар попадет в карантин цен","")))),"")</f>
      </c>
    </row>
    <row r="79">
      <c r="A79" s="2" t="inlineStr">
        <is>
          <t/>
        </is>
      </c>
      <c r="B79" s="2" t="inlineStr">
        <is>
          <t>Подарочные коробки</t>
        </is>
      </c>
      <c r="C79" s="2">
        <v>187031546</v>
      </c>
      <c r="D79" s="2" t="inlineStr">
        <is>
          <t>PVCGol-12-12x5</t>
        </is>
      </c>
      <c r="E79" s="2" t="inlineStr">
        <is>
          <t>2038899033074</t>
        </is>
      </c>
      <c r="F79" s="2">
        <v>0</v>
      </c>
      <c r="G79" s="2">
        <v>0</v>
      </c>
      <c r="H79" s="2" t="inlineStr">
        <is>
          <t/>
        </is>
      </c>
      <c r="I79" s="2" t="inlineStr">
        <is>
          <t>360</t>
        </is>
      </c>
      <c r="J79" s="4"/>
      <c r="K79" s="2">
        <v>0</v>
      </c>
      <c r="L79" s="6"/>
      <c r="M79" s="2" t="str">
        <f>IF(J79="",ROUND(I79*(1-IF(ISBLANK(L79),K79,L79)/100),2),ROUND(J79*(1-IF(ISBLANK(L79),K79,L79)/100),2))</f>
      </c>
      <c r="N79" s="7" t="str">
        <f>IF(NOT(AND(J79="",L79="")),IF(OR(AND(L79&lt;&gt;"",NOT(ISNUMBER(L79))),IFERROR(MOD(L79,1),1)&gt;0,AND(ISNUMBER(L79),OR(L79&lt;0,L79&gt;95))),"Введите целое число от 0 до 95",IF(OR(AND(J79&lt;&gt;"",NOT(ISNUMBER(J79))),IFERROR(MOD(J79,1),1)&gt;0,AND(ISNUMBER(J79),OR(J79&lt;50,J79&gt;20000000))),"Введите целое число от 50 до 20000000",IF(NOT(ABS(IFERROR(VALUE(LEFT(M79,FIND("-",M79)-1)),M79)*100-(5000+2000000000)/2)&lt;=ABS(5000-2000000000)/2),"Цена со скидкой должна быть от 50 до 20000000",IF(IFERROR(VALUE(LEFT(M79,FIND("-",M79)-1)),M79)*180&lt;36000,"Вы уменьшили цену в несколько раз, товар попадет в карантин цен","")))),"")</f>
      </c>
    </row>
    <row r="80">
      <c r="A80" s="2" t="inlineStr">
        <is>
          <t>CuteShop</t>
        </is>
      </c>
      <c r="B80" s="2" t="inlineStr">
        <is>
          <t>Елочные украшения</t>
        </is>
      </c>
      <c r="C80" s="2">
        <v>123878147</v>
      </c>
      <c r="D80" s="2" t="inlineStr">
        <is>
          <t>Shar-6x10</t>
        </is>
      </c>
      <c r="E80" s="2" t="inlineStr">
        <is>
          <t>2036977564311</t>
        </is>
      </c>
      <c r="F80" s="2">
        <v>0</v>
      </c>
      <c r="G80" s="2">
        <v>0</v>
      </c>
      <c r="H80" s="2">
        <v>0</v>
      </c>
      <c r="I80" s="2" t="inlineStr">
        <is>
          <t>678</t>
        </is>
      </c>
      <c r="J80" s="4"/>
      <c r="K80" s="2">
        <v>0</v>
      </c>
      <c r="L80" s="6"/>
      <c r="M80" s="2" t="str">
        <f>IF(J80="",ROUND(I80*(1-IF(ISBLANK(L80),K80,L80)/100),2),ROUND(J80*(1-IF(ISBLANK(L80),K80,L80)/100),2))</f>
      </c>
      <c r="N80" s="7" t="str">
        <f>IF(NOT(AND(J80="",L80="")),IF(OR(AND(L80&lt;&gt;"",NOT(ISNUMBER(L80))),IFERROR(MOD(L80,1),1)&gt;0,AND(ISNUMBER(L80),OR(L80&lt;0,L80&gt;95))),"Введите целое число от 0 до 95",IF(OR(AND(J80&lt;&gt;"",NOT(ISNUMBER(J80))),IFERROR(MOD(J80,1),1)&gt;0,AND(ISNUMBER(J80),OR(J80&lt;50,J80&gt;20000000))),"Введите целое число от 50 до 20000000",IF(NOT(ABS(IFERROR(VALUE(LEFT(M80,FIND("-",M80)-1)),M80)*100-(5000+2000000000)/2)&lt;=ABS(5000-2000000000)/2),"Цена со скидкой должна быть от 50 до 20000000",IF(IFERROR(VALUE(LEFT(M80,FIND("-",M80)-1)),M80)*180&lt;67800,"Вы уменьшили цену в несколько раз, товар попадет в карантин цен","")))),"")</f>
      </c>
    </row>
    <row r="81">
      <c r="A81" s="2" t="inlineStr">
        <is>
          <t/>
        </is>
      </c>
      <c r="B81" s="2" t="inlineStr">
        <is>
          <t>Подарочные коробки</t>
        </is>
      </c>
      <c r="C81" s="2">
        <v>187758843</v>
      </c>
      <c r="D81" s="2" t="inlineStr">
        <is>
          <t>PVCBel-20-10,5x5</t>
        </is>
      </c>
      <c r="E81" s="2" t="inlineStr">
        <is>
          <t>2038919548618</t>
        </is>
      </c>
      <c r="F81" s="2">
        <v>0</v>
      </c>
      <c r="G81" s="2">
        <v>0</v>
      </c>
      <c r="H81" s="2" t="inlineStr">
        <is>
          <t/>
        </is>
      </c>
      <c r="I81" s="2" t="inlineStr">
        <is>
          <t>440</t>
        </is>
      </c>
      <c r="J81" s="4"/>
      <c r="K81" s="2">
        <v>0</v>
      </c>
      <c r="L81" s="6"/>
      <c r="M81" s="2" t="str">
        <f>IF(J81="",ROUND(I81*(1-IF(ISBLANK(L81),K81,L81)/100),2),ROUND(J81*(1-IF(ISBLANK(L81),K81,L81)/100),2))</f>
      </c>
      <c r="N81" s="7" t="str">
        <f>IF(NOT(AND(J81="",L81="")),IF(OR(AND(L81&lt;&gt;"",NOT(ISNUMBER(L81))),IFERROR(MOD(L81,1),1)&gt;0,AND(ISNUMBER(L81),OR(L81&lt;0,L81&gt;95))),"Введите целое число от 0 до 95",IF(OR(AND(J81&lt;&gt;"",NOT(ISNUMBER(J81))),IFERROR(MOD(J81,1),1)&gt;0,AND(ISNUMBER(J81),OR(J81&lt;50,J81&gt;20000000))),"Введите целое число от 50 до 20000000",IF(NOT(ABS(IFERROR(VALUE(LEFT(M81,FIND("-",M81)-1)),M81)*100-(5000+2000000000)/2)&lt;=ABS(5000-2000000000)/2),"Цена со скидкой должна быть от 50 до 20000000",IF(IFERROR(VALUE(LEFT(M81,FIND("-",M81)-1)),M81)*180&lt;44000,"Вы уменьшили цену в несколько раз, товар попадет в карантин цен","")))),"")</f>
      </c>
    </row>
    <row r="82">
      <c r="A82" s="2" t="inlineStr">
        <is>
          <t/>
        </is>
      </c>
      <c r="B82" s="2" t="inlineStr">
        <is>
          <t>Подарочные коробки</t>
        </is>
      </c>
      <c r="C82" s="2">
        <v>187757904</v>
      </c>
      <c r="D82" s="2" t="inlineStr">
        <is>
          <t>PVCBel-22-15x5</t>
        </is>
      </c>
      <c r="E82" s="2" t="inlineStr">
        <is>
          <t>2038919515962</t>
        </is>
      </c>
      <c r="F82" s="2">
        <v>0</v>
      </c>
      <c r="G82" s="2">
        <v>0</v>
      </c>
      <c r="H82" s="2" t="inlineStr">
        <is>
          <t/>
        </is>
      </c>
      <c r="I82" s="2" t="inlineStr">
        <is>
          <t>400</t>
        </is>
      </c>
      <c r="J82" s="4"/>
      <c r="K82" s="2">
        <v>0</v>
      </c>
      <c r="L82" s="6"/>
      <c r="M82" s="2" t="str">
        <f>IF(J82="",ROUND(I82*(1-IF(ISBLANK(L82),K82,L82)/100),2),ROUND(J82*(1-IF(ISBLANK(L82),K82,L82)/100),2))</f>
      </c>
      <c r="N82" s="7" t="str">
        <f>IF(NOT(AND(J82="",L82="")),IF(OR(AND(L82&lt;&gt;"",NOT(ISNUMBER(L82))),IFERROR(MOD(L82,1),1)&gt;0,AND(ISNUMBER(L82),OR(L82&lt;0,L82&gt;95))),"Введите целое число от 0 до 95",IF(OR(AND(J82&lt;&gt;"",NOT(ISNUMBER(J82))),IFERROR(MOD(J82,1),1)&gt;0,AND(ISNUMBER(J82),OR(J82&lt;50,J82&gt;20000000))),"Введите целое число от 50 до 20000000",IF(NOT(ABS(IFERROR(VALUE(LEFT(M82,FIND("-",M82)-1)),M82)*100-(5000+2000000000)/2)&lt;=ABS(5000-2000000000)/2),"Цена со скидкой должна быть от 50 до 20000000",IF(IFERROR(VALUE(LEFT(M82,FIND("-",M82)-1)),M82)*180&lt;40000,"Вы уменьшили цену в несколько раз, товар попадет в карантин цен","")))),"")</f>
      </c>
    </row>
    <row r="83">
      <c r="A83" s="2" t="inlineStr">
        <is>
          <t>CuteShop</t>
        </is>
      </c>
      <c r="B83" s="2" t="inlineStr">
        <is>
          <t>Подарочные пакеты</t>
        </is>
      </c>
      <c r="C83" s="2">
        <v>219951056</v>
      </c>
      <c r="D83" s="2" t="inlineStr">
        <is>
          <t>pak-lm-12-15</t>
        </is>
      </c>
      <c r="E83" s="2" t="inlineStr">
        <is>
          <t>2039728736517</t>
        </is>
      </c>
      <c r="F83" s="2">
        <v>0</v>
      </c>
      <c r="G83" s="2">
        <v>2</v>
      </c>
      <c r="H83" s="2" t="inlineStr">
        <is>
          <t/>
        </is>
      </c>
      <c r="I83" s="2" t="inlineStr">
        <is>
          <t>300</t>
        </is>
      </c>
      <c r="J83" s="4"/>
      <c r="K83" s="2">
        <v>10</v>
      </c>
      <c r="L83" s="6"/>
      <c r="M83" s="2" t="str">
        <f>IF(J83="",ROUND(I83*(1-IF(ISBLANK(L83),K83,L83)/100),2),ROUND(J83*(1-IF(ISBLANK(L83),K83,L83)/100),2))</f>
      </c>
      <c r="N83" s="7" t="str">
        <f>IF(NOT(AND(J83="",L83="")),IF(OR(AND(L83&lt;&gt;"",NOT(ISNUMBER(L83))),IFERROR(MOD(L83,1),1)&gt;0,AND(ISNUMBER(L83),OR(L83&lt;0,L83&gt;95))),"Введите целое число от 0 до 95",IF(OR(AND(J83&lt;&gt;"",NOT(ISNUMBER(J83))),IFERROR(MOD(J83,1),1)&gt;0,AND(ISNUMBER(J83),OR(J83&lt;50,J83&gt;20000000))),"Введите целое число от 50 до 20000000",IF(NOT(ABS(IFERROR(VALUE(LEFT(M83,FIND("-",M83)-1)),M83)*100-(5000+2000000000)/2)&lt;=ABS(5000-2000000000)/2),"Цена со скидкой должна быть от 50 до 20000000",IF(IFERROR(VALUE(LEFT(M83,FIND("-",M83)-1)),M83)*180&lt;27000,"Вы уменьшили цену в несколько раз, товар попадет в карантин цен","")))),"")</f>
      </c>
    </row>
    <row r="84">
      <c r="A84" s="2" t="inlineStr">
        <is>
          <t/>
        </is>
      </c>
      <c r="B84" s="2" t="inlineStr">
        <is>
          <t>Подарочные коробки</t>
        </is>
      </c>
      <c r="C84" s="2">
        <v>187759372</v>
      </c>
      <c r="D84" s="2" t="inlineStr">
        <is>
          <t>PVCBel-14-10,5x10</t>
        </is>
      </c>
      <c r="E84" s="2" t="inlineStr">
        <is>
          <t>2038919564540</t>
        </is>
      </c>
      <c r="F84" s="2">
        <v>0</v>
      </c>
      <c r="G84" s="2">
        <v>0</v>
      </c>
      <c r="H84" s="2">
        <v>2</v>
      </c>
      <c r="I84" s="2" t="inlineStr">
        <is>
          <t>590</t>
        </is>
      </c>
      <c r="J84" s="4"/>
      <c r="K84" s="2">
        <v>10</v>
      </c>
      <c r="L84" s="6"/>
      <c r="M84" s="2" t="str">
        <f>IF(J84="",ROUND(I84*(1-IF(ISBLANK(L84),K84,L84)/100),2),ROUND(J84*(1-IF(ISBLANK(L84),K84,L84)/100),2))</f>
      </c>
      <c r="N84" s="7" t="str">
        <f>IF(NOT(AND(J84="",L84="")),IF(OR(AND(L84&lt;&gt;"",NOT(ISNUMBER(L84))),IFERROR(MOD(L84,1),1)&gt;0,AND(ISNUMBER(L84),OR(L84&lt;0,L84&gt;95))),"Введите целое число от 0 до 95",IF(OR(AND(J84&lt;&gt;"",NOT(ISNUMBER(J84))),IFERROR(MOD(J84,1),1)&gt;0,AND(ISNUMBER(J84),OR(J84&lt;50,J84&gt;20000000))),"Введите целое число от 50 до 20000000",IF(NOT(ABS(IFERROR(VALUE(LEFT(M84,FIND("-",M84)-1)),M84)*100-(5000+2000000000)/2)&lt;=ABS(5000-2000000000)/2),"Цена со скидкой должна быть от 50 до 20000000",IF(IFERROR(VALUE(LEFT(M84,FIND("-",M84)-1)),M84)*180&lt;53100,"Вы уменьшили цену в несколько раз, товар попадет в карантин цен","")))),"")</f>
      </c>
    </row>
    <row r="85">
      <c r="A85" s="2" t="inlineStr">
        <is>
          <t>CuteShop</t>
        </is>
      </c>
      <c r="B85" s="2" t="inlineStr">
        <is>
          <t>Подарочные пакеты</t>
        </is>
      </c>
      <c r="C85" s="2">
        <v>185760019</v>
      </c>
      <c r="D85" s="2" t="inlineStr">
        <is>
          <t>pak-pol-budschas-30</t>
        </is>
      </c>
      <c r="E85" s="2" t="inlineStr">
        <is>
          <t>2038876946823</t>
        </is>
      </c>
      <c r="F85" s="2">
        <v>0</v>
      </c>
      <c r="G85" s="2">
        <v>1</v>
      </c>
      <c r="H85" s="2" t="inlineStr">
        <is>
          <t/>
        </is>
      </c>
      <c r="I85" s="2" t="inlineStr">
        <is>
          <t>420</t>
        </is>
      </c>
      <c r="J85" s="4"/>
      <c r="K85" s="2">
        <v>10</v>
      </c>
      <c r="L85" s="6"/>
      <c r="M85" s="2" t="str">
        <f>IF(J85="",ROUND(I85*(1-IF(ISBLANK(L85),K85,L85)/100),2),ROUND(J85*(1-IF(ISBLANK(L85),K85,L85)/100),2))</f>
      </c>
      <c r="N85" s="7" t="str">
        <f>IF(NOT(AND(J85="",L85="")),IF(OR(AND(L85&lt;&gt;"",NOT(ISNUMBER(L85))),IFERROR(MOD(L85,1),1)&gt;0,AND(ISNUMBER(L85),OR(L85&lt;0,L85&gt;95))),"Введите целое число от 0 до 95",IF(OR(AND(J85&lt;&gt;"",NOT(ISNUMBER(J85))),IFERROR(MOD(J85,1),1)&gt;0,AND(ISNUMBER(J85),OR(J85&lt;50,J85&gt;20000000))),"Введите целое число от 50 до 20000000",IF(NOT(ABS(IFERROR(VALUE(LEFT(M85,FIND("-",M85)-1)),M85)*100-(5000+2000000000)/2)&lt;=ABS(5000-2000000000)/2),"Цена со скидкой должна быть от 50 до 20000000",IF(IFERROR(VALUE(LEFT(M85,FIND("-",M85)-1)),M85)*180&lt;37800,"Вы уменьшили цену в несколько раз, товар попадет в карантин цен","")))),"")</f>
      </c>
    </row>
    <row r="86">
      <c r="A86" s="2" t="inlineStr">
        <is>
          <t>CuteShop</t>
        </is>
      </c>
      <c r="B86" s="2" t="inlineStr">
        <is>
          <t>Подарочные коробки</t>
        </is>
      </c>
      <c r="C86" s="2">
        <v>219967401</v>
      </c>
      <c r="D86" s="2" t="inlineStr">
        <is>
          <t>Box-Present-14-14x5</t>
        </is>
      </c>
      <c r="E86" s="2" t="inlineStr">
        <is>
          <t>2039729083603</t>
        </is>
      </c>
      <c r="F86" s="2">
        <v>0</v>
      </c>
      <c r="G86" s="2">
        <v>1</v>
      </c>
      <c r="H86" s="2" t="inlineStr">
        <is>
          <t/>
        </is>
      </c>
      <c r="I86" s="2" t="inlineStr">
        <is>
          <t>300</t>
        </is>
      </c>
      <c r="J86" s="4"/>
      <c r="K86" s="2">
        <v>10</v>
      </c>
      <c r="L86" s="6"/>
      <c r="M86" s="2" t="str">
        <f>IF(J86="",ROUND(I86*(1-IF(ISBLANK(L86),K86,L86)/100),2),ROUND(J86*(1-IF(ISBLANK(L86),K86,L86)/100),2))</f>
      </c>
      <c r="N86" s="7" t="str">
        <f>IF(NOT(AND(J86="",L86="")),IF(OR(AND(L86&lt;&gt;"",NOT(ISNUMBER(L86))),IFERROR(MOD(L86,1),1)&gt;0,AND(ISNUMBER(L86),OR(L86&lt;0,L86&gt;95))),"Введите целое число от 0 до 95",IF(OR(AND(J86&lt;&gt;"",NOT(ISNUMBER(J86))),IFERROR(MOD(J86,1),1)&gt;0,AND(ISNUMBER(J86),OR(J86&lt;50,J86&gt;20000000))),"Введите целое число от 50 до 20000000",IF(NOT(ABS(IFERROR(VALUE(LEFT(M86,FIND("-",M86)-1)),M86)*100-(5000+2000000000)/2)&lt;=ABS(5000-2000000000)/2),"Цена со скидкой должна быть от 50 до 20000000",IF(IFERROR(VALUE(LEFT(M86,FIND("-",M86)-1)),M86)*180&lt;27000,"Вы уменьшили цену в несколько раз, товар попадет в карантин цен","")))),"")</f>
      </c>
    </row>
    <row r="87">
      <c r="A87" s="2" t="inlineStr">
        <is>
          <t/>
        </is>
      </c>
      <c r="B87" s="2" t="inlineStr">
        <is>
          <t>Подарочные коробки</t>
        </is>
      </c>
      <c r="C87" s="2">
        <v>122645301</v>
      </c>
      <c r="D87" s="2" t="inlineStr">
        <is>
          <t>Gol-17-7</t>
        </is>
      </c>
      <c r="E87" s="2" t="inlineStr">
        <is>
          <t>2036956787823</t>
        </is>
      </c>
      <c r="F87" s="2">
        <v>0</v>
      </c>
      <c r="G87" s="2">
        <v>1</v>
      </c>
      <c r="H87" s="2">
        <v>0</v>
      </c>
      <c r="I87" s="2" t="inlineStr">
        <is>
          <t>524</t>
        </is>
      </c>
      <c r="J87" s="4"/>
      <c r="K87" s="2">
        <v>10</v>
      </c>
      <c r="L87" s="6"/>
      <c r="M87" s="2" t="str">
        <f>IF(J87="",ROUND(I87*(1-IF(ISBLANK(L87),K87,L87)/100),2),ROUND(J87*(1-IF(ISBLANK(L87),K87,L87)/100),2))</f>
      </c>
      <c r="N87" s="7" t="str">
        <f>IF(NOT(AND(J87="",L87="")),IF(OR(AND(L87&lt;&gt;"",NOT(ISNUMBER(L87))),IFERROR(MOD(L87,1),1)&gt;0,AND(ISNUMBER(L87),OR(L87&lt;0,L87&gt;95))),"Введите целое число от 0 до 95",IF(OR(AND(J87&lt;&gt;"",NOT(ISNUMBER(J87))),IFERROR(MOD(J87,1),1)&gt;0,AND(ISNUMBER(J87),OR(J87&lt;50,J87&gt;20000000))),"Введите целое число от 50 до 20000000",IF(NOT(ABS(IFERROR(VALUE(LEFT(M87,FIND("-",M87)-1)),M87)*100-(5000+2000000000)/2)&lt;=ABS(5000-2000000000)/2),"Цена со скидкой должна быть от 50 до 20000000",IF(IFERROR(VALUE(LEFT(M87,FIND("-",M87)-1)),M87)*180&lt;47160,"Вы уменьшили цену в несколько раз, товар попадет в карантин цен","")))),"")</f>
      </c>
    </row>
    <row r="88">
      <c r="A88" s="2" t="inlineStr">
        <is>
          <t>CuteShop</t>
        </is>
      </c>
      <c r="B88" s="2" t="inlineStr">
        <is>
          <t>Подарочные пакеты</t>
        </is>
      </c>
      <c r="C88" s="2">
        <v>135199785</v>
      </c>
      <c r="D88" s="2" t="inlineStr">
        <is>
          <t>Paketik-LL-ZL-100</t>
        </is>
      </c>
      <c r="E88" s="2" t="inlineStr">
        <is>
          <t>2037100978234</t>
        </is>
      </c>
      <c r="F88" s="2">
        <v>0</v>
      </c>
      <c r="G88" s="2">
        <v>0</v>
      </c>
      <c r="H88" s="2" t="inlineStr">
        <is>
          <t/>
        </is>
      </c>
      <c r="I88" s="2" t="inlineStr">
        <is>
          <t>420</t>
        </is>
      </c>
      <c r="J88" s="4"/>
      <c r="K88" s="2">
        <v>0</v>
      </c>
      <c r="L88" s="6"/>
      <c r="M88" s="2" t="str">
        <f>IF(J88="",ROUND(I88*(1-IF(ISBLANK(L88),K88,L88)/100),2),ROUND(J88*(1-IF(ISBLANK(L88),K88,L88)/100),2))</f>
      </c>
      <c r="N88" s="7" t="str">
        <f>IF(NOT(AND(J88="",L88="")),IF(OR(AND(L88&lt;&gt;"",NOT(ISNUMBER(L88))),IFERROR(MOD(L88,1),1)&gt;0,AND(ISNUMBER(L88),OR(L88&lt;0,L88&gt;95))),"Введите целое число от 0 до 95",IF(OR(AND(J88&lt;&gt;"",NOT(ISNUMBER(J88))),IFERROR(MOD(J88,1),1)&gt;0,AND(ISNUMBER(J88),OR(J88&lt;50,J88&gt;20000000))),"Введите целое число от 50 до 20000000",IF(NOT(ABS(IFERROR(VALUE(LEFT(M88,FIND("-",M88)-1)),M88)*100-(5000+2000000000)/2)&lt;=ABS(5000-2000000000)/2),"Цена со скидкой должна быть от 50 до 20000000",IF(IFERROR(VALUE(LEFT(M88,FIND("-",M88)-1)),M88)*180&lt;42000,"Вы уменьшили цену в несколько раз, товар попадет в карантин цен","")))),"")</f>
      </c>
    </row>
    <row r="89">
      <c r="A89" s="2" t="inlineStr">
        <is>
          <t/>
        </is>
      </c>
      <c r="B89" s="2" t="inlineStr">
        <is>
          <t>Подарочные коробки</t>
        </is>
      </c>
      <c r="C89" s="2">
        <v>122645299</v>
      </c>
      <c r="D89" s="2" t="inlineStr">
        <is>
          <t>Zel-17-7</t>
        </is>
      </c>
      <c r="E89" s="2" t="inlineStr">
        <is>
          <t>2036956791837</t>
        </is>
      </c>
      <c r="F89" s="2">
        <v>0</v>
      </c>
      <c r="G89" s="2">
        <v>0</v>
      </c>
      <c r="H89" s="2">
        <v>0</v>
      </c>
      <c r="I89" s="2" t="inlineStr">
        <is>
          <t>524</t>
        </is>
      </c>
      <c r="J89" s="4"/>
      <c r="K89" s="2">
        <v>0</v>
      </c>
      <c r="L89" s="6"/>
      <c r="M89" s="2" t="str">
        <f>IF(J89="",ROUND(I89*(1-IF(ISBLANK(L89),K89,L89)/100),2),ROUND(J89*(1-IF(ISBLANK(L89),K89,L89)/100),2))</f>
      </c>
      <c r="N89" s="7" t="str">
        <f>IF(NOT(AND(J89="",L89="")),IF(OR(AND(L89&lt;&gt;"",NOT(ISNUMBER(L89))),IFERROR(MOD(L89,1),1)&gt;0,AND(ISNUMBER(L89),OR(L89&lt;0,L89&gt;95))),"Введите целое число от 0 до 95",IF(OR(AND(J89&lt;&gt;"",NOT(ISNUMBER(J89))),IFERROR(MOD(J89,1),1)&gt;0,AND(ISNUMBER(J89),OR(J89&lt;50,J89&gt;20000000))),"Введите целое число от 50 до 20000000",IF(NOT(ABS(IFERROR(VALUE(LEFT(M89,FIND("-",M89)-1)),M89)*100-(5000+2000000000)/2)&lt;=ABS(5000-2000000000)/2),"Цена со скидкой должна быть от 50 до 20000000",IF(IFERROR(VALUE(LEFT(M89,FIND("-",M89)-1)),M89)*180&lt;52400,"Вы уменьшили цену в несколько раз, товар попадет в карантин цен","")))),"")</f>
      </c>
    </row>
    <row r="90">
      <c r="A90" s="2" t="inlineStr">
        <is>
          <t>CuteShop</t>
        </is>
      </c>
      <c r="B90" s="2" t="inlineStr">
        <is>
          <t>Подарочные пакеты</t>
        </is>
      </c>
      <c r="C90" s="2">
        <v>219953931</v>
      </c>
      <c r="D90" s="2" t="inlineStr">
        <is>
          <t>pak-8m-23-27-3</t>
        </is>
      </c>
      <c r="E90" s="2" t="inlineStr">
        <is>
          <t>2039728782576</t>
        </is>
      </c>
      <c r="F90" s="2">
        <v>0</v>
      </c>
      <c r="G90" s="2">
        <v>0</v>
      </c>
      <c r="H90" s="2" t="inlineStr">
        <is>
          <t/>
        </is>
      </c>
      <c r="I90" s="2" t="inlineStr">
        <is>
          <t>310</t>
        </is>
      </c>
      <c r="J90" s="4"/>
      <c r="K90" s="2">
        <v>10</v>
      </c>
      <c r="L90" s="6"/>
      <c r="M90" s="2" t="str">
        <f>IF(J90="",ROUND(I90*(1-IF(ISBLANK(L90),K90,L90)/100),2),ROUND(J90*(1-IF(ISBLANK(L90),K90,L90)/100),2))</f>
      </c>
      <c r="N90" s="7" t="str">
        <f>IF(NOT(AND(J90="",L90="")),IF(OR(AND(L90&lt;&gt;"",NOT(ISNUMBER(L90))),IFERROR(MOD(L90,1),1)&gt;0,AND(ISNUMBER(L90),OR(L90&lt;0,L90&gt;95))),"Введите целое число от 0 до 95",IF(OR(AND(J90&lt;&gt;"",NOT(ISNUMBER(J90))),IFERROR(MOD(J90,1),1)&gt;0,AND(ISNUMBER(J90),OR(J90&lt;50,J90&gt;20000000))),"Введите целое число от 50 до 20000000",IF(NOT(ABS(IFERROR(VALUE(LEFT(M90,FIND("-",M90)-1)),M90)*100-(5000+2000000000)/2)&lt;=ABS(5000-2000000000)/2),"Цена со скидкой должна быть от 50 до 20000000",IF(IFERROR(VALUE(LEFT(M90,FIND("-",M90)-1)),M90)*180&lt;27900,"Вы уменьшили цену в несколько раз, товар попадет в карантин цен","")))),"")</f>
      </c>
    </row>
    <row r="91">
      <c r="A91" s="2" t="inlineStr">
        <is>
          <t/>
        </is>
      </c>
      <c r="B91" s="2" t="inlineStr">
        <is>
          <t>Подарочные коробки</t>
        </is>
      </c>
      <c r="C91" s="2">
        <v>122647506</v>
      </c>
      <c r="D91" s="2" t="inlineStr">
        <is>
          <t>Gol-20-12</t>
        </is>
      </c>
      <c r="E91" s="2" t="inlineStr">
        <is>
          <t>2036956820001</t>
        </is>
      </c>
      <c r="F91" s="2">
        <v>0</v>
      </c>
      <c r="G91" s="2">
        <v>0</v>
      </c>
      <c r="H91" s="2">
        <v>0</v>
      </c>
      <c r="I91" s="2" t="inlineStr">
        <is>
          <t>583</t>
        </is>
      </c>
      <c r="J91" s="4"/>
      <c r="K91" s="2">
        <v>0</v>
      </c>
      <c r="L91" s="6"/>
      <c r="M91" s="2" t="str">
        <f>IF(J91="",ROUND(I91*(1-IF(ISBLANK(L91),K91,L91)/100),2),ROUND(J91*(1-IF(ISBLANK(L91),K91,L91)/100),2))</f>
      </c>
      <c r="N91" s="7" t="str">
        <f>IF(NOT(AND(J91="",L91="")),IF(OR(AND(L91&lt;&gt;"",NOT(ISNUMBER(L91))),IFERROR(MOD(L91,1),1)&gt;0,AND(ISNUMBER(L91),OR(L91&lt;0,L91&gt;95))),"Введите целое число от 0 до 95",IF(OR(AND(J91&lt;&gt;"",NOT(ISNUMBER(J91))),IFERROR(MOD(J91,1),1)&gt;0,AND(ISNUMBER(J91),OR(J91&lt;50,J91&gt;20000000))),"Введите целое число от 50 до 20000000",IF(NOT(ABS(IFERROR(VALUE(LEFT(M91,FIND("-",M91)-1)),M91)*100-(5000+2000000000)/2)&lt;=ABS(5000-2000000000)/2),"Цена со скидкой должна быть от 50 до 20000000",IF(IFERROR(VALUE(LEFT(M91,FIND("-",M91)-1)),M91)*180&lt;58300,"Вы уменьшили цену в несколько раз, товар попадет в карантин цен","")))),"")</f>
      </c>
    </row>
    <row r="92">
      <c r="A92" s="2" t="inlineStr">
        <is>
          <t>CuteShop</t>
        </is>
      </c>
      <c r="B92" s="2" t="inlineStr">
        <is>
          <t>Подарочные коробки</t>
        </is>
      </c>
      <c r="C92" s="2">
        <v>190312374</v>
      </c>
      <c r="D92" s="2" t="inlineStr">
        <is>
          <t>Kor-10-8-Bel-10</t>
        </is>
      </c>
      <c r="E92" s="2" t="inlineStr">
        <is>
          <t>2039006165299</t>
        </is>
      </c>
      <c r="F92" s="2">
        <v>0</v>
      </c>
      <c r="G92" s="2">
        <v>0</v>
      </c>
      <c r="H92" s="2" t="inlineStr">
        <is>
          <t/>
        </is>
      </c>
      <c r="I92" s="2" t="inlineStr">
        <is>
          <t>390</t>
        </is>
      </c>
      <c r="J92" s="4"/>
      <c r="K92" s="2">
        <v>0</v>
      </c>
      <c r="L92" s="6"/>
      <c r="M92" s="2" t="str">
        <f>IF(J92="",ROUND(I92*(1-IF(ISBLANK(L92),K92,L92)/100),2),ROUND(J92*(1-IF(ISBLANK(L92),K92,L92)/100),2))</f>
      </c>
      <c r="N92" s="7" t="str">
        <f>IF(NOT(AND(J92="",L92="")),IF(OR(AND(L92&lt;&gt;"",NOT(ISNUMBER(L92))),IFERROR(MOD(L92,1),1)&gt;0,AND(ISNUMBER(L92),OR(L92&lt;0,L92&gt;95))),"Введите целое число от 0 до 95",IF(OR(AND(J92&lt;&gt;"",NOT(ISNUMBER(J92))),IFERROR(MOD(J92,1),1)&gt;0,AND(ISNUMBER(J92),OR(J92&lt;50,J92&gt;20000000))),"Введите целое число от 50 до 20000000",IF(NOT(ABS(IFERROR(VALUE(LEFT(M92,FIND("-",M92)-1)),M92)*100-(5000+2000000000)/2)&lt;=ABS(5000-2000000000)/2),"Цена со скидкой должна быть от 50 до 20000000",IF(IFERROR(VALUE(LEFT(M92,FIND("-",M92)-1)),M92)*180&lt;39000,"Вы уменьшили цену в несколько раз, товар попадет в карантин цен","")))),"")</f>
      </c>
    </row>
    <row r="93">
      <c r="A93" s="2" t="inlineStr">
        <is>
          <t>CuteShop</t>
        </is>
      </c>
      <c r="B93" s="2" t="inlineStr">
        <is>
          <t>Елочные украшения</t>
        </is>
      </c>
      <c r="C93" s="2">
        <v>123878146</v>
      </c>
      <c r="D93" s="2" t="inlineStr">
        <is>
          <t>Shar-6x5</t>
        </is>
      </c>
      <c r="E93" s="2" t="inlineStr">
        <is>
          <t>2036977556989</t>
        </is>
      </c>
      <c r="F93" s="2">
        <v>0</v>
      </c>
      <c r="G93" s="2">
        <v>0</v>
      </c>
      <c r="H93" s="2">
        <v>0</v>
      </c>
      <c r="I93" s="2" t="inlineStr">
        <is>
          <t>488</t>
        </is>
      </c>
      <c r="J93" s="4"/>
      <c r="K93" s="2">
        <v>0</v>
      </c>
      <c r="L93" s="6"/>
      <c r="M93" s="2" t="str">
        <f>IF(J93="",ROUND(I93*(1-IF(ISBLANK(L93),K93,L93)/100),2),ROUND(J93*(1-IF(ISBLANK(L93),K93,L93)/100),2))</f>
      </c>
      <c r="N93" s="7" t="str">
        <f>IF(NOT(AND(J93="",L93="")),IF(OR(AND(L93&lt;&gt;"",NOT(ISNUMBER(L93))),IFERROR(MOD(L93,1),1)&gt;0,AND(ISNUMBER(L93),OR(L93&lt;0,L93&gt;95))),"Введите целое число от 0 до 95",IF(OR(AND(J93&lt;&gt;"",NOT(ISNUMBER(J93))),IFERROR(MOD(J93,1),1)&gt;0,AND(ISNUMBER(J93),OR(J93&lt;50,J93&gt;20000000))),"Введите целое число от 50 до 20000000",IF(NOT(ABS(IFERROR(VALUE(LEFT(M93,FIND("-",M93)-1)),M93)*100-(5000+2000000000)/2)&lt;=ABS(5000-2000000000)/2),"Цена со скидкой должна быть от 50 до 20000000",IF(IFERROR(VALUE(LEFT(M93,FIND("-",M93)-1)),M93)*180&lt;48800,"Вы уменьшили цену в несколько раз, товар попадет в карантин цен","")))),"")</f>
      </c>
    </row>
    <row r="94">
      <c r="A94" s="2" t="inlineStr">
        <is>
          <t/>
        </is>
      </c>
      <c r="B94" s="2" t="inlineStr">
        <is>
          <t>Подарочные коробки</t>
        </is>
      </c>
      <c r="C94" s="2">
        <v>187031545</v>
      </c>
      <c r="D94" s="2" t="inlineStr">
        <is>
          <t>PVCRoz-12-12x10</t>
        </is>
      </c>
      <c r="E94" s="2" t="inlineStr">
        <is>
          <t>2038899019504</t>
        </is>
      </c>
      <c r="F94" s="2">
        <v>0</v>
      </c>
      <c r="G94" s="2">
        <v>0</v>
      </c>
      <c r="H94" s="2" t="inlineStr">
        <is>
          <t/>
        </is>
      </c>
      <c r="I94" s="2" t="inlineStr">
        <is>
          <t>490</t>
        </is>
      </c>
      <c r="J94" s="4"/>
      <c r="K94" s="2">
        <v>0</v>
      </c>
      <c r="L94" s="6"/>
      <c r="M94" s="2" t="str">
        <f>IF(J94="",ROUND(I94*(1-IF(ISBLANK(L94),K94,L94)/100),2),ROUND(J94*(1-IF(ISBLANK(L94),K94,L94)/100),2))</f>
      </c>
      <c r="N94" s="7" t="str">
        <f>IF(NOT(AND(J94="",L94="")),IF(OR(AND(L94&lt;&gt;"",NOT(ISNUMBER(L94))),IFERROR(MOD(L94,1),1)&gt;0,AND(ISNUMBER(L94),OR(L94&lt;0,L94&gt;95))),"Введите целое число от 0 до 95",IF(OR(AND(J94&lt;&gt;"",NOT(ISNUMBER(J94))),IFERROR(MOD(J94,1),1)&gt;0,AND(ISNUMBER(J94),OR(J94&lt;50,J94&gt;20000000))),"Введите целое число от 50 до 20000000",IF(NOT(ABS(IFERROR(VALUE(LEFT(M94,FIND("-",M94)-1)),M94)*100-(5000+2000000000)/2)&lt;=ABS(5000-2000000000)/2),"Цена со скидкой должна быть от 50 до 20000000",IF(IFERROR(VALUE(LEFT(M94,FIND("-",M94)-1)),M94)*180&lt;49000,"Вы уменьшили цену в несколько раз, товар попадет в карантин цен","")))),"")</f>
      </c>
    </row>
    <row r="95">
      <c r="A95" s="2" t="inlineStr">
        <is>
          <t>CuteShop</t>
        </is>
      </c>
      <c r="B95" s="2" t="inlineStr">
        <is>
          <t>Подарочные пакеты</t>
        </is>
      </c>
      <c r="C95" s="2">
        <v>135199784</v>
      </c>
      <c r="D95" s="2" t="inlineStr">
        <is>
          <t>Paketik-LL-NK-100</t>
        </is>
      </c>
      <c r="E95" s="2" t="inlineStr">
        <is>
          <t>2037100979903</t>
        </is>
      </c>
      <c r="F95" s="2">
        <v>0</v>
      </c>
      <c r="G95" s="2">
        <v>0</v>
      </c>
      <c r="H95" s="2">
        <v>0</v>
      </c>
      <c r="I95" s="2" t="inlineStr">
        <is>
          <t>530</t>
        </is>
      </c>
      <c r="J95" s="4"/>
      <c r="K95" s="2">
        <v>0</v>
      </c>
      <c r="L95" s="6"/>
      <c r="M95" s="2" t="str">
        <f>IF(J95="",ROUND(I95*(1-IF(ISBLANK(L95),K95,L95)/100),2),ROUND(J95*(1-IF(ISBLANK(L95),K95,L95)/100),2))</f>
      </c>
      <c r="N95" s="7" t="str">
        <f>IF(NOT(AND(J95="",L95="")),IF(OR(AND(L95&lt;&gt;"",NOT(ISNUMBER(L95))),IFERROR(MOD(L95,1),1)&gt;0,AND(ISNUMBER(L95),OR(L95&lt;0,L95&gt;95))),"Введите целое число от 0 до 95",IF(OR(AND(J95&lt;&gt;"",NOT(ISNUMBER(J95))),IFERROR(MOD(J95,1),1)&gt;0,AND(ISNUMBER(J95),OR(J95&lt;50,J95&gt;20000000))),"Введите целое число от 50 до 20000000",IF(NOT(ABS(IFERROR(VALUE(LEFT(M95,FIND("-",M95)-1)),M95)*100-(5000+2000000000)/2)&lt;=ABS(5000-2000000000)/2),"Цена со скидкой должна быть от 50 до 20000000",IF(IFERROR(VALUE(LEFT(M95,FIND("-",M95)-1)),M95)*180&lt;53000,"Вы уменьшили цену в несколько раз, товар попадет в карантин цен","")))),"")</f>
      </c>
    </row>
    <row r="96">
      <c r="A96" s="2" t="inlineStr">
        <is>
          <t/>
        </is>
      </c>
      <c r="B96" s="2" t="inlineStr">
        <is>
          <t>Подарочные коробки</t>
        </is>
      </c>
      <c r="C96" s="2">
        <v>122645303</v>
      </c>
      <c r="D96" s="2" t="inlineStr">
        <is>
          <t>Kraft-17-7</t>
        </is>
      </c>
      <c r="E96" s="2" t="inlineStr">
        <is>
          <t>2036956775868</t>
        </is>
      </c>
      <c r="F96" s="2">
        <v>0</v>
      </c>
      <c r="G96" s="2">
        <v>0</v>
      </c>
      <c r="H96" s="2">
        <v>0</v>
      </c>
      <c r="I96" s="2" t="inlineStr">
        <is>
          <t>488</t>
        </is>
      </c>
      <c r="J96" s="4"/>
      <c r="K96" s="2">
        <v>0</v>
      </c>
      <c r="L96" s="6"/>
      <c r="M96" s="2" t="str">
        <f>IF(J96="",ROUND(I96*(1-IF(ISBLANK(L96),K96,L96)/100),2),ROUND(J96*(1-IF(ISBLANK(L96),K96,L96)/100),2))</f>
      </c>
      <c r="N96" s="7" t="str">
        <f>IF(NOT(AND(J96="",L96="")),IF(OR(AND(L96&lt;&gt;"",NOT(ISNUMBER(L96))),IFERROR(MOD(L96,1),1)&gt;0,AND(ISNUMBER(L96),OR(L96&lt;0,L96&gt;95))),"Введите целое число от 0 до 95",IF(OR(AND(J96&lt;&gt;"",NOT(ISNUMBER(J96))),IFERROR(MOD(J96,1),1)&gt;0,AND(ISNUMBER(J96),OR(J96&lt;50,J96&gt;20000000))),"Введите целое число от 50 до 20000000",IF(NOT(ABS(IFERROR(VALUE(LEFT(M96,FIND("-",M96)-1)),M96)*100-(5000+2000000000)/2)&lt;=ABS(5000-2000000000)/2),"Цена со скидкой должна быть от 50 до 20000000",IF(IFERROR(VALUE(LEFT(M96,FIND("-",M96)-1)),M96)*180&lt;48800,"Вы уменьшили цену в несколько раз, товар попадет в карантин цен","")))),"")</f>
      </c>
    </row>
    <row r="97">
      <c r="A97" s="2" t="inlineStr">
        <is>
          <t>CuteShop</t>
        </is>
      </c>
      <c r="B97" s="2" t="inlineStr">
        <is>
          <t>Подарочные пакеты</t>
        </is>
      </c>
      <c r="C97" s="2">
        <v>180625342</v>
      </c>
      <c r="D97" s="2" t="inlineStr">
        <is>
          <t>Paketik-LL-Love-7*7-100</t>
        </is>
      </c>
      <c r="E97" s="2" t="inlineStr">
        <is>
          <t>2038741761933</t>
        </is>
      </c>
      <c r="F97" s="2">
        <v>0</v>
      </c>
      <c r="G97" s="2">
        <v>0</v>
      </c>
      <c r="H97" s="2" t="inlineStr">
        <is>
          <t/>
        </is>
      </c>
      <c r="I97" s="2" t="inlineStr">
        <is>
          <t>350</t>
        </is>
      </c>
      <c r="J97" s="4"/>
      <c r="K97" s="2">
        <v>10</v>
      </c>
      <c r="L97" s="6"/>
      <c r="M97" s="2" t="str">
        <f>IF(J97="",ROUND(I97*(1-IF(ISBLANK(L97),K97,L97)/100),2),ROUND(J97*(1-IF(ISBLANK(L97),K97,L97)/100),2))</f>
      </c>
      <c r="N97" s="7" t="str">
        <f>IF(NOT(AND(J97="",L97="")),IF(OR(AND(L97&lt;&gt;"",NOT(ISNUMBER(L97))),IFERROR(MOD(L97,1),1)&gt;0,AND(ISNUMBER(L97),OR(L97&lt;0,L97&gt;95))),"Введите целое число от 0 до 95",IF(OR(AND(J97&lt;&gt;"",NOT(ISNUMBER(J97))),IFERROR(MOD(J97,1),1)&gt;0,AND(ISNUMBER(J97),OR(J97&lt;50,J97&gt;20000000))),"Введите целое число от 50 до 20000000",IF(NOT(ABS(IFERROR(VALUE(LEFT(M97,FIND("-",M97)-1)),M97)*100-(5000+2000000000)/2)&lt;=ABS(5000-2000000000)/2),"Цена со скидкой должна быть от 50 до 20000000",IF(IFERROR(VALUE(LEFT(M97,FIND("-",M97)-1)),M97)*180&lt;31500,"Вы уменьшили цену в несколько раз, товар попадет в карантин цен","")))),"")</f>
      </c>
    </row>
    <row r="98">
      <c r="A98" s="2" t="inlineStr">
        <is>
          <t>CuteShop</t>
        </is>
      </c>
      <c r="B98" s="2" t="inlineStr">
        <is>
          <t>Подарочные пакеты</t>
        </is>
      </c>
      <c r="C98" s="2">
        <v>185760016</v>
      </c>
      <c r="D98" s="2" t="inlineStr">
        <is>
          <t>pak-pol-podarochek-20</t>
        </is>
      </c>
      <c r="E98" s="2" t="inlineStr">
        <is>
          <t>2038876930334</t>
        </is>
      </c>
      <c r="F98" s="2">
        <v>0</v>
      </c>
      <c r="G98" s="2">
        <v>0</v>
      </c>
      <c r="H98" s="2" t="inlineStr">
        <is>
          <t/>
        </is>
      </c>
      <c r="I98" s="2" t="inlineStr">
        <is>
          <t>301</t>
        </is>
      </c>
      <c r="J98" s="4"/>
      <c r="K98" s="2">
        <v>10</v>
      </c>
      <c r="L98" s="6"/>
      <c r="M98" s="2" t="str">
        <f>IF(J98="",ROUND(I98*(1-IF(ISBLANK(L98),K98,L98)/100),2),ROUND(J98*(1-IF(ISBLANK(L98),K98,L98)/100),2))</f>
      </c>
      <c r="N98" s="7" t="str">
        <f>IF(NOT(AND(J98="",L98="")),IF(OR(AND(L98&lt;&gt;"",NOT(ISNUMBER(L98))),IFERROR(MOD(L98,1),1)&gt;0,AND(ISNUMBER(L98),OR(L98&lt;0,L98&gt;95))),"Введите целое число от 0 до 95",IF(OR(AND(J98&lt;&gt;"",NOT(ISNUMBER(J98))),IFERROR(MOD(J98,1),1)&gt;0,AND(ISNUMBER(J98),OR(J98&lt;50,J98&gt;20000000))),"Введите целое число от 50 до 20000000",IF(NOT(ABS(IFERROR(VALUE(LEFT(M98,FIND("-",M98)-1)),M98)*100-(5000+2000000000)/2)&lt;=ABS(5000-2000000000)/2),"Цена со скидкой должна быть от 50 до 20000000",IF(IFERROR(VALUE(LEFT(M98,FIND("-",M98)-1)),M98)*180&lt;27090,"Вы уменьшили цену в несколько раз, товар попадет в карантин цен","")))),"")</f>
      </c>
    </row>
    <row r="99">
      <c r="A99" s="2" t="inlineStr">
        <is>
          <t>CuteShop</t>
        </is>
      </c>
      <c r="B99" s="2" t="inlineStr">
        <is>
          <t>Подарочные пакеты</t>
        </is>
      </c>
      <c r="C99" s="2">
        <v>180625611</v>
      </c>
      <c r="D99" s="2" t="inlineStr">
        <is>
          <t>Paketik-LL-Korea-10*10-100</t>
        </is>
      </c>
      <c r="E99" s="2" t="inlineStr">
        <is>
          <t>2038741768062</t>
        </is>
      </c>
      <c r="F99" s="2">
        <v>0</v>
      </c>
      <c r="G99" s="2">
        <v>1</v>
      </c>
      <c r="H99" s="2" t="inlineStr">
        <is>
          <t/>
        </is>
      </c>
      <c r="I99" s="2" t="inlineStr">
        <is>
          <t>350</t>
        </is>
      </c>
      <c r="J99" s="4"/>
      <c r="K99" s="2">
        <v>10</v>
      </c>
      <c r="L99" s="6"/>
      <c r="M99" s="2" t="str">
        <f>IF(J99="",ROUND(I99*(1-IF(ISBLANK(L99),K99,L99)/100),2),ROUND(J99*(1-IF(ISBLANK(L99),K99,L99)/100),2))</f>
      </c>
      <c r="N99" s="7" t="str">
        <f>IF(NOT(AND(J99="",L99="")),IF(OR(AND(L99&lt;&gt;"",NOT(ISNUMBER(L99))),IFERROR(MOD(L99,1),1)&gt;0,AND(ISNUMBER(L99),OR(L99&lt;0,L99&gt;95))),"Введите целое число от 0 до 95",IF(OR(AND(J99&lt;&gt;"",NOT(ISNUMBER(J99))),IFERROR(MOD(J99,1),1)&gt;0,AND(ISNUMBER(J99),OR(J99&lt;50,J99&gt;20000000))),"Введите целое число от 50 до 20000000",IF(NOT(ABS(IFERROR(VALUE(LEFT(M99,FIND("-",M99)-1)),M99)*100-(5000+2000000000)/2)&lt;=ABS(5000-2000000000)/2),"Цена со скидкой должна быть от 50 до 20000000",IF(IFERROR(VALUE(LEFT(M99,FIND("-",M99)-1)),M99)*180&lt;31500,"Вы уменьшили цену в несколько раз, товар попадет в карантин цен","")))),"")</f>
      </c>
    </row>
    <row r="100">
      <c r="A100" s="2" t="inlineStr">
        <is>
          <t>CuteShop</t>
        </is>
      </c>
      <c r="B100" s="2" t="inlineStr">
        <is>
          <t>Подарочные коробки</t>
        </is>
      </c>
      <c r="C100" s="2">
        <v>187762371</v>
      </c>
      <c r="D100" s="2" t="inlineStr">
        <is>
          <t>Kor-115-115-BelKrug-10</t>
        </is>
      </c>
      <c r="E100" s="2" t="inlineStr">
        <is>
          <t>2038919623315</t>
        </is>
      </c>
      <c r="F100" s="2">
        <v>0</v>
      </c>
      <c r="G100" s="2">
        <v>0</v>
      </c>
      <c r="H100" s="2" t="inlineStr">
        <is>
          <t/>
        </is>
      </c>
      <c r="I100" s="2" t="inlineStr">
        <is>
          <t>660</t>
        </is>
      </c>
      <c r="J100" s="4"/>
      <c r="K100" s="2">
        <v>0</v>
      </c>
      <c r="L100" s="6"/>
      <c r="M100" s="2" t="str">
        <f>IF(J100="",ROUND(I100*(1-IF(ISBLANK(L100),K100,L100)/100),2),ROUND(J100*(1-IF(ISBLANK(L100),K100,L100)/100),2))</f>
      </c>
      <c r="N100" s="7" t="str">
        <f>IF(NOT(AND(J100="",L100="")),IF(OR(AND(L100&lt;&gt;"",NOT(ISNUMBER(L100))),IFERROR(MOD(L100,1),1)&gt;0,AND(ISNUMBER(L100),OR(L100&lt;0,L100&gt;95))),"Введите целое число от 0 до 95",IF(OR(AND(J100&lt;&gt;"",NOT(ISNUMBER(J100))),IFERROR(MOD(J100,1),1)&gt;0,AND(ISNUMBER(J100),OR(J100&lt;50,J100&gt;20000000))),"Введите целое число от 50 до 20000000",IF(NOT(ABS(IFERROR(VALUE(LEFT(M100,FIND("-",M100)-1)),M100)*100-(5000+2000000000)/2)&lt;=ABS(5000-2000000000)/2),"Цена со скидкой должна быть от 50 до 20000000",IF(IFERROR(VALUE(LEFT(M100,FIND("-",M100)-1)),M100)*180&lt;66000,"Вы уменьшили цену в несколько раз, товар попадет в карантин цен","")))),"")</f>
      </c>
    </row>
    <row r="101">
      <c r="A101" s="2" t="inlineStr">
        <is>
          <t/>
        </is>
      </c>
      <c r="B101" s="2" t="inlineStr">
        <is>
          <t>Подарочные коробки</t>
        </is>
      </c>
      <c r="C101" s="2">
        <v>122642128</v>
      </c>
      <c r="D101" s="2" t="inlineStr">
        <is>
          <t>Zel-10-8</t>
        </is>
      </c>
      <c r="E101" s="2" t="inlineStr">
        <is>
          <t>2036956753064</t>
        </is>
      </c>
      <c r="F101" s="2">
        <v>0</v>
      </c>
      <c r="G101" s="2">
        <v>0</v>
      </c>
      <c r="H101" s="2">
        <v>0</v>
      </c>
      <c r="I101" s="2" t="inlineStr">
        <is>
          <t>500</t>
        </is>
      </c>
      <c r="J101" s="4"/>
      <c r="K101" s="2">
        <v>0</v>
      </c>
      <c r="L101" s="6"/>
      <c r="M101" s="2" t="str">
        <f>IF(J101="",ROUND(I101*(1-IF(ISBLANK(L101),K101,L101)/100),2),ROUND(J101*(1-IF(ISBLANK(L101),K101,L101)/100),2))</f>
      </c>
      <c r="N101" s="7" t="str">
        <f>IF(NOT(AND(J101="",L101="")),IF(OR(AND(L101&lt;&gt;"",NOT(ISNUMBER(L101))),IFERROR(MOD(L101,1),1)&gt;0,AND(ISNUMBER(L101),OR(L101&lt;0,L101&gt;95))),"Введите целое число от 0 до 95",IF(OR(AND(J101&lt;&gt;"",NOT(ISNUMBER(J101))),IFERROR(MOD(J101,1),1)&gt;0,AND(ISNUMBER(J101),OR(J101&lt;50,J101&gt;20000000))),"Введите целое число от 50 до 20000000",IF(NOT(ABS(IFERROR(VALUE(LEFT(M101,FIND("-",M101)-1)),M101)*100-(5000+2000000000)/2)&lt;=ABS(5000-2000000000)/2),"Цена со скидкой должна быть от 50 до 20000000",IF(IFERROR(VALUE(LEFT(M101,FIND("-",M101)-1)),M101)*180&lt;50000,"Вы уменьшили цену в несколько раз, товар попадет в карантин цен","")))),"")</f>
      </c>
    </row>
    <row r="102">
      <c r="A102" s="2" t="inlineStr">
        <is>
          <t/>
        </is>
      </c>
      <c r="B102" s="2" t="inlineStr">
        <is>
          <t>Подарочные коробки</t>
        </is>
      </c>
      <c r="C102" s="2">
        <v>190307434</v>
      </c>
      <c r="D102" s="2" t="inlineStr">
        <is>
          <t>Kor-17-7-Bel-10</t>
        </is>
      </c>
      <c r="E102" s="2" t="inlineStr">
        <is>
          <t>2039005774157</t>
        </is>
      </c>
      <c r="F102" s="2">
        <v>0</v>
      </c>
      <c r="G102" s="2">
        <v>0</v>
      </c>
      <c r="H102" s="2" t="inlineStr">
        <is>
          <t/>
        </is>
      </c>
      <c r="I102" s="2" t="inlineStr">
        <is>
          <t>450</t>
        </is>
      </c>
      <c r="J102" s="4"/>
      <c r="K102" s="2">
        <v>0</v>
      </c>
      <c r="L102" s="6"/>
      <c r="M102" s="2" t="str">
        <f>IF(J102="",ROUND(I102*(1-IF(ISBLANK(L102),K102,L102)/100),2),ROUND(J102*(1-IF(ISBLANK(L102),K102,L102)/100),2))</f>
      </c>
      <c r="N102" s="7" t="str">
        <f>IF(NOT(AND(J102="",L102="")),IF(OR(AND(L102&lt;&gt;"",NOT(ISNUMBER(L102))),IFERROR(MOD(L102,1),1)&gt;0,AND(ISNUMBER(L102),OR(L102&lt;0,L102&gt;95))),"Введите целое число от 0 до 95",IF(OR(AND(J102&lt;&gt;"",NOT(ISNUMBER(J102))),IFERROR(MOD(J102,1),1)&gt;0,AND(ISNUMBER(J102),OR(J102&lt;50,J102&gt;20000000))),"Введите целое число от 50 до 20000000",IF(NOT(ABS(IFERROR(VALUE(LEFT(M102,FIND("-",M102)-1)),M102)*100-(5000+2000000000)/2)&lt;=ABS(5000-2000000000)/2),"Цена со скидкой должна быть от 50 до 20000000",IF(IFERROR(VALUE(LEFT(M102,FIND("-",M102)-1)),M102)*180&lt;45000,"Вы уменьшили цену в несколько раз, товар попадет в карантин цен","")))),"")</f>
      </c>
    </row>
    <row r="103">
      <c r="A103" s="2" t="inlineStr">
        <is>
          <t>CuteShop</t>
        </is>
      </c>
      <c r="B103" s="2" t="inlineStr">
        <is>
          <t>Подарочные пакеты</t>
        </is>
      </c>
      <c r="C103" s="2">
        <v>270882004</v>
      </c>
      <c r="D103" s="2" t="inlineStr">
        <is>
          <t>pak-pol-edinorog-20</t>
        </is>
      </c>
      <c r="E103" s="2" t="inlineStr">
        <is>
          <t>2041463881483</t>
        </is>
      </c>
      <c r="F103" s="2">
        <v>0</v>
      </c>
      <c r="G103" s="2">
        <v>0</v>
      </c>
      <c r="H103" s="2" t="inlineStr">
        <is>
          <t/>
        </is>
      </c>
      <c r="I103" s="2" t="inlineStr">
        <is>
          <t>301</t>
        </is>
      </c>
      <c r="J103" s="4"/>
      <c r="K103" s="2">
        <v>10</v>
      </c>
      <c r="L103" s="6"/>
      <c r="M103" s="2" t="str">
        <f>IF(J103="",ROUND(I103*(1-IF(ISBLANK(L103),K103,L103)/100),2),ROUND(J103*(1-IF(ISBLANK(L103),K103,L103)/100),2))</f>
      </c>
      <c r="N103" s="7" t="str">
        <f>IF(NOT(AND(J103="",L103="")),IF(OR(AND(L103&lt;&gt;"",NOT(ISNUMBER(L103))),IFERROR(MOD(L103,1),1)&gt;0,AND(ISNUMBER(L103),OR(L103&lt;0,L103&gt;95))),"Введите целое число от 0 до 95",IF(OR(AND(J103&lt;&gt;"",NOT(ISNUMBER(J103))),IFERROR(MOD(J103,1),1)&gt;0,AND(ISNUMBER(J103),OR(J103&lt;50,J103&gt;20000000))),"Введите целое число от 50 до 20000000",IF(NOT(ABS(IFERROR(VALUE(LEFT(M103,FIND("-",M103)-1)),M103)*100-(5000+2000000000)/2)&lt;=ABS(5000-2000000000)/2),"Цена со скидкой должна быть от 50 до 20000000",IF(IFERROR(VALUE(LEFT(M103,FIND("-",M103)-1)),M103)*180&lt;27090,"Вы уменьшили цену в несколько раз, товар попадет в карантин цен","")))),"")</f>
      </c>
    </row>
    <row r="104">
      <c r="A104" s="2" t="inlineStr">
        <is>
          <t>CuteShop</t>
        </is>
      </c>
      <c r="B104" s="2" t="inlineStr">
        <is>
          <t>Подарочные пакеты</t>
        </is>
      </c>
      <c r="C104" s="2">
        <v>270882005</v>
      </c>
      <c r="D104" s="2" t="inlineStr">
        <is>
          <t>pak-pol-edinorog-30</t>
        </is>
      </c>
      <c r="E104" s="2" t="inlineStr">
        <is>
          <t>2041463898139</t>
        </is>
      </c>
      <c r="F104" s="2">
        <v>0</v>
      </c>
      <c r="G104" s="2">
        <v>0</v>
      </c>
      <c r="H104" s="2" t="inlineStr">
        <is>
          <t/>
        </is>
      </c>
      <c r="I104" s="2" t="inlineStr">
        <is>
          <t>410</t>
        </is>
      </c>
      <c r="J104" s="4"/>
      <c r="K104" s="2">
        <v>10</v>
      </c>
      <c r="L104" s="6"/>
      <c r="M104" s="2" t="str">
        <f>IF(J104="",ROUND(I104*(1-IF(ISBLANK(L104),K104,L104)/100),2),ROUND(J104*(1-IF(ISBLANK(L104),K104,L104)/100),2))</f>
      </c>
      <c r="N104" s="7" t="str">
        <f>IF(NOT(AND(J104="",L104="")),IF(OR(AND(L104&lt;&gt;"",NOT(ISNUMBER(L104))),IFERROR(MOD(L104,1),1)&gt;0,AND(ISNUMBER(L104),OR(L104&lt;0,L104&gt;95))),"Введите целое число от 0 до 95",IF(OR(AND(J104&lt;&gt;"",NOT(ISNUMBER(J104))),IFERROR(MOD(J104,1),1)&gt;0,AND(ISNUMBER(J104),OR(J104&lt;50,J104&gt;20000000))),"Введите целое число от 50 до 20000000",IF(NOT(ABS(IFERROR(VALUE(LEFT(M104,FIND("-",M104)-1)),M104)*100-(5000+2000000000)/2)&lt;=ABS(5000-2000000000)/2),"Цена со скидкой должна быть от 50 до 20000000",IF(IFERROR(VALUE(LEFT(M104,FIND("-",M104)-1)),M104)*180&lt;36900,"Вы уменьшили цену в несколько раз, товар попадет в карантин цен","")))),"")</f>
      </c>
    </row>
    <row r="105">
      <c r="A105" s="2" t="inlineStr">
        <is>
          <t/>
        </is>
      </c>
      <c r="B105" s="2" t="inlineStr">
        <is>
          <t>Подарочные коробки</t>
        </is>
      </c>
      <c r="C105" s="2">
        <v>135284682</v>
      </c>
      <c r="D105" s="2" t="inlineStr">
        <is>
          <t>PVCBel-18-18x5</t>
        </is>
      </c>
      <c r="E105" s="2" t="inlineStr">
        <is>
          <t>2037101440341</t>
        </is>
      </c>
      <c r="F105" s="2">
        <v>0</v>
      </c>
      <c r="G105" s="2">
        <v>0</v>
      </c>
      <c r="H105" s="2" t="inlineStr">
        <is>
          <t/>
        </is>
      </c>
      <c r="I105" s="2" t="inlineStr">
        <is>
          <t>470</t>
        </is>
      </c>
      <c r="J105" s="4"/>
      <c r="K105" s="2">
        <v>0</v>
      </c>
      <c r="L105" s="6"/>
      <c r="M105" s="2" t="str">
        <f>IF(J105="",ROUND(I105*(1-IF(ISBLANK(L105),K105,L105)/100),2),ROUND(J105*(1-IF(ISBLANK(L105),K105,L105)/100),2))</f>
      </c>
      <c r="N105" s="7" t="str">
        <f>IF(NOT(AND(J105="",L105="")),IF(OR(AND(L105&lt;&gt;"",NOT(ISNUMBER(L105))),IFERROR(MOD(L105,1),1)&gt;0,AND(ISNUMBER(L105),OR(L105&lt;0,L105&gt;95))),"Введите целое число от 0 до 95",IF(OR(AND(J105&lt;&gt;"",NOT(ISNUMBER(J105))),IFERROR(MOD(J105,1),1)&gt;0,AND(ISNUMBER(J105),OR(J105&lt;50,J105&gt;20000000))),"Введите целое число от 50 до 20000000",IF(NOT(ABS(IFERROR(VALUE(LEFT(M105,FIND("-",M105)-1)),M105)*100-(5000+2000000000)/2)&lt;=ABS(5000-2000000000)/2),"Цена со скидкой должна быть от 50 до 20000000",IF(IFERROR(VALUE(LEFT(M105,FIND("-",M105)-1)),M105)*180&lt;47000,"Вы уменьшили цену в несколько раз, товар попадет в карантин цен","")))),"")</f>
      </c>
    </row>
    <row r="106">
      <c r="A106" s="2" t="inlineStr">
        <is>
          <t>CuteShop</t>
        </is>
      </c>
      <c r="B106" s="2" t="inlineStr">
        <is>
          <t>Подарочные пакеты</t>
        </is>
      </c>
      <c r="C106" s="2">
        <v>219968776</v>
      </c>
      <c r="D106" s="2" t="inlineStr">
        <is>
          <t>pak-love-25-21</t>
        </is>
      </c>
      <c r="E106" s="2" t="inlineStr">
        <is>
          <t>2039729110996</t>
        </is>
      </c>
      <c r="F106" s="2">
        <v>0</v>
      </c>
      <c r="G106" s="2">
        <v>0</v>
      </c>
      <c r="H106" s="2" t="inlineStr">
        <is>
          <t/>
        </is>
      </c>
      <c r="I106" s="2" t="inlineStr">
        <is>
          <t>300</t>
        </is>
      </c>
      <c r="J106" s="4"/>
      <c r="K106" s="2">
        <v>10</v>
      </c>
      <c r="L106" s="6"/>
      <c r="M106" s="2" t="str">
        <f>IF(J106="",ROUND(I106*(1-IF(ISBLANK(L106),K106,L106)/100),2),ROUND(J106*(1-IF(ISBLANK(L106),K106,L106)/100),2))</f>
      </c>
      <c r="N106" s="7" t="str">
        <f>IF(NOT(AND(J106="",L106="")),IF(OR(AND(L106&lt;&gt;"",NOT(ISNUMBER(L106))),IFERROR(MOD(L106,1),1)&gt;0,AND(ISNUMBER(L106),OR(L106&lt;0,L106&gt;95))),"Введите целое число от 0 до 95",IF(OR(AND(J106&lt;&gt;"",NOT(ISNUMBER(J106))),IFERROR(MOD(J106,1),1)&gt;0,AND(ISNUMBER(J106),OR(J106&lt;50,J106&gt;20000000))),"Введите целое число от 50 до 20000000",IF(NOT(ABS(IFERROR(VALUE(LEFT(M106,FIND("-",M106)-1)),M106)*100-(5000+2000000000)/2)&lt;=ABS(5000-2000000000)/2),"Цена со скидкой должна быть от 50 до 20000000",IF(IFERROR(VALUE(LEFT(M106,FIND("-",M106)-1)),M106)*180&lt;27000,"Вы уменьшили цену в несколько раз, товар попадет в карантин цен","")))),"")</f>
      </c>
    </row>
    <row r="107">
      <c r="A107" s="2" t="inlineStr">
        <is>
          <t>CuteShop</t>
        </is>
      </c>
      <c r="B107" s="2" t="inlineStr">
        <is>
          <t>Подарочные пакеты</t>
        </is>
      </c>
      <c r="C107" s="2">
        <v>135199783</v>
      </c>
      <c r="D107" s="2" t="inlineStr">
        <is>
          <t>Paketik-LL-NK-50</t>
        </is>
      </c>
      <c r="E107" s="2" t="inlineStr">
        <is>
          <t>2037100983863</t>
        </is>
      </c>
      <c r="F107" s="2">
        <v>0</v>
      </c>
      <c r="G107" s="2">
        <v>1</v>
      </c>
      <c r="H107" s="2" t="inlineStr">
        <is>
          <t/>
        </is>
      </c>
      <c r="I107" s="2" t="inlineStr">
        <is>
          <t>420</t>
        </is>
      </c>
      <c r="J107" s="4"/>
      <c r="K107" s="2">
        <v>10</v>
      </c>
      <c r="L107" s="6"/>
      <c r="M107" s="2" t="str">
        <f>IF(J107="",ROUND(I107*(1-IF(ISBLANK(L107),K107,L107)/100),2),ROUND(J107*(1-IF(ISBLANK(L107),K107,L107)/100),2))</f>
      </c>
      <c r="N107" s="7" t="str">
        <f>IF(NOT(AND(J107="",L107="")),IF(OR(AND(L107&lt;&gt;"",NOT(ISNUMBER(L107))),IFERROR(MOD(L107,1),1)&gt;0,AND(ISNUMBER(L107),OR(L107&lt;0,L107&gt;95))),"Введите целое число от 0 до 95",IF(OR(AND(J107&lt;&gt;"",NOT(ISNUMBER(J107))),IFERROR(MOD(J107,1),1)&gt;0,AND(ISNUMBER(J107),OR(J107&lt;50,J107&gt;20000000))),"Введите целое число от 50 до 20000000",IF(NOT(ABS(IFERROR(VALUE(LEFT(M107,FIND("-",M107)-1)),M107)*100-(5000+2000000000)/2)&lt;=ABS(5000-2000000000)/2),"Цена со скидкой должна быть от 50 до 20000000",IF(IFERROR(VALUE(LEFT(M107,FIND("-",M107)-1)),M107)*180&lt;37800,"Вы уменьшили цену в несколько раз, товар попадет в карантин цен","")))),"")</f>
      </c>
    </row>
    <row r="108">
      <c r="A108" s="2" t="inlineStr">
        <is>
          <t>CuteShop</t>
        </is>
      </c>
      <c r="B108" s="2" t="inlineStr">
        <is>
          <t>Подарочные пакеты</t>
        </is>
      </c>
      <c r="C108" s="2">
        <v>219969698</v>
      </c>
      <c r="D108" s="2" t="inlineStr">
        <is>
          <t>pak-unic-27-23</t>
        </is>
      </c>
      <c r="E108" s="2" t="inlineStr">
        <is>
          <t>2039729128212</t>
        </is>
      </c>
      <c r="F108" s="2">
        <v>0</v>
      </c>
      <c r="G108" s="2">
        <v>2</v>
      </c>
      <c r="H108" s="2" t="inlineStr">
        <is>
          <t/>
        </is>
      </c>
      <c r="I108" s="2" t="inlineStr">
        <is>
          <t>310</t>
        </is>
      </c>
      <c r="J108" s="4"/>
      <c r="K108" s="2">
        <v>10</v>
      </c>
      <c r="L108" s="6"/>
      <c r="M108" s="2" t="str">
        <f>IF(J108="",ROUND(I108*(1-IF(ISBLANK(L108),K108,L108)/100),2),ROUND(J108*(1-IF(ISBLANK(L108),K108,L108)/100),2))</f>
      </c>
      <c r="N108" s="7" t="str">
        <f>IF(NOT(AND(J108="",L108="")),IF(OR(AND(L108&lt;&gt;"",NOT(ISNUMBER(L108))),IFERROR(MOD(L108,1),1)&gt;0,AND(ISNUMBER(L108),OR(L108&lt;0,L108&gt;95))),"Введите целое число от 0 до 95",IF(OR(AND(J108&lt;&gt;"",NOT(ISNUMBER(J108))),IFERROR(MOD(J108,1),1)&gt;0,AND(ISNUMBER(J108),OR(J108&lt;50,J108&gt;20000000))),"Введите целое число от 50 до 20000000",IF(NOT(ABS(IFERROR(VALUE(LEFT(M108,FIND("-",M108)-1)),M108)*100-(5000+2000000000)/2)&lt;=ABS(5000-2000000000)/2),"Цена со скидкой должна быть от 50 до 20000000",IF(IFERROR(VALUE(LEFT(M108,FIND("-",M108)-1)),M108)*180&lt;27900,"Вы уменьшили цену в несколько раз, товар попадет в карантин цен","")))),"")</f>
      </c>
    </row>
    <row r="109">
      <c r="A109" s="2" t="inlineStr">
        <is>
          <t>CuteShop</t>
        </is>
      </c>
      <c r="B109" s="2" t="inlineStr">
        <is>
          <t>Подарочные пакеты</t>
        </is>
      </c>
      <c r="C109" s="2">
        <v>219944340</v>
      </c>
      <c r="D109" s="2" t="inlineStr">
        <is>
          <t>pak-shine-14-14</t>
        </is>
      </c>
      <c r="E109" s="2" t="inlineStr">
        <is>
          <t>2039727570761</t>
        </is>
      </c>
      <c r="F109" s="2">
        <v>0</v>
      </c>
      <c r="G109" s="2">
        <v>2</v>
      </c>
      <c r="H109" s="2" t="inlineStr">
        <is>
          <t/>
        </is>
      </c>
      <c r="I109" s="2" t="inlineStr">
        <is>
          <t>300</t>
        </is>
      </c>
      <c r="J109" s="4"/>
      <c r="K109" s="2">
        <v>10</v>
      </c>
      <c r="L109" s="6"/>
      <c r="M109" s="2" t="str">
        <f>IF(J109="",ROUND(I109*(1-IF(ISBLANK(L109),K109,L109)/100),2),ROUND(J109*(1-IF(ISBLANK(L109),K109,L109)/100),2))</f>
      </c>
      <c r="N109" s="7" t="str">
        <f>IF(NOT(AND(J109="",L109="")),IF(OR(AND(L109&lt;&gt;"",NOT(ISNUMBER(L109))),IFERROR(MOD(L109,1),1)&gt;0,AND(ISNUMBER(L109),OR(L109&lt;0,L109&gt;95))),"Введите целое число от 0 до 95",IF(OR(AND(J109&lt;&gt;"",NOT(ISNUMBER(J109))),IFERROR(MOD(J109,1),1)&gt;0,AND(ISNUMBER(J109),OR(J109&lt;50,J109&gt;20000000))),"Введите целое число от 50 до 20000000",IF(NOT(ABS(IFERROR(VALUE(LEFT(M109,FIND("-",M109)-1)),M109)*100-(5000+2000000000)/2)&lt;=ABS(5000-2000000000)/2),"Цена со скидкой должна быть от 50 до 20000000",IF(IFERROR(VALUE(LEFT(M109,FIND("-",M109)-1)),M109)*180&lt;27000,"Вы уменьшили цену в несколько раз, товар попадет в карантин цен","")))),"")</f>
      </c>
    </row>
    <row r="110">
      <c r="A110" s="2" t="inlineStr">
        <is>
          <t/>
        </is>
      </c>
      <c r="B110" s="2" t="inlineStr">
        <is>
          <t>Подарочные коробки</t>
        </is>
      </c>
      <c r="C110" s="2">
        <v>135237487</v>
      </c>
      <c r="D110" s="2" t="inlineStr">
        <is>
          <t>PVCKraft-15-15x10</t>
        </is>
      </c>
      <c r="E110" s="2" t="inlineStr">
        <is>
          <t>2037101200983</t>
        </is>
      </c>
      <c r="F110" s="2">
        <v>0</v>
      </c>
      <c r="G110" s="2">
        <v>0</v>
      </c>
      <c r="H110" s="2">
        <v>0</v>
      </c>
      <c r="I110" s="2" t="inlineStr">
        <is>
          <t>550</t>
        </is>
      </c>
      <c r="J110" s="4"/>
      <c r="K110" s="2">
        <v>0</v>
      </c>
      <c r="L110" s="6"/>
      <c r="M110" s="2" t="str">
        <f>IF(J110="",ROUND(I110*(1-IF(ISBLANK(L110),K110,L110)/100),2),ROUND(J110*(1-IF(ISBLANK(L110),K110,L110)/100),2))</f>
      </c>
      <c r="N110" s="7" t="str">
        <f>IF(NOT(AND(J110="",L110="")),IF(OR(AND(L110&lt;&gt;"",NOT(ISNUMBER(L110))),IFERROR(MOD(L110,1),1)&gt;0,AND(ISNUMBER(L110),OR(L110&lt;0,L110&gt;95))),"Введите целое число от 0 до 95",IF(OR(AND(J110&lt;&gt;"",NOT(ISNUMBER(J110))),IFERROR(MOD(J110,1),1)&gt;0,AND(ISNUMBER(J110),OR(J110&lt;50,J110&gt;20000000))),"Введите целое число от 50 до 20000000",IF(NOT(ABS(IFERROR(VALUE(LEFT(M110,FIND("-",M110)-1)),M110)*100-(5000+2000000000)/2)&lt;=ABS(5000-2000000000)/2),"Цена со скидкой должна быть от 50 до 20000000",IF(IFERROR(VALUE(LEFT(M110,FIND("-",M110)-1)),M110)*180&lt;55000,"Вы уменьшили цену в несколько раз, товар попадет в карантин цен","")))),"")</f>
      </c>
    </row>
    <row r="111">
      <c r="A111" s="2" t="inlineStr">
        <is>
          <t/>
        </is>
      </c>
      <c r="B111" s="2" t="inlineStr">
        <is>
          <t>Подарочные коробки</t>
        </is>
      </c>
      <c r="C111" s="2">
        <v>135277408</v>
      </c>
      <c r="D111" s="2" t="inlineStr">
        <is>
          <t>PVCGol-15-15x5</t>
        </is>
      </c>
      <c r="E111" s="2" t="inlineStr">
        <is>
          <t>2037101408204</t>
        </is>
      </c>
      <c r="F111" s="2">
        <v>0</v>
      </c>
      <c r="G111" s="2">
        <v>0</v>
      </c>
      <c r="H111" s="2" t="inlineStr">
        <is>
          <t/>
        </is>
      </c>
      <c r="I111" s="2" t="inlineStr">
        <is>
          <t>420</t>
        </is>
      </c>
      <c r="J111" s="4"/>
      <c r="K111" s="2">
        <v>0</v>
      </c>
      <c r="L111" s="6"/>
      <c r="M111" s="2" t="str">
        <f>IF(J111="",ROUND(I111*(1-IF(ISBLANK(L111),K111,L111)/100),2),ROUND(J111*(1-IF(ISBLANK(L111),K111,L111)/100),2))</f>
      </c>
      <c r="N111" s="7" t="str">
        <f>IF(NOT(AND(J111="",L111="")),IF(OR(AND(L111&lt;&gt;"",NOT(ISNUMBER(L111))),IFERROR(MOD(L111,1),1)&gt;0,AND(ISNUMBER(L111),OR(L111&lt;0,L111&gt;95))),"Введите целое число от 0 до 95",IF(OR(AND(J111&lt;&gt;"",NOT(ISNUMBER(J111))),IFERROR(MOD(J111,1),1)&gt;0,AND(ISNUMBER(J111),OR(J111&lt;50,J111&gt;20000000))),"Введите целое число от 50 до 20000000",IF(NOT(ABS(IFERROR(VALUE(LEFT(M111,FIND("-",M111)-1)),M111)*100-(5000+2000000000)/2)&lt;=ABS(5000-2000000000)/2),"Цена со скидкой должна быть от 50 до 20000000",IF(IFERROR(VALUE(LEFT(M111,FIND("-",M111)-1)),M111)*180&lt;42000,"Вы уменьшили цену в несколько раз, товар попадет в карантин цен","")))),"")</f>
      </c>
    </row>
    <row r="112">
      <c r="A112" s="2" t="inlineStr">
        <is>
          <t/>
        </is>
      </c>
      <c r="B112" s="2" t="inlineStr">
        <is>
          <t>Подарочные коробки</t>
        </is>
      </c>
      <c r="C112" s="2">
        <v>187756796</v>
      </c>
      <c r="D112" s="2" t="inlineStr">
        <is>
          <t>PVCBel-21-21x5</t>
        </is>
      </c>
      <c r="E112" s="2" t="inlineStr">
        <is>
          <t>2038919465960</t>
        </is>
      </c>
      <c r="F112" s="2">
        <v>0</v>
      </c>
      <c r="G112" s="2">
        <v>0</v>
      </c>
      <c r="H112" s="2" t="inlineStr">
        <is>
          <t/>
        </is>
      </c>
      <c r="I112" s="2" t="inlineStr">
        <is>
          <t>450</t>
        </is>
      </c>
      <c r="J112" s="4"/>
      <c r="K112" s="2">
        <v>0</v>
      </c>
      <c r="L112" s="6"/>
      <c r="M112" s="2" t="str">
        <f>IF(J112="",ROUND(I112*(1-IF(ISBLANK(L112),K112,L112)/100),2),ROUND(J112*(1-IF(ISBLANK(L112),K112,L112)/100),2))</f>
      </c>
      <c r="N112" s="7" t="str">
        <f>IF(NOT(AND(J112="",L112="")),IF(OR(AND(L112&lt;&gt;"",NOT(ISNUMBER(L112))),IFERROR(MOD(L112,1),1)&gt;0,AND(ISNUMBER(L112),OR(L112&lt;0,L112&gt;95))),"Введите целое число от 0 до 95",IF(OR(AND(J112&lt;&gt;"",NOT(ISNUMBER(J112))),IFERROR(MOD(J112,1),1)&gt;0,AND(ISNUMBER(J112),OR(J112&lt;50,J112&gt;20000000))),"Введите целое число от 50 до 20000000",IF(NOT(ABS(IFERROR(VALUE(LEFT(M112,FIND("-",M112)-1)),M112)*100-(5000+2000000000)/2)&lt;=ABS(5000-2000000000)/2),"Цена со скидкой должна быть от 50 до 20000000",IF(IFERROR(VALUE(LEFT(M112,FIND("-",M112)-1)),M112)*180&lt;45000,"Вы уменьшили цену в несколько раз, товар попадет в карантин цен","")))),"")</f>
      </c>
    </row>
    <row r="113">
      <c r="A113" s="2" t="inlineStr">
        <is>
          <t/>
        </is>
      </c>
      <c r="B113" s="2" t="inlineStr">
        <is>
          <t>Подарочные коробки</t>
        </is>
      </c>
      <c r="C113" s="2">
        <v>122642129</v>
      </c>
      <c r="D113" s="2" t="inlineStr">
        <is>
          <t>Gol-10-8</t>
        </is>
      </c>
      <c r="E113" s="2" t="inlineStr">
        <is>
          <t>2036956749845</t>
        </is>
      </c>
      <c r="F113" s="2">
        <v>0</v>
      </c>
      <c r="G113" s="2">
        <v>0</v>
      </c>
      <c r="H113" s="2">
        <v>0</v>
      </c>
      <c r="I113" s="2" t="inlineStr">
        <is>
          <t>500</t>
        </is>
      </c>
      <c r="J113" s="4"/>
      <c r="K113" s="2">
        <v>0</v>
      </c>
      <c r="L113" s="6"/>
      <c r="M113" s="2" t="str">
        <f>IF(J113="",ROUND(I113*(1-IF(ISBLANK(L113),K113,L113)/100),2),ROUND(J113*(1-IF(ISBLANK(L113),K113,L113)/100),2))</f>
      </c>
      <c r="N113" s="7" t="str">
        <f>IF(NOT(AND(J113="",L113="")),IF(OR(AND(L113&lt;&gt;"",NOT(ISNUMBER(L113))),IFERROR(MOD(L113,1),1)&gt;0,AND(ISNUMBER(L113),OR(L113&lt;0,L113&gt;95))),"Введите целое число от 0 до 95",IF(OR(AND(J113&lt;&gt;"",NOT(ISNUMBER(J113))),IFERROR(MOD(J113,1),1)&gt;0,AND(ISNUMBER(J113),OR(J113&lt;50,J113&gt;20000000))),"Введите целое число от 50 до 20000000",IF(NOT(ABS(IFERROR(VALUE(LEFT(M113,FIND("-",M113)-1)),M113)*100-(5000+2000000000)/2)&lt;=ABS(5000-2000000000)/2),"Цена со скидкой должна быть от 50 до 20000000",IF(IFERROR(VALUE(LEFT(M113,FIND("-",M113)-1)),M113)*180&lt;50000,"Вы уменьшили цену в несколько раз, товар попадет в карантин цен","")))),"")</f>
      </c>
    </row>
    <row r="114">
      <c r="A114" s="2" t="inlineStr">
        <is>
          <t/>
        </is>
      </c>
      <c r="B114" s="2" t="inlineStr">
        <is>
          <t>Подарочные коробки</t>
        </is>
      </c>
      <c r="C114" s="2">
        <v>187031544</v>
      </c>
      <c r="D114" s="2" t="inlineStr">
        <is>
          <t>PVCRoz-12-12x5</t>
        </is>
      </c>
      <c r="E114" s="2" t="inlineStr">
        <is>
          <t>2038899015667</t>
        </is>
      </c>
      <c r="F114" s="2">
        <v>0</v>
      </c>
      <c r="G114" s="2">
        <v>0</v>
      </c>
      <c r="H114" s="2" t="inlineStr">
        <is>
          <t/>
        </is>
      </c>
      <c r="I114" s="2" t="inlineStr">
        <is>
          <t>360</t>
        </is>
      </c>
      <c r="J114" s="4"/>
      <c r="K114" s="2">
        <v>0</v>
      </c>
      <c r="L114" s="6"/>
      <c r="M114" s="2" t="str">
        <f>IF(J114="",ROUND(I114*(1-IF(ISBLANK(L114),K114,L114)/100),2),ROUND(J114*(1-IF(ISBLANK(L114),K114,L114)/100),2))</f>
      </c>
      <c r="N114" s="7" t="str">
        <f>IF(NOT(AND(J114="",L114="")),IF(OR(AND(L114&lt;&gt;"",NOT(ISNUMBER(L114))),IFERROR(MOD(L114,1),1)&gt;0,AND(ISNUMBER(L114),OR(L114&lt;0,L114&gt;95))),"Введите целое число от 0 до 95",IF(OR(AND(J114&lt;&gt;"",NOT(ISNUMBER(J114))),IFERROR(MOD(J114,1),1)&gt;0,AND(ISNUMBER(J114),OR(J114&lt;50,J114&gt;20000000))),"Введите целое число от 50 до 20000000",IF(NOT(ABS(IFERROR(VALUE(LEFT(M114,FIND("-",M114)-1)),M114)*100-(5000+2000000000)/2)&lt;=ABS(5000-2000000000)/2),"Цена со скидкой должна быть от 50 до 20000000",IF(IFERROR(VALUE(LEFT(M114,FIND("-",M114)-1)),M114)*180&lt;36000,"Вы уменьшили цену в несколько раз, товар попадет в карантин цен","")))),"")</f>
      </c>
    </row>
    <row r="115">
      <c r="A115" s="2" t="inlineStr">
        <is>
          <t/>
        </is>
      </c>
      <c r="B115" s="2" t="inlineStr">
        <is>
          <t>Подарочные коробки</t>
        </is>
      </c>
      <c r="C115" s="2">
        <v>187033892</v>
      </c>
      <c r="D115" s="2" t="inlineStr">
        <is>
          <t>PVCZel-12-12x5</t>
        </is>
      </c>
      <c r="E115" s="2" t="inlineStr">
        <is>
          <t>2038899086889</t>
        </is>
      </c>
      <c r="F115" s="2">
        <v>0</v>
      </c>
      <c r="G115" s="2">
        <v>0</v>
      </c>
      <c r="H115" s="2" t="inlineStr">
        <is>
          <t/>
        </is>
      </c>
      <c r="I115" s="2" t="inlineStr">
        <is>
          <t>360</t>
        </is>
      </c>
      <c r="J115" s="4"/>
      <c r="K115" s="2">
        <v>0</v>
      </c>
      <c r="L115" s="6"/>
      <c r="M115" s="2" t="str">
        <f>IF(J115="",ROUND(I115*(1-IF(ISBLANK(L115),K115,L115)/100),2),ROUND(J115*(1-IF(ISBLANK(L115),K115,L115)/100),2))</f>
      </c>
      <c r="N115" s="7" t="str">
        <f>IF(NOT(AND(J115="",L115="")),IF(OR(AND(L115&lt;&gt;"",NOT(ISNUMBER(L115))),IFERROR(MOD(L115,1),1)&gt;0,AND(ISNUMBER(L115),OR(L115&lt;0,L115&gt;95))),"Введите целое число от 0 до 95",IF(OR(AND(J115&lt;&gt;"",NOT(ISNUMBER(J115))),IFERROR(MOD(J115,1),1)&gt;0,AND(ISNUMBER(J115),OR(J115&lt;50,J115&gt;20000000))),"Введите целое число от 50 до 20000000",IF(NOT(ABS(IFERROR(VALUE(LEFT(M115,FIND("-",M115)-1)),M115)*100-(5000+2000000000)/2)&lt;=ABS(5000-2000000000)/2),"Цена со скидкой должна быть от 50 до 20000000",IF(IFERROR(VALUE(LEFT(M115,FIND("-",M115)-1)),M115)*180&lt;36000,"Вы уменьшили цену в несколько раз, товар попадет в карантин цен","")))),"")</f>
      </c>
    </row>
    <row r="116">
      <c r="A116" s="2" t="inlineStr">
        <is>
          <t/>
        </is>
      </c>
      <c r="B116" s="2" t="inlineStr">
        <is>
          <t>Подарочные коробки</t>
        </is>
      </c>
      <c r="C116" s="2">
        <v>122647504</v>
      </c>
      <c r="D116" s="2" t="inlineStr">
        <is>
          <t>Fiol-20-12</t>
        </is>
      </c>
      <c r="E116" s="2" t="inlineStr">
        <is>
          <t>2036956817728</t>
        </is>
      </c>
      <c r="F116" s="2">
        <v>0</v>
      </c>
      <c r="G116" s="2">
        <v>0</v>
      </c>
      <c r="H116" s="2">
        <v>0</v>
      </c>
      <c r="I116" s="2" t="inlineStr">
        <is>
          <t>583</t>
        </is>
      </c>
      <c r="J116" s="4"/>
      <c r="K116" s="2">
        <v>0</v>
      </c>
      <c r="L116" s="6"/>
      <c r="M116" s="2" t="str">
        <f>IF(J116="",ROUND(I116*(1-IF(ISBLANK(L116),K116,L116)/100),2),ROUND(J116*(1-IF(ISBLANK(L116),K116,L116)/100),2))</f>
      </c>
      <c r="N116" s="7" t="str">
        <f>IF(NOT(AND(J116="",L116="")),IF(OR(AND(L116&lt;&gt;"",NOT(ISNUMBER(L116))),IFERROR(MOD(L116,1),1)&gt;0,AND(ISNUMBER(L116),OR(L116&lt;0,L116&gt;95))),"Введите целое число от 0 до 95",IF(OR(AND(J116&lt;&gt;"",NOT(ISNUMBER(J116))),IFERROR(MOD(J116,1),1)&gt;0,AND(ISNUMBER(J116),OR(J116&lt;50,J116&gt;20000000))),"Введите целое число от 50 до 20000000",IF(NOT(ABS(IFERROR(VALUE(LEFT(M116,FIND("-",M116)-1)),M116)*100-(5000+2000000000)/2)&lt;=ABS(5000-2000000000)/2),"Цена со скидкой должна быть от 50 до 20000000",IF(IFERROR(VALUE(LEFT(M116,FIND("-",M116)-1)),M116)*180&lt;58300,"Вы уменьшили цену в несколько раз, товар попадет в карантин цен","")))),"")</f>
      </c>
    </row>
    <row r="117">
      <c r="A117" s="2" t="inlineStr">
        <is>
          <t>CuteShop</t>
        </is>
      </c>
      <c r="B117" s="2" t="inlineStr">
        <is>
          <t>Подарочные пакеты</t>
        </is>
      </c>
      <c r="C117" s="2">
        <v>180620434</v>
      </c>
      <c r="D117" s="2" t="inlineStr">
        <is>
          <t>Paketik-LL-Snezh2-100</t>
        </is>
      </c>
      <c r="E117" s="2" t="inlineStr">
        <is>
          <t>2038741655621</t>
        </is>
      </c>
      <c r="F117" s="2">
        <v>0</v>
      </c>
      <c r="G117" s="2">
        <v>0</v>
      </c>
      <c r="H117" s="2" t="inlineStr">
        <is>
          <t/>
        </is>
      </c>
      <c r="I117" s="2" t="inlineStr">
        <is>
          <t>520</t>
        </is>
      </c>
      <c r="J117" s="4"/>
      <c r="K117" s="2">
        <v>10</v>
      </c>
      <c r="L117" s="6"/>
      <c r="M117" s="2" t="str">
        <f>IF(J117="",ROUND(I117*(1-IF(ISBLANK(L117),K117,L117)/100),2),ROUND(J117*(1-IF(ISBLANK(L117),K117,L117)/100),2))</f>
      </c>
      <c r="N117" s="7" t="str">
        <f>IF(NOT(AND(J117="",L117="")),IF(OR(AND(L117&lt;&gt;"",NOT(ISNUMBER(L117))),IFERROR(MOD(L117,1),1)&gt;0,AND(ISNUMBER(L117),OR(L117&lt;0,L117&gt;95))),"Введите целое число от 0 до 95",IF(OR(AND(J117&lt;&gt;"",NOT(ISNUMBER(J117))),IFERROR(MOD(J117,1),1)&gt;0,AND(ISNUMBER(J117),OR(J117&lt;50,J117&gt;20000000))),"Введите целое число от 50 до 20000000",IF(NOT(ABS(IFERROR(VALUE(LEFT(M117,FIND("-",M117)-1)),M117)*100-(5000+2000000000)/2)&lt;=ABS(5000-2000000000)/2),"Цена со скидкой должна быть от 50 до 20000000",IF(IFERROR(VALUE(LEFT(M117,FIND("-",M117)-1)),M117)*180&lt;46800,"Вы уменьшили цену в несколько раз, товар попадет в карантин цен","")))),"")</f>
      </c>
    </row>
    <row r="118">
      <c r="A118" s="2" t="inlineStr">
        <is>
          <t>CuteShop</t>
        </is>
      </c>
      <c r="B118" s="2" t="inlineStr">
        <is>
          <t>Подарочные коробки</t>
        </is>
      </c>
      <c r="C118" s="2">
        <v>190312190</v>
      </c>
      <c r="D118" s="2" t="inlineStr">
        <is>
          <t>Kor-10-8-Kraft-20</t>
        </is>
      </c>
      <c r="E118" s="2" t="inlineStr">
        <is>
          <t>2039006157829</t>
        </is>
      </c>
      <c r="F118" s="2">
        <v>0</v>
      </c>
      <c r="G118" s="2">
        <v>0</v>
      </c>
      <c r="H118" s="2" t="inlineStr">
        <is>
          <t/>
        </is>
      </c>
      <c r="I118" s="2" t="inlineStr">
        <is>
          <t>520</t>
        </is>
      </c>
      <c r="J118" s="4"/>
      <c r="K118" s="2">
        <v>0</v>
      </c>
      <c r="L118" s="6"/>
      <c r="M118" s="2" t="str">
        <f>IF(J118="",ROUND(I118*(1-IF(ISBLANK(L118),K118,L118)/100),2),ROUND(J118*(1-IF(ISBLANK(L118),K118,L118)/100),2))</f>
      </c>
      <c r="N118" s="7" t="str">
        <f>IF(NOT(AND(J118="",L118="")),IF(OR(AND(L118&lt;&gt;"",NOT(ISNUMBER(L118))),IFERROR(MOD(L118,1),1)&gt;0,AND(ISNUMBER(L118),OR(L118&lt;0,L118&gt;95))),"Введите целое число от 0 до 95",IF(OR(AND(J118&lt;&gt;"",NOT(ISNUMBER(J118))),IFERROR(MOD(J118,1),1)&gt;0,AND(ISNUMBER(J118),OR(J118&lt;50,J118&gt;20000000))),"Введите целое число от 50 до 20000000",IF(NOT(ABS(IFERROR(VALUE(LEFT(M118,FIND("-",M118)-1)),M118)*100-(5000+2000000000)/2)&lt;=ABS(5000-2000000000)/2),"Цена со скидкой должна быть от 50 до 20000000",IF(IFERROR(VALUE(LEFT(M118,FIND("-",M118)-1)),M118)*180&lt;52000,"Вы уменьшили цену в несколько раз, товар попадет в карантин цен","")))),"")</f>
      </c>
    </row>
    <row r="119">
      <c r="A119" s="2" t="inlineStr">
        <is>
          <t>CuteShop</t>
        </is>
      </c>
      <c r="B119" s="2" t="inlineStr">
        <is>
          <t>Подарочные коробки</t>
        </is>
      </c>
      <c r="C119" s="2">
        <v>187762367</v>
      </c>
      <c r="D119" s="2" t="inlineStr">
        <is>
          <t>Kor-115-115-RozKrug-10</t>
        </is>
      </c>
      <c r="E119" s="2" t="inlineStr">
        <is>
          <t>2038919617819</t>
        </is>
      </c>
      <c r="F119" s="2">
        <v>0</v>
      </c>
      <c r="G119" s="2">
        <v>0</v>
      </c>
      <c r="H119" s="2" t="inlineStr">
        <is>
          <t/>
        </is>
      </c>
      <c r="I119" s="2" t="inlineStr">
        <is>
          <t>520</t>
        </is>
      </c>
      <c r="J119" s="4"/>
      <c r="K119" s="2">
        <v>10</v>
      </c>
      <c r="L119" s="6"/>
      <c r="M119" s="2" t="str">
        <f>IF(J119="",ROUND(I119*(1-IF(ISBLANK(L119),K119,L119)/100),2),ROUND(J119*(1-IF(ISBLANK(L119),K119,L119)/100),2))</f>
      </c>
      <c r="N119" s="7" t="str">
        <f>IF(NOT(AND(J119="",L119="")),IF(OR(AND(L119&lt;&gt;"",NOT(ISNUMBER(L119))),IFERROR(MOD(L119,1),1)&gt;0,AND(ISNUMBER(L119),OR(L119&lt;0,L119&gt;95))),"Введите целое число от 0 до 95",IF(OR(AND(J119&lt;&gt;"",NOT(ISNUMBER(J119))),IFERROR(MOD(J119,1),1)&gt;0,AND(ISNUMBER(J119),OR(J119&lt;50,J119&gt;20000000))),"Введите целое число от 50 до 20000000",IF(NOT(ABS(IFERROR(VALUE(LEFT(M119,FIND("-",M119)-1)),M119)*100-(5000+2000000000)/2)&lt;=ABS(5000-2000000000)/2),"Цена со скидкой должна быть от 50 до 20000000",IF(IFERROR(VALUE(LEFT(M119,FIND("-",M119)-1)),M119)*180&lt;46800,"Вы уменьшили цену в несколько раз, товар попадет в карантин цен","")))),"")</f>
      </c>
    </row>
    <row r="120">
      <c r="A120" s="2" t="inlineStr">
        <is>
          <t/>
        </is>
      </c>
      <c r="B120" s="2" t="inlineStr">
        <is>
          <t>Подарочные коробки</t>
        </is>
      </c>
      <c r="C120" s="2">
        <v>187551160</v>
      </c>
      <c r="D120" s="2" t="inlineStr">
        <is>
          <t>PVCKraft-9-9x10</t>
        </is>
      </c>
      <c r="E120" s="2" t="inlineStr">
        <is>
          <t>2038913320869</t>
        </is>
      </c>
      <c r="F120" s="2">
        <v>0</v>
      </c>
      <c r="G120" s="2">
        <v>0</v>
      </c>
      <c r="H120" s="2" t="inlineStr">
        <is>
          <t/>
        </is>
      </c>
      <c r="I120" s="2" t="inlineStr">
        <is>
          <t>540</t>
        </is>
      </c>
      <c r="J120" s="4"/>
      <c r="K120" s="2">
        <v>0</v>
      </c>
      <c r="L120" s="6"/>
      <c r="M120" s="2" t="str">
        <f>IF(J120="",ROUND(I120*(1-IF(ISBLANK(L120),K120,L120)/100),2),ROUND(J120*(1-IF(ISBLANK(L120),K120,L120)/100),2))</f>
      </c>
      <c r="N120" s="7" t="str">
        <f>IF(NOT(AND(J120="",L120="")),IF(OR(AND(L120&lt;&gt;"",NOT(ISNUMBER(L120))),IFERROR(MOD(L120,1),1)&gt;0,AND(ISNUMBER(L120),OR(L120&lt;0,L120&gt;95))),"Введите целое число от 0 до 95",IF(OR(AND(J120&lt;&gt;"",NOT(ISNUMBER(J120))),IFERROR(MOD(J120,1),1)&gt;0,AND(ISNUMBER(J120),OR(J120&lt;50,J120&gt;20000000))),"Введите целое число от 50 до 20000000",IF(NOT(ABS(IFERROR(VALUE(LEFT(M120,FIND("-",M120)-1)),M120)*100-(5000+2000000000)/2)&lt;=ABS(5000-2000000000)/2),"Цена со скидкой должна быть от 50 до 20000000",IF(IFERROR(VALUE(LEFT(M120,FIND("-",M120)-1)),M120)*180&lt;54000,"Вы уменьшили цену в несколько раз, товар попадет в карантин цен","")))),"")</f>
      </c>
    </row>
    <row r="121">
      <c r="A121" s="2" t="inlineStr">
        <is>
          <t/>
        </is>
      </c>
      <c r="B121" s="2" t="inlineStr">
        <is>
          <t>Подарочные коробки</t>
        </is>
      </c>
      <c r="C121" s="2">
        <v>190308316</v>
      </c>
      <c r="D121" s="2" t="inlineStr">
        <is>
          <t>Box-Bel-22-15-10</t>
        </is>
      </c>
      <c r="E121" s="2" t="inlineStr">
        <is>
          <t>2039005820250</t>
        </is>
      </c>
      <c r="F121" s="2">
        <v>0</v>
      </c>
      <c r="G121" s="2">
        <v>0</v>
      </c>
      <c r="H121" s="2" t="inlineStr">
        <is>
          <t/>
        </is>
      </c>
      <c r="I121" s="2" t="inlineStr">
        <is>
          <t>650</t>
        </is>
      </c>
      <c r="J121" s="4"/>
      <c r="K121" s="2">
        <v>0</v>
      </c>
      <c r="L121" s="6"/>
      <c r="M121" s="2" t="str">
        <f>IF(J121="",ROUND(I121*(1-IF(ISBLANK(L121),K121,L121)/100),2),ROUND(J121*(1-IF(ISBLANK(L121),K121,L121)/100),2))</f>
      </c>
      <c r="N121" s="7" t="str">
        <f>IF(NOT(AND(J121="",L121="")),IF(OR(AND(L121&lt;&gt;"",NOT(ISNUMBER(L121))),IFERROR(MOD(L121,1),1)&gt;0,AND(ISNUMBER(L121),OR(L121&lt;0,L121&gt;95))),"Введите целое число от 0 до 95",IF(OR(AND(J121&lt;&gt;"",NOT(ISNUMBER(J121))),IFERROR(MOD(J121,1),1)&gt;0,AND(ISNUMBER(J121),OR(J121&lt;50,J121&gt;20000000))),"Введите целое число от 50 до 20000000",IF(NOT(ABS(IFERROR(VALUE(LEFT(M121,FIND("-",M121)-1)),M121)*100-(5000+2000000000)/2)&lt;=ABS(5000-2000000000)/2),"Цена со скидкой должна быть от 50 до 20000000",IF(IFERROR(VALUE(LEFT(M121,FIND("-",M121)-1)),M121)*180&lt;65000,"Вы уменьшили цену в несколько раз, товар попадет в карантин цен","")))),"")</f>
      </c>
    </row>
    <row r="122">
      <c r="A122" s="2" t="inlineStr">
        <is>
          <t>CuteShop</t>
        </is>
      </c>
      <c r="B122" s="2" t="inlineStr">
        <is>
          <t>Подарочные коробки</t>
        </is>
      </c>
      <c r="C122" s="2">
        <v>296217706</v>
      </c>
      <c r="D122" s="2" t="inlineStr">
        <is>
          <t>Kor-115-115-KraftKrug2-10</t>
        </is>
      </c>
      <c r="E122" s="2" t="inlineStr">
        <is>
          <t>2042122191998</t>
        </is>
      </c>
      <c r="F122" s="2">
        <v>0</v>
      </c>
      <c r="G122" s="2">
        <v>0</v>
      </c>
      <c r="H122" s="2" t="inlineStr">
        <is>
          <t/>
        </is>
      </c>
      <c r="I122" s="2" t="inlineStr">
        <is>
          <t>560</t>
        </is>
      </c>
      <c r="J122" s="4"/>
      <c r="K122" s="2">
        <v>0</v>
      </c>
      <c r="L122" s="6"/>
      <c r="M122" s="2" t="str">
        <f>IF(J122="",ROUND(I122*(1-IF(ISBLANK(L122),K122,L122)/100),2),ROUND(J122*(1-IF(ISBLANK(L122),K122,L122)/100),2))</f>
      </c>
      <c r="N122" s="7" t="str">
        <f>IF(NOT(AND(J122="",L122="")),IF(OR(AND(L122&lt;&gt;"",NOT(ISNUMBER(L122))),IFERROR(MOD(L122,1),1)&gt;0,AND(ISNUMBER(L122),OR(L122&lt;0,L122&gt;95))),"Введите целое число от 0 до 95",IF(OR(AND(J122&lt;&gt;"",NOT(ISNUMBER(J122))),IFERROR(MOD(J122,1),1)&gt;0,AND(ISNUMBER(J122),OR(J122&lt;50,J122&gt;20000000))),"Введите целое число от 50 до 20000000",IF(NOT(ABS(IFERROR(VALUE(LEFT(M122,FIND("-",M122)-1)),M122)*100-(5000+2000000000)/2)&lt;=ABS(5000-2000000000)/2),"Цена со скидкой должна быть от 50 до 20000000",IF(IFERROR(VALUE(LEFT(M122,FIND("-",M122)-1)),M122)*180&lt;56000,"Вы уменьшили цену в несколько раз, товар попадет в карантин цен","")))),"")</f>
      </c>
    </row>
    <row r="123">
      <c r="A123" s="2" t="inlineStr">
        <is>
          <t/>
        </is>
      </c>
      <c r="B123" s="2" t="inlineStr">
        <is>
          <t>Подарочные коробки</t>
        </is>
      </c>
      <c r="C123" s="2">
        <v>135237486</v>
      </c>
      <c r="D123" s="2" t="inlineStr">
        <is>
          <t>PVCBel-15-15x10</t>
        </is>
      </c>
      <c r="E123" s="2" t="inlineStr">
        <is>
          <t>2037101202109</t>
        </is>
      </c>
      <c r="F123" s="2">
        <v>0</v>
      </c>
      <c r="G123" s="2">
        <v>0</v>
      </c>
      <c r="H123" s="2">
        <v>0</v>
      </c>
      <c r="I123" s="2" t="inlineStr">
        <is>
          <t>630</t>
        </is>
      </c>
      <c r="J123" s="4"/>
      <c r="K123" s="2">
        <v>0</v>
      </c>
      <c r="L123" s="6"/>
      <c r="M123" s="2" t="str">
        <f>IF(J123="",ROUND(I123*(1-IF(ISBLANK(L123),K123,L123)/100),2),ROUND(J123*(1-IF(ISBLANK(L123),K123,L123)/100),2))</f>
      </c>
      <c r="N123" s="7" t="str">
        <f>IF(NOT(AND(J123="",L123="")),IF(OR(AND(L123&lt;&gt;"",NOT(ISNUMBER(L123))),IFERROR(MOD(L123,1),1)&gt;0,AND(ISNUMBER(L123),OR(L123&lt;0,L123&gt;95))),"Введите целое число от 0 до 95",IF(OR(AND(J123&lt;&gt;"",NOT(ISNUMBER(J123))),IFERROR(MOD(J123,1),1)&gt;0,AND(ISNUMBER(J123),OR(J123&lt;50,J123&gt;20000000))),"Введите целое число от 50 до 20000000",IF(NOT(ABS(IFERROR(VALUE(LEFT(M123,FIND("-",M123)-1)),M123)*100-(5000+2000000000)/2)&lt;=ABS(5000-2000000000)/2),"Цена со скидкой должна быть от 50 до 20000000",IF(IFERROR(VALUE(LEFT(M123,FIND("-",M123)-1)),M123)*180&lt;63000,"Вы уменьшили цену в несколько раз, товар попадет в карантин цен","")))),"")</f>
      </c>
    </row>
    <row r="124">
      <c r="A124" s="2" t="inlineStr">
        <is>
          <t/>
        </is>
      </c>
      <c r="B124" s="2" t="inlineStr">
        <is>
          <t>Подарочные коробки</t>
        </is>
      </c>
      <c r="C124" s="2">
        <v>135237485</v>
      </c>
      <c r="D124" s="2" t="inlineStr">
        <is>
          <t>PVCBel-15-15x5</t>
        </is>
      </c>
      <c r="E124" s="2" t="inlineStr">
        <is>
          <t>2037101208514</t>
        </is>
      </c>
      <c r="F124" s="2">
        <v>0</v>
      </c>
      <c r="G124" s="2">
        <v>0</v>
      </c>
      <c r="H124" s="2">
        <v>0</v>
      </c>
      <c r="I124" s="2" t="inlineStr">
        <is>
          <t>390</t>
        </is>
      </c>
      <c r="J124" s="4"/>
      <c r="K124" s="2">
        <v>0</v>
      </c>
      <c r="L124" s="6"/>
      <c r="M124" s="2" t="str">
        <f>IF(J124="",ROUND(I124*(1-IF(ISBLANK(L124),K124,L124)/100),2),ROUND(J124*(1-IF(ISBLANK(L124),K124,L124)/100),2))</f>
      </c>
      <c r="N124" s="7" t="str">
        <f>IF(NOT(AND(J124="",L124="")),IF(OR(AND(L124&lt;&gt;"",NOT(ISNUMBER(L124))),IFERROR(MOD(L124,1),1)&gt;0,AND(ISNUMBER(L124),OR(L124&lt;0,L124&gt;95))),"Введите целое число от 0 до 95",IF(OR(AND(J124&lt;&gt;"",NOT(ISNUMBER(J124))),IFERROR(MOD(J124,1),1)&gt;0,AND(ISNUMBER(J124),OR(J124&lt;50,J124&gt;20000000))),"Введите целое число от 50 до 20000000",IF(NOT(ABS(IFERROR(VALUE(LEFT(M124,FIND("-",M124)-1)),M124)*100-(5000+2000000000)/2)&lt;=ABS(5000-2000000000)/2),"Цена со скидкой должна быть от 50 до 20000000",IF(IFERROR(VALUE(LEFT(M124,FIND("-",M124)-1)),M124)*180&lt;39000,"Вы уменьшили цену в несколько раз, товар попадет в карантин цен","")))),"")</f>
      </c>
    </row>
    <row r="125">
      <c r="A125" s="2" t="inlineStr">
        <is>
          <t>CuteShop</t>
        </is>
      </c>
      <c r="B125" s="2" t="inlineStr">
        <is>
          <t>Подарочные коробки</t>
        </is>
      </c>
      <c r="C125" s="2">
        <v>296209099</v>
      </c>
      <c r="D125" s="2" t="inlineStr">
        <is>
          <t>Kor-115-115-YarkoRozKrug-10</t>
        </is>
      </c>
      <c r="E125" s="2" t="inlineStr">
        <is>
          <t>2042122076202</t>
        </is>
      </c>
      <c r="F125" s="2">
        <v>0</v>
      </c>
      <c r="G125" s="2">
        <v>0</v>
      </c>
      <c r="H125" s="2" t="inlineStr">
        <is>
          <t/>
        </is>
      </c>
      <c r="I125" s="2" t="inlineStr">
        <is>
          <t>520</t>
        </is>
      </c>
      <c r="J125" s="4"/>
      <c r="K125" s="2">
        <v>7</v>
      </c>
      <c r="L125" s="6"/>
      <c r="M125" s="2" t="str">
        <f>IF(J125="",ROUND(I125*(1-IF(ISBLANK(L125),K125,L125)/100),2),ROUND(J125*(1-IF(ISBLANK(L125),K125,L125)/100),2))</f>
      </c>
      <c r="N125" s="7" t="str">
        <f>IF(NOT(AND(J125="",L125="")),IF(OR(AND(L125&lt;&gt;"",NOT(ISNUMBER(L125))),IFERROR(MOD(L125,1),1)&gt;0,AND(ISNUMBER(L125),OR(L125&lt;0,L125&gt;95))),"Введите целое число от 0 до 95",IF(OR(AND(J125&lt;&gt;"",NOT(ISNUMBER(J125))),IFERROR(MOD(J125,1),1)&gt;0,AND(ISNUMBER(J125),OR(J125&lt;50,J125&gt;20000000))),"Введите целое число от 50 до 20000000",IF(NOT(ABS(IFERROR(VALUE(LEFT(M125,FIND("-",M125)-1)),M125)*100-(5000+2000000000)/2)&lt;=ABS(5000-2000000000)/2),"Цена со скидкой должна быть от 50 до 20000000",IF(IFERROR(VALUE(LEFT(M125,FIND("-",M125)-1)),M125)*180&lt;48360,"Вы уменьшили цену в несколько раз, товар попадет в карантин цен","")))),"")</f>
      </c>
    </row>
    <row r="126">
      <c r="A126" s="2" t="inlineStr">
        <is>
          <t/>
        </is>
      </c>
      <c r="B126" s="2" t="inlineStr">
        <is>
          <t>Подарочные коробки</t>
        </is>
      </c>
      <c r="C126" s="2">
        <v>122652071</v>
      </c>
      <c r="D126" s="2" t="inlineStr">
        <is>
          <t>PVCBel-22-15x10</t>
        </is>
      </c>
      <c r="E126" s="2" t="inlineStr">
        <is>
          <t>2036956846728</t>
        </is>
      </c>
      <c r="F126" s="2">
        <v>0</v>
      </c>
      <c r="G126" s="2">
        <v>0</v>
      </c>
      <c r="H126" s="2">
        <v>0</v>
      </c>
      <c r="I126" s="2" t="inlineStr">
        <is>
          <t>570</t>
        </is>
      </c>
      <c r="J126" s="4"/>
      <c r="K126" s="2">
        <v>0</v>
      </c>
      <c r="L126" s="6"/>
      <c r="M126" s="2" t="str">
        <f>IF(J126="",ROUND(I126*(1-IF(ISBLANK(L126),K126,L126)/100),2),ROUND(J126*(1-IF(ISBLANK(L126),K126,L126)/100),2))</f>
      </c>
      <c r="N126" s="7" t="str">
        <f>IF(NOT(AND(J126="",L126="")),IF(OR(AND(L126&lt;&gt;"",NOT(ISNUMBER(L126))),IFERROR(MOD(L126,1),1)&gt;0,AND(ISNUMBER(L126),OR(L126&lt;0,L126&gt;95))),"Введите целое число от 0 до 95",IF(OR(AND(J126&lt;&gt;"",NOT(ISNUMBER(J126))),IFERROR(MOD(J126,1),1)&gt;0,AND(ISNUMBER(J126),OR(J126&lt;50,J126&gt;20000000))),"Введите целое число от 50 до 20000000",IF(NOT(ABS(IFERROR(VALUE(LEFT(M126,FIND("-",M126)-1)),M126)*100-(5000+2000000000)/2)&lt;=ABS(5000-2000000000)/2),"Цена со скидкой должна быть от 50 до 20000000",IF(IFERROR(VALUE(LEFT(M126,FIND("-",M126)-1)),M126)*180&lt;57000,"Вы уменьшили цену в несколько раз, товар попадет в карантин цен","")))),"")</f>
      </c>
    </row>
    <row r="127">
      <c r="A127" s="2" t="inlineStr">
        <is>
          <t>CuteShop</t>
        </is>
      </c>
      <c r="B127" s="2" t="inlineStr">
        <is>
          <t>Подарочные коробки</t>
        </is>
      </c>
      <c r="C127" s="2">
        <v>296214186</v>
      </c>
      <c r="D127" s="2" t="inlineStr">
        <is>
          <t>Kor-115-115-KraftBant-10</t>
        </is>
      </c>
      <c r="E127" s="2" t="inlineStr">
        <is>
          <t>2042122137309</t>
        </is>
      </c>
      <c r="F127" s="2">
        <v>0</v>
      </c>
      <c r="G127" s="2">
        <v>0</v>
      </c>
      <c r="H127" s="2" t="inlineStr">
        <is>
          <t/>
        </is>
      </c>
      <c r="I127" s="2" t="inlineStr">
        <is>
          <t>600</t>
        </is>
      </c>
      <c r="J127" s="4"/>
      <c r="K127" s="2">
        <v>0</v>
      </c>
      <c r="L127" s="6"/>
      <c r="M127" s="2" t="str">
        <f>IF(J127="",ROUND(I127*(1-IF(ISBLANK(L127),K127,L127)/100),2),ROUND(J127*(1-IF(ISBLANK(L127),K127,L127)/100),2))</f>
      </c>
      <c r="N127" s="7" t="str">
        <f>IF(NOT(AND(J127="",L127="")),IF(OR(AND(L127&lt;&gt;"",NOT(ISNUMBER(L127))),IFERROR(MOD(L127,1),1)&gt;0,AND(ISNUMBER(L127),OR(L127&lt;0,L127&gt;95))),"Введите целое число от 0 до 95",IF(OR(AND(J127&lt;&gt;"",NOT(ISNUMBER(J127))),IFERROR(MOD(J127,1),1)&gt;0,AND(ISNUMBER(J127),OR(J127&lt;50,J127&gt;20000000))),"Введите целое число от 50 до 20000000",IF(NOT(ABS(IFERROR(VALUE(LEFT(M127,FIND("-",M127)-1)),M127)*100-(5000+2000000000)/2)&lt;=ABS(5000-2000000000)/2),"Цена со скидкой должна быть от 50 до 20000000",IF(IFERROR(VALUE(LEFT(M127,FIND("-",M127)-1)),M127)*180&lt;60000,"Вы уменьшили цену в несколько раз, товар попадет в карантин цен","")))),"")</f>
      </c>
    </row>
    <row r="128">
      <c r="A128" s="2" t="inlineStr">
        <is>
          <t/>
        </is>
      </c>
      <c r="B128" s="2" t="inlineStr">
        <is>
          <t>Подарочные коробки</t>
        </is>
      </c>
      <c r="C128" s="2">
        <v>122652070</v>
      </c>
      <c r="D128" s="2" t="inlineStr">
        <is>
          <t>PVC-22-15x10</t>
        </is>
      </c>
      <c r="E128" s="2" t="inlineStr">
        <is>
          <t>2036956860977</t>
        </is>
      </c>
      <c r="F128" s="2">
        <v>0</v>
      </c>
      <c r="G128" s="2">
        <v>0</v>
      </c>
      <c r="H128" s="2" t="inlineStr">
        <is>
          <t/>
        </is>
      </c>
      <c r="I128" s="2" t="inlineStr">
        <is>
          <t>607</t>
        </is>
      </c>
      <c r="J128" s="4"/>
      <c r="K128" s="2">
        <v>0</v>
      </c>
      <c r="L128" s="6"/>
      <c r="M128" s="2" t="str">
        <f>IF(J128="",ROUND(I128*(1-IF(ISBLANK(L128),K128,L128)/100),2),ROUND(J128*(1-IF(ISBLANK(L128),K128,L128)/100),2))</f>
      </c>
      <c r="N128" s="7" t="str">
        <f>IF(NOT(AND(J128="",L128="")),IF(OR(AND(L128&lt;&gt;"",NOT(ISNUMBER(L128))),IFERROR(MOD(L128,1),1)&gt;0,AND(ISNUMBER(L128),OR(L128&lt;0,L128&gt;95))),"Введите целое число от 0 до 95",IF(OR(AND(J128&lt;&gt;"",NOT(ISNUMBER(J128))),IFERROR(MOD(J128,1),1)&gt;0,AND(ISNUMBER(J128),OR(J128&lt;50,J128&gt;20000000))),"Введите целое число от 50 до 20000000",IF(NOT(ABS(IFERROR(VALUE(LEFT(M128,FIND("-",M128)-1)),M128)*100-(5000+2000000000)/2)&lt;=ABS(5000-2000000000)/2),"Цена со скидкой должна быть от 50 до 20000000",IF(IFERROR(VALUE(LEFT(M128,FIND("-",M128)-1)),M128)*180&lt;60700,"Вы уменьшили цену в несколько раз, товар попадет в карантин цен","")))),"")</f>
      </c>
    </row>
    <row r="129">
      <c r="A129" s="2" t="inlineStr">
        <is>
          <t/>
        </is>
      </c>
      <c r="B129" s="2" t="inlineStr">
        <is>
          <t>Подарочные коробки</t>
        </is>
      </c>
      <c r="C129" s="2">
        <v>187758844</v>
      </c>
      <c r="D129" s="2" t="inlineStr">
        <is>
          <t>PVCBel-20-10,5x10</t>
        </is>
      </c>
      <c r="E129" s="2" t="inlineStr">
        <is>
          <t>2038919553155</t>
        </is>
      </c>
      <c r="F129" s="2">
        <v>0</v>
      </c>
      <c r="G129" s="2">
        <v>0</v>
      </c>
      <c r="H129" s="2" t="inlineStr">
        <is>
          <t/>
        </is>
      </c>
      <c r="I129" s="2" t="inlineStr">
        <is>
          <t>640</t>
        </is>
      </c>
      <c r="J129" s="4"/>
      <c r="K129" s="2">
        <v>0</v>
      </c>
      <c r="L129" s="6"/>
      <c r="M129" s="2" t="str">
        <f>IF(J129="",ROUND(I129*(1-IF(ISBLANK(L129),K129,L129)/100),2),ROUND(J129*(1-IF(ISBLANK(L129),K129,L129)/100),2))</f>
      </c>
      <c r="N129" s="7" t="str">
        <f>IF(NOT(AND(J129="",L129="")),IF(OR(AND(L129&lt;&gt;"",NOT(ISNUMBER(L129))),IFERROR(MOD(L129,1),1)&gt;0,AND(ISNUMBER(L129),OR(L129&lt;0,L129&gt;95))),"Введите целое число от 0 до 95",IF(OR(AND(J129&lt;&gt;"",NOT(ISNUMBER(J129))),IFERROR(MOD(J129,1),1)&gt;0,AND(ISNUMBER(J129),OR(J129&lt;50,J129&gt;20000000))),"Введите целое число от 50 до 20000000",IF(NOT(ABS(IFERROR(VALUE(LEFT(M129,FIND("-",M129)-1)),M129)*100-(5000+2000000000)/2)&lt;=ABS(5000-2000000000)/2),"Цена со скидкой должна быть от 50 до 20000000",IF(IFERROR(VALUE(LEFT(M129,FIND("-",M129)-1)),M129)*180&lt;64000,"Вы уменьшили цену в несколько раз, товар попадет в карантин цен","")))),"")</f>
      </c>
    </row>
    <row r="130">
      <c r="A130" s="2" t="inlineStr">
        <is>
          <t>CuteShop</t>
        </is>
      </c>
      <c r="B130" s="2" t="inlineStr">
        <is>
          <t>Подарочные пакеты</t>
        </is>
      </c>
      <c r="C130" s="2">
        <v>135199782</v>
      </c>
      <c r="D130" s="2" t="inlineStr">
        <is>
          <t>Paketik-LL-ZL-50</t>
        </is>
      </c>
      <c r="E130" s="2" t="inlineStr">
        <is>
          <t>2037100974656</t>
        </is>
      </c>
      <c r="F130" s="2">
        <v>0</v>
      </c>
      <c r="G130" s="2">
        <v>0</v>
      </c>
      <c r="H130" s="2">
        <v>0</v>
      </c>
      <c r="I130" s="2" t="inlineStr">
        <is>
          <t>301</t>
        </is>
      </c>
      <c r="J130" s="4"/>
      <c r="K130" s="2">
        <v>0</v>
      </c>
      <c r="L130" s="6"/>
      <c r="M130" s="2" t="str">
        <f>IF(J130="",ROUND(I130*(1-IF(ISBLANK(L130),K130,L130)/100),2),ROUND(J130*(1-IF(ISBLANK(L130),K130,L130)/100),2))</f>
      </c>
      <c r="N130" s="7" t="str">
        <f>IF(NOT(AND(J130="",L130="")),IF(OR(AND(L130&lt;&gt;"",NOT(ISNUMBER(L130))),IFERROR(MOD(L130,1),1)&gt;0,AND(ISNUMBER(L130),OR(L130&lt;0,L130&gt;95))),"Введите целое число от 0 до 95",IF(OR(AND(J130&lt;&gt;"",NOT(ISNUMBER(J130))),IFERROR(MOD(J130,1),1)&gt;0,AND(ISNUMBER(J130),OR(J130&lt;50,J130&gt;20000000))),"Введите целое число от 50 до 20000000",IF(NOT(ABS(IFERROR(VALUE(LEFT(M130,FIND("-",M130)-1)),M130)*100-(5000+2000000000)/2)&lt;=ABS(5000-2000000000)/2),"Цена со скидкой должна быть от 50 до 20000000",IF(IFERROR(VALUE(LEFT(M130,FIND("-",M130)-1)),M130)*180&lt;30100,"Вы уменьшили цену в несколько раз, товар попадет в карантин цен","")))),"")</f>
      </c>
    </row>
    <row r="131">
      <c r="A131" s="2" t="inlineStr">
        <is>
          <t/>
        </is>
      </c>
      <c r="B131" s="2" t="inlineStr">
        <is>
          <t>Подарочные коробки</t>
        </is>
      </c>
      <c r="C131" s="2">
        <v>136557788</v>
      </c>
      <c r="D131" s="2" t="inlineStr">
        <is>
          <t>Box-Kraft-21-15-5</t>
        </is>
      </c>
      <c r="E131" s="2" t="inlineStr">
        <is>
          <t>2037188531772</t>
        </is>
      </c>
      <c r="F131" s="2">
        <v>0</v>
      </c>
      <c r="G131" s="2">
        <v>0</v>
      </c>
      <c r="H131" s="2">
        <v>0</v>
      </c>
      <c r="I131" s="2" t="inlineStr">
        <is>
          <t>470</t>
        </is>
      </c>
      <c r="J131" s="4"/>
      <c r="K131" s="2">
        <v>0</v>
      </c>
      <c r="L131" s="6"/>
      <c r="M131" s="2" t="str">
        <f>IF(J131="",ROUND(I131*(1-IF(ISBLANK(L131),K131,L131)/100),2),ROUND(J131*(1-IF(ISBLANK(L131),K131,L131)/100),2))</f>
      </c>
      <c r="N131" s="7" t="str">
        <f>IF(NOT(AND(J131="",L131="")),IF(OR(AND(L131&lt;&gt;"",NOT(ISNUMBER(L131))),IFERROR(MOD(L131,1),1)&gt;0,AND(ISNUMBER(L131),OR(L131&lt;0,L131&gt;95))),"Введите целое число от 0 до 95",IF(OR(AND(J131&lt;&gt;"",NOT(ISNUMBER(J131))),IFERROR(MOD(J131,1),1)&gt;0,AND(ISNUMBER(J131),OR(J131&lt;50,J131&gt;20000000))),"Введите целое число от 50 до 20000000",IF(NOT(ABS(IFERROR(VALUE(LEFT(M131,FIND("-",M131)-1)),M131)*100-(5000+2000000000)/2)&lt;=ABS(5000-2000000000)/2),"Цена со скидкой должна быть от 50 до 20000000",IF(IFERROR(VALUE(LEFT(M131,FIND("-",M131)-1)),M131)*180&lt;47000,"Вы уменьшили цену в несколько раз, товар попадет в карантин цен","")))),"")</f>
      </c>
    </row>
    <row r="132">
      <c r="A132" s="2" t="inlineStr">
        <is>
          <t>CuteShop</t>
        </is>
      </c>
      <c r="B132" s="2" t="inlineStr">
        <is>
          <t>Подарочные коробки</t>
        </is>
      </c>
      <c r="C132" s="2">
        <v>135223772</v>
      </c>
      <c r="D132" s="2" t="inlineStr">
        <is>
          <t>Kor-100-100-Kraft-10</t>
        </is>
      </c>
      <c r="E132" s="2" t="inlineStr">
        <is>
          <t>2037101086860</t>
        </is>
      </c>
      <c r="F132" s="2">
        <v>0</v>
      </c>
      <c r="G132" s="2">
        <v>0</v>
      </c>
      <c r="H132" s="2" t="inlineStr">
        <is>
          <t/>
        </is>
      </c>
      <c r="I132" s="2" t="inlineStr">
        <is>
          <t>370</t>
        </is>
      </c>
      <c r="J132" s="4"/>
      <c r="K132" s="2">
        <v>0</v>
      </c>
      <c r="L132" s="6"/>
      <c r="M132" s="2" t="str">
        <f>IF(J132="",ROUND(I132*(1-IF(ISBLANK(L132),K132,L132)/100),2),ROUND(J132*(1-IF(ISBLANK(L132),K132,L132)/100),2))</f>
      </c>
      <c r="N132" s="7" t="str">
        <f>IF(NOT(AND(J132="",L132="")),IF(OR(AND(L132&lt;&gt;"",NOT(ISNUMBER(L132))),IFERROR(MOD(L132,1),1)&gt;0,AND(ISNUMBER(L132),OR(L132&lt;0,L132&gt;95))),"Введите целое число от 0 до 95",IF(OR(AND(J132&lt;&gt;"",NOT(ISNUMBER(J132))),IFERROR(MOD(J132,1),1)&gt;0,AND(ISNUMBER(J132),OR(J132&lt;50,J132&gt;20000000))),"Введите целое число от 50 до 20000000",IF(NOT(ABS(IFERROR(VALUE(LEFT(M132,FIND("-",M132)-1)),M132)*100-(5000+2000000000)/2)&lt;=ABS(5000-2000000000)/2),"Цена со скидкой должна быть от 50 до 20000000",IF(IFERROR(VALUE(LEFT(M132,FIND("-",M132)-1)),M132)*180&lt;37000,"Вы уменьшили цену в несколько раз, товар попадет в карантин цен","")))),"")</f>
      </c>
    </row>
    <row r="133">
      <c r="A133" s="2" t="inlineStr">
        <is>
          <t>CuteShop</t>
        </is>
      </c>
      <c r="B133" s="2" t="inlineStr">
        <is>
          <t>Елочные украшения</t>
        </is>
      </c>
      <c r="C133" s="2">
        <v>123878142</v>
      </c>
      <c r="D133" s="2" t="inlineStr">
        <is>
          <t>Shar-10x5</t>
        </is>
      </c>
      <c r="E133" s="2" t="inlineStr">
        <is>
          <t>2036977577946</t>
        </is>
      </c>
      <c r="F133" s="2">
        <v>0</v>
      </c>
      <c r="G133" s="2">
        <v>0</v>
      </c>
      <c r="H133" s="2">
        <v>0</v>
      </c>
      <c r="I133" s="2" t="inlineStr">
        <is>
          <t>678</t>
        </is>
      </c>
      <c r="J133" s="4"/>
      <c r="K133" s="2">
        <v>0</v>
      </c>
      <c r="L133" s="6"/>
      <c r="M133" s="2" t="str">
        <f>IF(J133="",ROUND(I133*(1-IF(ISBLANK(L133),K133,L133)/100),2),ROUND(J133*(1-IF(ISBLANK(L133),K133,L133)/100),2))</f>
      </c>
      <c r="N133" s="7" t="str">
        <f>IF(NOT(AND(J133="",L133="")),IF(OR(AND(L133&lt;&gt;"",NOT(ISNUMBER(L133))),IFERROR(MOD(L133,1),1)&gt;0,AND(ISNUMBER(L133),OR(L133&lt;0,L133&gt;95))),"Введите целое число от 0 до 95",IF(OR(AND(J133&lt;&gt;"",NOT(ISNUMBER(J133))),IFERROR(MOD(J133,1),1)&gt;0,AND(ISNUMBER(J133),OR(J133&lt;50,J133&gt;20000000))),"Введите целое число от 50 до 20000000",IF(NOT(ABS(IFERROR(VALUE(LEFT(M133,FIND("-",M133)-1)),M133)*100-(5000+2000000000)/2)&lt;=ABS(5000-2000000000)/2),"Цена со скидкой должна быть от 50 до 20000000",IF(IFERROR(VALUE(LEFT(M133,FIND("-",M133)-1)),M133)*180&lt;67800,"Вы уменьшили цену в несколько раз, товар попадет в карантин цен","")))),"")</f>
      </c>
    </row>
    <row r="134">
      <c r="A134" s="2" t="inlineStr">
        <is>
          <t>CuteShop</t>
        </is>
      </c>
      <c r="B134" s="2" t="inlineStr">
        <is>
          <t>Подарочные коробки</t>
        </is>
      </c>
      <c r="C134" s="2">
        <v>187762369</v>
      </c>
      <c r="D134" s="2" t="inlineStr">
        <is>
          <t>Kor-115-115-GolKrug-10</t>
        </is>
      </c>
      <c r="E134" s="2" t="inlineStr">
        <is>
          <t>2038919619769</t>
        </is>
      </c>
      <c r="F134" s="2">
        <v>0</v>
      </c>
      <c r="G134" s="2">
        <v>0</v>
      </c>
      <c r="H134" s="2" t="inlineStr">
        <is>
          <t/>
        </is>
      </c>
      <c r="I134" s="2" t="inlineStr">
        <is>
          <t>630</t>
        </is>
      </c>
      <c r="J134" s="4"/>
      <c r="K134" s="2">
        <v>10</v>
      </c>
      <c r="L134" s="6"/>
      <c r="M134" s="2" t="str">
        <f>IF(J134="",ROUND(I134*(1-IF(ISBLANK(L134),K134,L134)/100),2),ROUND(J134*(1-IF(ISBLANK(L134),K134,L134)/100),2))</f>
      </c>
      <c r="N134" s="7" t="str">
        <f>IF(NOT(AND(J134="",L134="")),IF(OR(AND(L134&lt;&gt;"",NOT(ISNUMBER(L134))),IFERROR(MOD(L134,1),1)&gt;0,AND(ISNUMBER(L134),OR(L134&lt;0,L134&gt;95))),"Введите целое число от 0 до 95",IF(OR(AND(J134&lt;&gt;"",NOT(ISNUMBER(J134))),IFERROR(MOD(J134,1),1)&gt;0,AND(ISNUMBER(J134),OR(J134&lt;50,J134&gt;20000000))),"Введите целое число от 50 до 20000000",IF(NOT(ABS(IFERROR(VALUE(LEFT(M134,FIND("-",M134)-1)),M134)*100-(5000+2000000000)/2)&lt;=ABS(5000-2000000000)/2),"Цена со скидкой должна быть от 50 до 20000000",IF(IFERROR(VALUE(LEFT(M134,FIND("-",M134)-1)),M134)*180&lt;56700,"Вы уменьшили цену в несколько раз, товар попадет в карантин цен","")))),"")</f>
      </c>
    </row>
    <row r="135">
      <c r="A135" s="2" t="inlineStr">
        <is>
          <t/>
        </is>
      </c>
      <c r="B135" s="2" t="inlineStr">
        <is>
          <t>Подарочные коробки</t>
        </is>
      </c>
      <c r="C135" s="2">
        <v>271011425</v>
      </c>
      <c r="D135" s="2" t="inlineStr">
        <is>
          <t>Fiol-17-7-9</t>
        </is>
      </c>
      <c r="E135" s="2" t="inlineStr">
        <is>
          <t>2041465940607</t>
        </is>
      </c>
      <c r="F135" s="2">
        <v>0</v>
      </c>
      <c r="G135" s="2">
        <v>1</v>
      </c>
      <c r="H135" s="2" t="inlineStr">
        <is>
          <t/>
        </is>
      </c>
      <c r="I135" s="2" t="inlineStr">
        <is>
          <t>390</t>
        </is>
      </c>
      <c r="J135" s="4"/>
      <c r="K135" s="2">
        <v>10</v>
      </c>
      <c r="L135" s="6"/>
      <c r="M135" s="2" t="str">
        <f>IF(J135="",ROUND(I135*(1-IF(ISBLANK(L135),K135,L135)/100),2),ROUND(J135*(1-IF(ISBLANK(L135),K135,L135)/100),2))</f>
      </c>
      <c r="N135" s="7" t="str">
        <f>IF(NOT(AND(J135="",L135="")),IF(OR(AND(L135&lt;&gt;"",NOT(ISNUMBER(L135))),IFERROR(MOD(L135,1),1)&gt;0,AND(ISNUMBER(L135),OR(L135&lt;0,L135&gt;95))),"Введите целое число от 0 до 95",IF(OR(AND(J135&lt;&gt;"",NOT(ISNUMBER(J135))),IFERROR(MOD(J135,1),1)&gt;0,AND(ISNUMBER(J135),OR(J135&lt;50,J135&gt;20000000))),"Введите целое число от 50 до 20000000",IF(NOT(ABS(IFERROR(VALUE(LEFT(M135,FIND("-",M135)-1)),M135)*100-(5000+2000000000)/2)&lt;=ABS(5000-2000000000)/2),"Цена со скидкой должна быть от 50 до 20000000",IF(IFERROR(VALUE(LEFT(M135,FIND("-",M135)-1)),M135)*180&lt;35100,"Вы уменьшили цену в несколько раз, товар попадет в карантин цен","")))),"")</f>
      </c>
    </row>
    <row r="136">
      <c r="A136" s="2" t="inlineStr">
        <is>
          <t/>
        </is>
      </c>
      <c r="B136" s="2" t="inlineStr">
        <is>
          <t>Подарочные коробки</t>
        </is>
      </c>
      <c r="C136" s="2">
        <v>135284679</v>
      </c>
      <c r="D136" s="2" t="inlineStr">
        <is>
          <t>PVCKraft-18-18x5</t>
        </is>
      </c>
      <c r="E136" s="2" t="inlineStr">
        <is>
          <t>2037101434357</t>
        </is>
      </c>
      <c r="F136" s="2">
        <v>0</v>
      </c>
      <c r="G136" s="2">
        <v>0</v>
      </c>
      <c r="H136" s="2">
        <v>0</v>
      </c>
      <c r="I136" s="2" t="inlineStr">
        <is>
          <t>430</t>
        </is>
      </c>
      <c r="J136" s="4"/>
      <c r="K136" s="2">
        <v>0</v>
      </c>
      <c r="L136" s="6"/>
      <c r="M136" s="2" t="str">
        <f>IF(J136="",ROUND(I136*(1-IF(ISBLANK(L136),K136,L136)/100),2),ROUND(J136*(1-IF(ISBLANK(L136),K136,L136)/100),2))</f>
      </c>
      <c r="N136" s="7" t="str">
        <f>IF(NOT(AND(J136="",L136="")),IF(OR(AND(L136&lt;&gt;"",NOT(ISNUMBER(L136))),IFERROR(MOD(L136,1),1)&gt;0,AND(ISNUMBER(L136),OR(L136&lt;0,L136&gt;95))),"Введите целое число от 0 до 95",IF(OR(AND(J136&lt;&gt;"",NOT(ISNUMBER(J136))),IFERROR(MOD(J136,1),1)&gt;0,AND(ISNUMBER(J136),OR(J136&lt;50,J136&gt;20000000))),"Введите целое число от 50 до 20000000",IF(NOT(ABS(IFERROR(VALUE(LEFT(M136,FIND("-",M136)-1)),M136)*100-(5000+2000000000)/2)&lt;=ABS(5000-2000000000)/2),"Цена со скидкой должна быть от 50 до 20000000",IF(IFERROR(VALUE(LEFT(M136,FIND("-",M136)-1)),M136)*180&lt;43000,"Вы уменьшили цену в несколько раз, товар попадет в карантин цен","")))),"")</f>
      </c>
    </row>
    <row r="137">
      <c r="A137" s="2" t="inlineStr">
        <is>
          <t>CuteShop</t>
        </is>
      </c>
      <c r="B137" s="2" t="inlineStr">
        <is>
          <t>Подарочные коробки</t>
        </is>
      </c>
      <c r="C137" s="2">
        <v>187762368</v>
      </c>
      <c r="D137" s="2" t="inlineStr">
        <is>
          <t>Kor-115-115-GolKrug-5</t>
        </is>
      </c>
      <c r="E137" s="2" t="inlineStr">
        <is>
          <t>2038919618731</t>
        </is>
      </c>
      <c r="F137" s="2">
        <v>0</v>
      </c>
      <c r="G137" s="2">
        <v>0</v>
      </c>
      <c r="H137" s="2" t="inlineStr">
        <is>
          <t/>
        </is>
      </c>
      <c r="I137" s="2" t="inlineStr">
        <is>
          <t>380</t>
        </is>
      </c>
      <c r="J137" s="4"/>
      <c r="K137" s="2">
        <v>0</v>
      </c>
      <c r="L137" s="6"/>
      <c r="M137" s="2" t="str">
        <f>IF(J137="",ROUND(I137*(1-IF(ISBLANK(L137),K137,L137)/100),2),ROUND(J137*(1-IF(ISBLANK(L137),K137,L137)/100),2))</f>
      </c>
      <c r="N137" s="7" t="str">
        <f>IF(NOT(AND(J137="",L137="")),IF(OR(AND(L137&lt;&gt;"",NOT(ISNUMBER(L137))),IFERROR(MOD(L137,1),1)&gt;0,AND(ISNUMBER(L137),OR(L137&lt;0,L137&gt;95))),"Введите целое число от 0 до 95",IF(OR(AND(J137&lt;&gt;"",NOT(ISNUMBER(J137))),IFERROR(MOD(J137,1),1)&gt;0,AND(ISNUMBER(J137),OR(J137&lt;50,J137&gt;20000000))),"Введите целое число от 50 до 20000000",IF(NOT(ABS(IFERROR(VALUE(LEFT(M137,FIND("-",M137)-1)),M137)*100-(5000+2000000000)/2)&lt;=ABS(5000-2000000000)/2),"Цена со скидкой должна быть от 50 до 20000000",IF(IFERROR(VALUE(LEFT(M137,FIND("-",M137)-1)),M137)*180&lt;38000,"Вы уменьшили цену в несколько раз, товар попадет в карантин цен","")))),"")</f>
      </c>
    </row>
    <row r="138">
      <c r="A138" s="2" t="inlineStr">
        <is>
          <t/>
        </is>
      </c>
      <c r="B138" s="2" t="inlineStr">
        <is>
          <t>Подарочные коробки</t>
        </is>
      </c>
      <c r="C138" s="2">
        <v>135241036</v>
      </c>
      <c r="D138" s="2" t="inlineStr">
        <is>
          <t>PVCFiol-15-15x10</t>
        </is>
      </c>
      <c r="E138" s="2" t="inlineStr">
        <is>
          <t>2037101218308</t>
        </is>
      </c>
      <c r="F138" s="2">
        <v>0</v>
      </c>
      <c r="G138" s="2">
        <v>0</v>
      </c>
      <c r="H138" s="2">
        <v>0</v>
      </c>
      <c r="I138" s="2" t="inlineStr">
        <is>
          <t>620</t>
        </is>
      </c>
      <c r="J138" s="4"/>
      <c r="K138" s="2">
        <v>0</v>
      </c>
      <c r="L138" s="6"/>
      <c r="M138" s="2" t="str">
        <f>IF(J138="",ROUND(I138*(1-IF(ISBLANK(L138),K138,L138)/100),2),ROUND(J138*(1-IF(ISBLANK(L138),K138,L138)/100),2))</f>
      </c>
      <c r="N138" s="7" t="str">
        <f>IF(NOT(AND(J138="",L138="")),IF(OR(AND(L138&lt;&gt;"",NOT(ISNUMBER(L138))),IFERROR(MOD(L138,1),1)&gt;0,AND(ISNUMBER(L138),OR(L138&lt;0,L138&gt;95))),"Введите целое число от 0 до 95",IF(OR(AND(J138&lt;&gt;"",NOT(ISNUMBER(J138))),IFERROR(MOD(J138,1),1)&gt;0,AND(ISNUMBER(J138),OR(J138&lt;50,J138&gt;20000000))),"Введите целое число от 50 до 20000000",IF(NOT(ABS(IFERROR(VALUE(LEFT(M138,FIND("-",M138)-1)),M138)*100-(5000+2000000000)/2)&lt;=ABS(5000-2000000000)/2),"Цена со скидкой должна быть от 50 до 20000000",IF(IFERROR(VALUE(LEFT(M138,FIND("-",M138)-1)),M138)*180&lt;62000,"Вы уменьшили цену в несколько раз, товар попадет в карантин цен","")))),"")</f>
      </c>
    </row>
    <row r="139">
      <c r="A139" s="2" t="inlineStr">
        <is>
          <t/>
        </is>
      </c>
      <c r="B139" s="2" t="inlineStr">
        <is>
          <t>Подарочные коробки</t>
        </is>
      </c>
      <c r="C139" s="2">
        <v>190310181</v>
      </c>
      <c r="D139" s="2" t="inlineStr">
        <is>
          <t>Box-Bel-15-15-10</t>
        </is>
      </c>
      <c r="E139" s="2" t="inlineStr">
        <is>
          <t>2039006002440</t>
        </is>
      </c>
      <c r="F139" s="2">
        <v>0</v>
      </c>
      <c r="G139" s="2">
        <v>0</v>
      </c>
      <c r="H139" s="2" t="inlineStr">
        <is>
          <t/>
        </is>
      </c>
      <c r="I139" s="2" t="inlineStr">
        <is>
          <t>640</t>
        </is>
      </c>
      <c r="J139" s="4"/>
      <c r="K139" s="2">
        <v>0</v>
      </c>
      <c r="L139" s="6"/>
      <c r="M139" s="2" t="str">
        <f>IF(J139="",ROUND(I139*(1-IF(ISBLANK(L139),K139,L139)/100),2),ROUND(J139*(1-IF(ISBLANK(L139),K139,L139)/100),2))</f>
      </c>
      <c r="N139" s="7" t="str">
        <f>IF(NOT(AND(J139="",L139="")),IF(OR(AND(L139&lt;&gt;"",NOT(ISNUMBER(L139))),IFERROR(MOD(L139,1),1)&gt;0,AND(ISNUMBER(L139),OR(L139&lt;0,L139&gt;95))),"Введите целое число от 0 до 95",IF(OR(AND(J139&lt;&gt;"",NOT(ISNUMBER(J139))),IFERROR(MOD(J139,1),1)&gt;0,AND(ISNUMBER(J139),OR(J139&lt;50,J139&gt;20000000))),"Введите целое число от 50 до 20000000",IF(NOT(ABS(IFERROR(VALUE(LEFT(M139,FIND("-",M139)-1)),M139)*100-(5000+2000000000)/2)&lt;=ABS(5000-2000000000)/2),"Цена со скидкой должна быть от 50 до 20000000",IF(IFERROR(VALUE(LEFT(M139,FIND("-",M139)-1)),M139)*180&lt;64000,"Вы уменьшили цену в несколько раз, товар попадет в карантин цен","")))),"")</f>
      </c>
    </row>
    <row r="140">
      <c r="A140" s="2" t="inlineStr">
        <is>
          <t/>
        </is>
      </c>
      <c r="B140" s="2" t="inlineStr">
        <is>
          <t>Подарочные коробки</t>
        </is>
      </c>
      <c r="C140" s="2">
        <v>135289037</v>
      </c>
      <c r="D140" s="2" t="inlineStr">
        <is>
          <t>PVCLove-22-15x5</t>
        </is>
      </c>
      <c r="E140" s="2" t="inlineStr">
        <is>
          <t>2037101453969</t>
        </is>
      </c>
      <c r="F140" s="2">
        <v>0</v>
      </c>
      <c r="G140" s="2">
        <v>0</v>
      </c>
      <c r="H140" s="2" t="inlineStr">
        <is>
          <t/>
        </is>
      </c>
      <c r="I140" s="2" t="inlineStr">
        <is>
          <t>390</t>
        </is>
      </c>
      <c r="J140" s="4"/>
      <c r="K140" s="2">
        <v>0</v>
      </c>
      <c r="L140" s="6"/>
      <c r="M140" s="2" t="str">
        <f>IF(J140="",ROUND(I140*(1-IF(ISBLANK(L140),K140,L140)/100),2),ROUND(J140*(1-IF(ISBLANK(L140),K140,L140)/100),2))</f>
      </c>
      <c r="N140" s="7" t="str">
        <f>IF(NOT(AND(J140="",L140="")),IF(OR(AND(L140&lt;&gt;"",NOT(ISNUMBER(L140))),IFERROR(MOD(L140,1),1)&gt;0,AND(ISNUMBER(L140),OR(L140&lt;0,L140&gt;95))),"Введите целое число от 0 до 95",IF(OR(AND(J140&lt;&gt;"",NOT(ISNUMBER(J140))),IFERROR(MOD(J140,1),1)&gt;0,AND(ISNUMBER(J140),OR(J140&lt;50,J140&gt;20000000))),"Введите целое число от 50 до 20000000",IF(NOT(ABS(IFERROR(VALUE(LEFT(M140,FIND("-",M140)-1)),M140)*100-(5000+2000000000)/2)&lt;=ABS(5000-2000000000)/2),"Цена со скидкой должна быть от 50 до 20000000",IF(IFERROR(VALUE(LEFT(M140,FIND("-",M140)-1)),M140)*180&lt;39000,"Вы уменьшили цену в несколько раз, товар попадет в карантин цен","")))),"")</f>
      </c>
    </row>
    <row r="141">
      <c r="A141" s="2" t="inlineStr">
        <is>
          <t>CuteShop</t>
        </is>
      </c>
      <c r="B141" s="2" t="inlineStr">
        <is>
          <t>Подарочные пакеты</t>
        </is>
      </c>
      <c r="C141" s="2">
        <v>219944339</v>
      </c>
      <c r="D141" s="2" t="inlineStr">
        <is>
          <t>pak-shine-22-22</t>
        </is>
      </c>
      <c r="E141" s="2" t="inlineStr">
        <is>
          <t>2039727408118</t>
        </is>
      </c>
      <c r="F141" s="2">
        <v>0</v>
      </c>
      <c r="G141" s="2">
        <v>2</v>
      </c>
      <c r="H141" s="2" t="inlineStr">
        <is>
          <t/>
        </is>
      </c>
      <c r="I141" s="2" t="inlineStr">
        <is>
          <t>320</t>
        </is>
      </c>
      <c r="J141" s="4"/>
      <c r="K141" s="2">
        <v>10</v>
      </c>
      <c r="L141" s="6"/>
      <c r="M141" s="2" t="str">
        <f>IF(J141="",ROUND(I141*(1-IF(ISBLANK(L141),K141,L141)/100),2),ROUND(J141*(1-IF(ISBLANK(L141),K141,L141)/100),2))</f>
      </c>
      <c r="N141" s="7" t="str">
        <f>IF(NOT(AND(J141="",L141="")),IF(OR(AND(L141&lt;&gt;"",NOT(ISNUMBER(L141))),IFERROR(MOD(L141,1),1)&gt;0,AND(ISNUMBER(L141),OR(L141&lt;0,L141&gt;95))),"Введите целое число от 0 до 95",IF(OR(AND(J141&lt;&gt;"",NOT(ISNUMBER(J141))),IFERROR(MOD(J141,1),1)&gt;0,AND(ISNUMBER(J141),OR(J141&lt;50,J141&gt;20000000))),"Введите целое число от 50 до 20000000",IF(NOT(ABS(IFERROR(VALUE(LEFT(M141,FIND("-",M141)-1)),M141)*100-(5000+2000000000)/2)&lt;=ABS(5000-2000000000)/2),"Цена со скидкой должна быть от 50 до 20000000",IF(IFERROR(VALUE(LEFT(M141,FIND("-",M141)-1)),M141)*180&lt;28800,"Вы уменьшили цену в несколько раз, товар попадет в карантин цен","")))),"")</f>
      </c>
    </row>
    <row r="142">
      <c r="A142" s="2" t="inlineStr">
        <is>
          <t>CuteShop</t>
        </is>
      </c>
      <c r="B142" s="2" t="inlineStr">
        <is>
          <t>Подарочные коробки</t>
        </is>
      </c>
      <c r="C142" s="2">
        <v>187762366</v>
      </c>
      <c r="D142" s="2" t="inlineStr">
        <is>
          <t>Kor-115-115-RozKrug-5</t>
        </is>
      </c>
      <c r="E142" s="2" t="inlineStr">
        <is>
          <t>2038919593625</t>
        </is>
      </c>
      <c r="F142" s="2">
        <v>0</v>
      </c>
      <c r="G142" s="2">
        <v>0</v>
      </c>
      <c r="H142" s="2" t="inlineStr">
        <is>
          <t/>
        </is>
      </c>
      <c r="I142" s="2" t="inlineStr">
        <is>
          <t>380</t>
        </is>
      </c>
      <c r="J142" s="4"/>
      <c r="K142" s="2">
        <v>0</v>
      </c>
      <c r="L142" s="6"/>
      <c r="M142" s="2" t="str">
        <f>IF(J142="",ROUND(I142*(1-IF(ISBLANK(L142),K142,L142)/100),2),ROUND(J142*(1-IF(ISBLANK(L142),K142,L142)/100),2))</f>
      </c>
      <c r="N142" s="7" t="str">
        <f>IF(NOT(AND(J142="",L142="")),IF(OR(AND(L142&lt;&gt;"",NOT(ISNUMBER(L142))),IFERROR(MOD(L142,1),1)&gt;0,AND(ISNUMBER(L142),OR(L142&lt;0,L142&gt;95))),"Введите целое число от 0 до 95",IF(OR(AND(J142&lt;&gt;"",NOT(ISNUMBER(J142))),IFERROR(MOD(J142,1),1)&gt;0,AND(ISNUMBER(J142),OR(J142&lt;50,J142&gt;20000000))),"Введите целое число от 50 до 20000000",IF(NOT(ABS(IFERROR(VALUE(LEFT(M142,FIND("-",M142)-1)),M142)*100-(5000+2000000000)/2)&lt;=ABS(5000-2000000000)/2),"Цена со скидкой должна быть от 50 до 20000000",IF(IFERROR(VALUE(LEFT(M142,FIND("-",M142)-1)),M142)*180&lt;38000,"Вы уменьшили цену в несколько раз, товар попадет в карантин цен","")))),"")</f>
      </c>
    </row>
    <row r="143">
      <c r="A143" s="2" t="inlineStr">
        <is>
          <t/>
        </is>
      </c>
      <c r="B143" s="2" t="inlineStr">
        <is>
          <t>Подарочные коробки</t>
        </is>
      </c>
      <c r="C143" s="2">
        <v>135277403</v>
      </c>
      <c r="D143" s="2" t="inlineStr">
        <is>
          <t>PVCGol-15-15x10</t>
        </is>
      </c>
      <c r="E143" s="2" t="inlineStr">
        <is>
          <t>2037101409720</t>
        </is>
      </c>
      <c r="F143" s="2">
        <v>0</v>
      </c>
      <c r="G143" s="2">
        <v>0</v>
      </c>
      <c r="H143" s="2">
        <v>1</v>
      </c>
      <c r="I143" s="2" t="inlineStr">
        <is>
          <t>620</t>
        </is>
      </c>
      <c r="J143" s="4"/>
      <c r="K143" s="2">
        <v>0</v>
      </c>
      <c r="L143" s="6"/>
      <c r="M143" s="2" t="str">
        <f>IF(J143="",ROUND(I143*(1-IF(ISBLANK(L143),K143,L143)/100),2),ROUND(J143*(1-IF(ISBLANK(L143),K143,L143)/100),2))</f>
      </c>
      <c r="N143" s="7" t="str">
        <f>IF(NOT(AND(J143="",L143="")),IF(OR(AND(L143&lt;&gt;"",NOT(ISNUMBER(L143))),IFERROR(MOD(L143,1),1)&gt;0,AND(ISNUMBER(L143),OR(L143&lt;0,L143&gt;95))),"Введите целое число от 0 до 95",IF(OR(AND(J143&lt;&gt;"",NOT(ISNUMBER(J143))),IFERROR(MOD(J143,1),1)&gt;0,AND(ISNUMBER(J143),OR(J143&lt;50,J143&gt;20000000))),"Введите целое число от 50 до 20000000",IF(NOT(ABS(IFERROR(VALUE(LEFT(M143,FIND("-",M143)-1)),M143)*100-(5000+2000000000)/2)&lt;=ABS(5000-2000000000)/2),"Цена со скидкой должна быть от 50 до 20000000",IF(IFERROR(VALUE(LEFT(M143,FIND("-",M143)-1)),M143)*180&lt;62000,"Вы уменьшили цену в несколько раз, товар попадет в карантин цен","")))),"")</f>
      </c>
    </row>
    <row r="144">
      <c r="A144" s="2" t="inlineStr">
        <is>
          <t>CuteShop</t>
        </is>
      </c>
      <c r="B144" s="2" t="inlineStr">
        <is>
          <t>Подарочные пакеты</t>
        </is>
      </c>
      <c r="C144" s="2">
        <v>219949195</v>
      </c>
      <c r="D144" s="2" t="inlineStr">
        <is>
          <t>pak-jfy</t>
        </is>
      </c>
      <c r="E144" s="2" t="inlineStr">
        <is>
          <t>2039728601365</t>
        </is>
      </c>
      <c r="F144" s="2">
        <v>0</v>
      </c>
      <c r="G144" s="2">
        <v>1</v>
      </c>
      <c r="H144" s="2" t="inlineStr">
        <is>
          <t/>
        </is>
      </c>
      <c r="I144" s="2" t="inlineStr">
        <is>
          <t>370</t>
        </is>
      </c>
      <c r="J144" s="4"/>
      <c r="K144" s="2">
        <v>10</v>
      </c>
      <c r="L144" s="6"/>
      <c r="M144" s="2" t="str">
        <f>IF(J144="",ROUND(I144*(1-IF(ISBLANK(L144),K144,L144)/100),2),ROUND(J144*(1-IF(ISBLANK(L144),K144,L144)/100),2))</f>
      </c>
      <c r="N144" s="7" t="str">
        <f>IF(NOT(AND(J144="",L144="")),IF(OR(AND(L144&lt;&gt;"",NOT(ISNUMBER(L144))),IFERROR(MOD(L144,1),1)&gt;0,AND(ISNUMBER(L144),OR(L144&lt;0,L144&gt;95))),"Введите целое число от 0 до 95",IF(OR(AND(J144&lt;&gt;"",NOT(ISNUMBER(J144))),IFERROR(MOD(J144,1),1)&gt;0,AND(ISNUMBER(J144),OR(J144&lt;50,J144&gt;20000000))),"Введите целое число от 50 до 20000000",IF(NOT(ABS(IFERROR(VALUE(LEFT(M144,FIND("-",M144)-1)),M144)*100-(5000+2000000000)/2)&lt;=ABS(5000-2000000000)/2),"Цена со скидкой должна быть от 50 до 20000000",IF(IFERROR(VALUE(LEFT(M144,FIND("-",M144)-1)),M144)*180&lt;33300,"Вы уменьшили цену в несколько раз, товар попадет в карантин цен","")))),"")</f>
      </c>
    </row>
    <row r="145">
      <c r="A145" s="2" t="inlineStr">
        <is>
          <t/>
        </is>
      </c>
      <c r="B145" s="2" t="inlineStr">
        <is>
          <t>Подарочные коробки</t>
        </is>
      </c>
      <c r="C145" s="2">
        <v>135260025</v>
      </c>
      <c r="D145" s="2" t="inlineStr">
        <is>
          <t>PVCMyat-15-15x5</t>
        </is>
      </c>
      <c r="E145" s="2" t="inlineStr">
        <is>
          <t>2037101306586</t>
        </is>
      </c>
      <c r="F145" s="2">
        <v>0</v>
      </c>
      <c r="G145" s="2">
        <v>0</v>
      </c>
      <c r="H145" s="2">
        <v>0</v>
      </c>
      <c r="I145" s="2" t="inlineStr">
        <is>
          <t>420</t>
        </is>
      </c>
      <c r="J145" s="4"/>
      <c r="K145" s="2">
        <v>0</v>
      </c>
      <c r="L145" s="6"/>
      <c r="M145" s="2" t="str">
        <f>IF(J145="",ROUND(I145*(1-IF(ISBLANK(L145),K145,L145)/100),2),ROUND(J145*(1-IF(ISBLANK(L145),K145,L145)/100),2))</f>
      </c>
      <c r="N145" s="7" t="str">
        <f>IF(NOT(AND(J145="",L145="")),IF(OR(AND(L145&lt;&gt;"",NOT(ISNUMBER(L145))),IFERROR(MOD(L145,1),1)&gt;0,AND(ISNUMBER(L145),OR(L145&lt;0,L145&gt;95))),"Введите целое число от 0 до 95",IF(OR(AND(J145&lt;&gt;"",NOT(ISNUMBER(J145))),IFERROR(MOD(J145,1),1)&gt;0,AND(ISNUMBER(J145),OR(J145&lt;50,J145&gt;20000000))),"Введите целое число от 50 до 20000000",IF(NOT(ABS(IFERROR(VALUE(LEFT(M145,FIND("-",M145)-1)),M145)*100-(5000+2000000000)/2)&lt;=ABS(5000-2000000000)/2),"Цена со скидкой должна быть от 50 до 20000000",IF(IFERROR(VALUE(LEFT(M145,FIND("-",M145)-1)),M145)*180&lt;42000,"Вы уменьшили цену в несколько раз, товар попадет в карантин цен","")))),"")</f>
      </c>
    </row>
    <row r="146">
      <c r="A146" s="2" t="inlineStr">
        <is>
          <t>CuteShop</t>
        </is>
      </c>
      <c r="B146" s="2" t="inlineStr">
        <is>
          <t>Подарочные коробки</t>
        </is>
      </c>
      <c r="C146" s="2">
        <v>187762370</v>
      </c>
      <c r="D146" s="2" t="inlineStr">
        <is>
          <t>Kor-115-115-BelKrug-5</t>
        </is>
      </c>
      <c r="E146" s="2" t="inlineStr">
        <is>
          <t>2038919620161</t>
        </is>
      </c>
      <c r="F146" s="2">
        <v>0</v>
      </c>
      <c r="G146" s="2">
        <v>0</v>
      </c>
      <c r="H146" s="2" t="inlineStr">
        <is>
          <t/>
        </is>
      </c>
      <c r="I146" s="2" t="inlineStr">
        <is>
          <t>380</t>
        </is>
      </c>
      <c r="J146" s="4"/>
      <c r="K146" s="2">
        <v>0</v>
      </c>
      <c r="L146" s="6"/>
      <c r="M146" s="2" t="str">
        <f>IF(J146="",ROUND(I146*(1-IF(ISBLANK(L146),K146,L146)/100),2),ROUND(J146*(1-IF(ISBLANK(L146),K146,L146)/100),2))</f>
      </c>
      <c r="N146" s="7" t="str">
        <f>IF(NOT(AND(J146="",L146="")),IF(OR(AND(L146&lt;&gt;"",NOT(ISNUMBER(L146))),IFERROR(MOD(L146,1),1)&gt;0,AND(ISNUMBER(L146),OR(L146&lt;0,L146&gt;95))),"Введите целое число от 0 до 95",IF(OR(AND(J146&lt;&gt;"",NOT(ISNUMBER(J146))),IFERROR(MOD(J146,1),1)&gt;0,AND(ISNUMBER(J146),OR(J146&lt;50,J146&gt;20000000))),"Введите целое число от 50 до 20000000",IF(NOT(ABS(IFERROR(VALUE(LEFT(M146,FIND("-",M146)-1)),M146)*100-(5000+2000000000)/2)&lt;=ABS(5000-2000000000)/2),"Цена со скидкой должна быть от 50 до 20000000",IF(IFERROR(VALUE(LEFT(M146,FIND("-",M146)-1)),M146)*180&lt;38000,"Вы уменьшили цену в несколько раз, товар попадет в карантин цен","")))),"")</f>
      </c>
    </row>
    <row r="147">
      <c r="A147" s="2" t="inlineStr">
        <is>
          <t>CuteShop</t>
        </is>
      </c>
      <c r="B147" s="2" t="inlineStr">
        <is>
          <t>Подарочные пакеты</t>
        </is>
      </c>
      <c r="C147" s="2">
        <v>270930713</v>
      </c>
      <c r="D147" s="2" t="inlineStr">
        <is>
          <t>pak-pol-zmeyka1-30</t>
        </is>
      </c>
      <c r="E147" s="2" t="inlineStr">
        <is>
          <t>2041464690572</t>
        </is>
      </c>
      <c r="F147" s="2">
        <v>0</v>
      </c>
      <c r="G147" s="2">
        <v>0</v>
      </c>
      <c r="H147" s="2" t="inlineStr">
        <is>
          <t/>
        </is>
      </c>
      <c r="I147" s="2" t="inlineStr">
        <is>
          <t>400</t>
        </is>
      </c>
      <c r="J147" s="4"/>
      <c r="K147" s="2">
        <v>10</v>
      </c>
      <c r="L147" s="6"/>
      <c r="M147" s="2" t="str">
        <f>IF(J147="",ROUND(I147*(1-IF(ISBLANK(L147),K147,L147)/100),2),ROUND(J147*(1-IF(ISBLANK(L147),K147,L147)/100),2))</f>
      </c>
      <c r="N147" s="7" t="str">
        <f>IF(NOT(AND(J147="",L147="")),IF(OR(AND(L147&lt;&gt;"",NOT(ISNUMBER(L147))),IFERROR(MOD(L147,1),1)&gt;0,AND(ISNUMBER(L147),OR(L147&lt;0,L147&gt;95))),"Введите целое число от 0 до 95",IF(OR(AND(J147&lt;&gt;"",NOT(ISNUMBER(J147))),IFERROR(MOD(J147,1),1)&gt;0,AND(ISNUMBER(J147),OR(J147&lt;50,J147&gt;20000000))),"Введите целое число от 50 до 20000000",IF(NOT(ABS(IFERROR(VALUE(LEFT(M147,FIND("-",M147)-1)),M147)*100-(5000+2000000000)/2)&lt;=ABS(5000-2000000000)/2),"Цена со скидкой должна быть от 50 до 20000000",IF(IFERROR(VALUE(LEFT(M147,FIND("-",M147)-1)),M147)*180&lt;36000,"Вы уменьшили цену в несколько раз, товар попадет в карантин цен","")))),"")</f>
      </c>
    </row>
    <row r="148">
      <c r="A148" s="2" t="inlineStr">
        <is>
          <t>CuteShop</t>
        </is>
      </c>
      <c r="B148" s="2" t="inlineStr">
        <is>
          <t>Подарочные пакеты</t>
        </is>
      </c>
      <c r="C148" s="2">
        <v>219951055</v>
      </c>
      <c r="D148" s="2" t="inlineStr">
        <is>
          <t>pak-lm-18-23</t>
        </is>
      </c>
      <c r="E148" s="2" t="inlineStr">
        <is>
          <t>2039728679425</t>
        </is>
      </c>
      <c r="F148" s="2">
        <v>0</v>
      </c>
      <c r="G148" s="2">
        <v>2</v>
      </c>
      <c r="H148" s="2" t="inlineStr">
        <is>
          <t/>
        </is>
      </c>
      <c r="I148" s="2" t="inlineStr">
        <is>
          <t>300</t>
        </is>
      </c>
      <c r="J148" s="4"/>
      <c r="K148" s="2">
        <v>10</v>
      </c>
      <c r="L148" s="6"/>
      <c r="M148" s="2" t="str">
        <f>IF(J148="",ROUND(I148*(1-IF(ISBLANK(L148),K148,L148)/100),2),ROUND(J148*(1-IF(ISBLANK(L148),K148,L148)/100),2))</f>
      </c>
      <c r="N148" s="7" t="str">
        <f>IF(NOT(AND(J148="",L148="")),IF(OR(AND(L148&lt;&gt;"",NOT(ISNUMBER(L148))),IFERROR(MOD(L148,1),1)&gt;0,AND(ISNUMBER(L148),OR(L148&lt;0,L148&gt;95))),"Введите целое число от 0 до 95",IF(OR(AND(J148&lt;&gt;"",NOT(ISNUMBER(J148))),IFERROR(MOD(J148,1),1)&gt;0,AND(ISNUMBER(J148),OR(J148&lt;50,J148&gt;20000000))),"Введите целое число от 50 до 20000000",IF(NOT(ABS(IFERROR(VALUE(LEFT(M148,FIND("-",M148)-1)),M148)*100-(5000+2000000000)/2)&lt;=ABS(5000-2000000000)/2),"Цена со скидкой должна быть от 50 до 20000000",IF(IFERROR(VALUE(LEFT(M148,FIND("-",M148)-1)),M148)*180&lt;27000,"Вы уменьшили цену в несколько раз, товар попадет в карантин цен","")))),"")</f>
      </c>
    </row>
    <row r="149">
      <c r="A149" s="2" t="inlineStr">
        <is>
          <t>CuteShop</t>
        </is>
      </c>
      <c r="B149" s="2" t="inlineStr">
        <is>
          <t>Подарочные пакеты</t>
        </is>
      </c>
      <c r="C149" s="2">
        <v>219949657</v>
      </c>
      <c r="D149" s="2" t="inlineStr">
        <is>
          <t>pak-akva-3</t>
        </is>
      </c>
      <c r="E149" s="2" t="inlineStr">
        <is>
          <t>2039728664575</t>
        </is>
      </c>
      <c r="F149" s="2">
        <v>0</v>
      </c>
      <c r="G149" s="2">
        <v>1</v>
      </c>
      <c r="H149" s="2" t="inlineStr">
        <is>
          <t/>
        </is>
      </c>
      <c r="I149" s="2" t="inlineStr">
        <is>
          <t>350</t>
        </is>
      </c>
      <c r="J149" s="4"/>
      <c r="K149" s="2">
        <v>10</v>
      </c>
      <c r="L149" s="6"/>
      <c r="M149" s="2" t="str">
        <f>IF(J149="",ROUND(I149*(1-IF(ISBLANK(L149),K149,L149)/100),2),ROUND(J149*(1-IF(ISBLANK(L149),K149,L149)/100),2))</f>
      </c>
      <c r="N149" s="7" t="str">
        <f>IF(NOT(AND(J149="",L149="")),IF(OR(AND(L149&lt;&gt;"",NOT(ISNUMBER(L149))),IFERROR(MOD(L149,1),1)&gt;0,AND(ISNUMBER(L149),OR(L149&lt;0,L149&gt;95))),"Введите целое число от 0 до 95",IF(OR(AND(J149&lt;&gt;"",NOT(ISNUMBER(J149))),IFERROR(MOD(J149,1),1)&gt;0,AND(ISNUMBER(J149),OR(J149&lt;50,J149&gt;20000000))),"Введите целое число от 50 до 20000000",IF(NOT(ABS(IFERROR(VALUE(LEFT(M149,FIND("-",M149)-1)),M149)*100-(5000+2000000000)/2)&lt;=ABS(5000-2000000000)/2),"Цена со скидкой должна быть от 50 до 20000000",IF(IFERROR(VALUE(LEFT(M149,FIND("-",M149)-1)),M149)*180&lt;31500,"Вы уменьшили цену в несколько раз, товар попадет в карантин цен","")))),"")</f>
      </c>
    </row>
    <row r="150">
      <c r="A150" s="2" t="inlineStr">
        <is>
          <t/>
        </is>
      </c>
      <c r="B150" s="2" t="inlineStr">
        <is>
          <t>Подарочные коробки</t>
        </is>
      </c>
      <c r="C150" s="2">
        <v>122645300</v>
      </c>
      <c r="D150" s="2" t="inlineStr">
        <is>
          <t>Fiol-17-7</t>
        </is>
      </c>
      <c r="E150" s="2" t="inlineStr">
        <is>
          <t>2036956794180</t>
        </is>
      </c>
      <c r="F150" s="2">
        <v>0</v>
      </c>
      <c r="G150" s="2">
        <v>0</v>
      </c>
      <c r="H150" s="2">
        <v>0</v>
      </c>
      <c r="I150" s="2" t="inlineStr">
        <is>
          <t>524</t>
        </is>
      </c>
      <c r="J150" s="4"/>
      <c r="K150" s="2">
        <v>0</v>
      </c>
      <c r="L150" s="6"/>
      <c r="M150" s="2" t="str">
        <f>IF(J150="",ROUND(I150*(1-IF(ISBLANK(L150),K150,L150)/100),2),ROUND(J150*(1-IF(ISBLANK(L150),K150,L150)/100),2))</f>
      </c>
      <c r="N150" s="7" t="str">
        <f>IF(NOT(AND(J150="",L150="")),IF(OR(AND(L150&lt;&gt;"",NOT(ISNUMBER(L150))),IFERROR(MOD(L150,1),1)&gt;0,AND(ISNUMBER(L150),OR(L150&lt;0,L150&gt;95))),"Введите целое число от 0 до 95",IF(OR(AND(J150&lt;&gt;"",NOT(ISNUMBER(J150))),IFERROR(MOD(J150,1),1)&gt;0,AND(ISNUMBER(J150),OR(J150&lt;50,J150&gt;20000000))),"Введите целое число от 50 до 20000000",IF(NOT(ABS(IFERROR(VALUE(LEFT(M150,FIND("-",M150)-1)),M150)*100-(5000+2000000000)/2)&lt;=ABS(5000-2000000000)/2),"Цена со скидкой должна быть от 50 до 20000000",IF(IFERROR(VALUE(LEFT(M150,FIND("-",M150)-1)),M150)*180&lt;52400,"Вы уменьшили цену в несколько раз, товар попадет в карантин цен","")))),"")</f>
      </c>
    </row>
    <row r="151">
      <c r="A151" s="2" t="inlineStr">
        <is>
          <t>CuteShop</t>
        </is>
      </c>
      <c r="B151" s="2" t="inlineStr">
        <is>
          <t>Подарочные пакеты</t>
        </is>
      </c>
      <c r="C151" s="2">
        <v>185760025</v>
      </c>
      <c r="D151" s="2" t="inlineStr">
        <is>
          <t>pak-pol-podarki-30</t>
        </is>
      </c>
      <c r="E151" s="2" t="inlineStr">
        <is>
          <t>2038876972174</t>
        </is>
      </c>
      <c r="F151" s="2">
        <v>0</v>
      </c>
      <c r="G151" s="2">
        <v>1</v>
      </c>
      <c r="H151" s="2" t="inlineStr">
        <is>
          <t/>
        </is>
      </c>
      <c r="I151" s="2" t="inlineStr">
        <is>
          <t>420</t>
        </is>
      </c>
      <c r="J151" s="4"/>
      <c r="K151" s="2">
        <v>10</v>
      </c>
      <c r="L151" s="6"/>
      <c r="M151" s="2" t="str">
        <f>IF(J151="",ROUND(I151*(1-IF(ISBLANK(L151),K151,L151)/100),2),ROUND(J151*(1-IF(ISBLANK(L151),K151,L151)/100),2))</f>
      </c>
      <c r="N151" s="7" t="str">
        <f>IF(NOT(AND(J151="",L151="")),IF(OR(AND(L151&lt;&gt;"",NOT(ISNUMBER(L151))),IFERROR(MOD(L151,1),1)&gt;0,AND(ISNUMBER(L151),OR(L151&lt;0,L151&gt;95))),"Введите целое число от 0 до 95",IF(OR(AND(J151&lt;&gt;"",NOT(ISNUMBER(J151))),IFERROR(MOD(J151,1),1)&gt;0,AND(ISNUMBER(J151),OR(J151&lt;50,J151&gt;20000000))),"Введите целое число от 50 до 20000000",IF(NOT(ABS(IFERROR(VALUE(LEFT(M151,FIND("-",M151)-1)),M151)*100-(5000+2000000000)/2)&lt;=ABS(5000-2000000000)/2),"Цена со скидкой должна быть от 50 до 20000000",IF(IFERROR(VALUE(LEFT(M151,FIND("-",M151)-1)),M151)*180&lt;37800,"Вы уменьшили цену в несколько раз, товар попадет в карантин цен","")))),"")</f>
      </c>
    </row>
    <row r="152">
      <c r="A152" s="2" t="inlineStr">
        <is>
          <t>CuteShop</t>
        </is>
      </c>
      <c r="B152" s="2" t="inlineStr">
        <is>
          <t>Подарочные пакеты</t>
        </is>
      </c>
      <c r="C152" s="2">
        <v>219952831</v>
      </c>
      <c r="D152" s="2" t="inlineStr">
        <is>
          <t>pak-pvv-b-2</t>
        </is>
      </c>
      <c r="E152" s="2" t="inlineStr">
        <is>
          <t>2039728752678</t>
        </is>
      </c>
      <c r="F152" s="2">
        <v>0</v>
      </c>
      <c r="G152" s="2">
        <v>1</v>
      </c>
      <c r="H152" s="2" t="inlineStr">
        <is>
          <t/>
        </is>
      </c>
      <c r="I152" s="2" t="inlineStr">
        <is>
          <t>300</t>
        </is>
      </c>
      <c r="J152" s="4"/>
      <c r="K152" s="2">
        <v>10</v>
      </c>
      <c r="L152" s="6"/>
      <c r="M152" s="2" t="str">
        <f>IF(J152="",ROUND(I152*(1-IF(ISBLANK(L152),K152,L152)/100),2),ROUND(J152*(1-IF(ISBLANK(L152),K152,L152)/100),2))</f>
      </c>
      <c r="N152" s="7" t="str">
        <f>IF(NOT(AND(J152="",L152="")),IF(OR(AND(L152&lt;&gt;"",NOT(ISNUMBER(L152))),IFERROR(MOD(L152,1),1)&gt;0,AND(ISNUMBER(L152),OR(L152&lt;0,L152&gt;95))),"Введите целое число от 0 до 95",IF(OR(AND(J152&lt;&gt;"",NOT(ISNUMBER(J152))),IFERROR(MOD(J152,1),1)&gt;0,AND(ISNUMBER(J152),OR(J152&lt;50,J152&gt;20000000))),"Введите целое число от 50 до 20000000",IF(NOT(ABS(IFERROR(VALUE(LEFT(M152,FIND("-",M152)-1)),M152)*100-(5000+2000000000)/2)&lt;=ABS(5000-2000000000)/2),"Цена со скидкой должна быть от 50 до 20000000",IF(IFERROR(VALUE(LEFT(M152,FIND("-",M152)-1)),M152)*180&lt;27000,"Вы уменьшили цену в несколько раз, товар попадет в карантин цен","")))),"")</f>
      </c>
    </row>
    <row r="153">
      <c r="A153" s="2" t="inlineStr">
        <is>
          <t/>
        </is>
      </c>
      <c r="B153" s="2" t="inlineStr">
        <is>
          <t>Подарочные коробки</t>
        </is>
      </c>
      <c r="C153" s="2">
        <v>136557375</v>
      </c>
      <c r="D153" s="2" t="inlineStr">
        <is>
          <t>Box-Kraft-16-16-5</t>
        </is>
      </c>
      <c r="E153" s="2" t="inlineStr">
        <is>
          <t>2037188521797</t>
        </is>
      </c>
      <c r="F153" s="2">
        <v>0</v>
      </c>
      <c r="G153" s="2">
        <v>0</v>
      </c>
      <c r="H153" s="2">
        <v>0</v>
      </c>
      <c r="I153" s="2" t="inlineStr">
        <is>
          <t>430</t>
        </is>
      </c>
      <c r="J153" s="4"/>
      <c r="K153" s="2">
        <v>0</v>
      </c>
      <c r="L153" s="6"/>
      <c r="M153" s="2" t="str">
        <f>IF(J153="",ROUND(I153*(1-IF(ISBLANK(L153),K153,L153)/100),2),ROUND(J153*(1-IF(ISBLANK(L153),K153,L153)/100),2))</f>
      </c>
      <c r="N153" s="7" t="str">
        <f>IF(NOT(AND(J153="",L153="")),IF(OR(AND(L153&lt;&gt;"",NOT(ISNUMBER(L153))),IFERROR(MOD(L153,1),1)&gt;0,AND(ISNUMBER(L153),OR(L153&lt;0,L153&gt;95))),"Введите целое число от 0 до 95",IF(OR(AND(J153&lt;&gt;"",NOT(ISNUMBER(J153))),IFERROR(MOD(J153,1),1)&gt;0,AND(ISNUMBER(J153),OR(J153&lt;50,J153&gt;20000000))),"Введите целое число от 50 до 20000000",IF(NOT(ABS(IFERROR(VALUE(LEFT(M153,FIND("-",M153)-1)),M153)*100-(5000+2000000000)/2)&lt;=ABS(5000-2000000000)/2),"Цена со скидкой должна быть от 50 до 20000000",IF(IFERROR(VALUE(LEFT(M153,FIND("-",M153)-1)),M153)*180&lt;43000,"Вы уменьшили цену в несколько раз, товар попадет в карантин цен","")))),"")</f>
      </c>
    </row>
    <row r="154">
      <c r="A154" s="2" t="inlineStr">
        <is>
          <t/>
        </is>
      </c>
      <c r="B154" s="2" t="inlineStr">
        <is>
          <t>Подарочные коробки</t>
        </is>
      </c>
      <c r="C154" s="2">
        <v>135232318</v>
      </c>
      <c r="D154" s="2" t="inlineStr">
        <is>
          <t>PVCKraft-12-12x10</t>
        </is>
      </c>
      <c r="E154" s="2" t="inlineStr">
        <is>
          <t>2037101187796</t>
        </is>
      </c>
      <c r="F154" s="2">
        <v>0</v>
      </c>
      <c r="G154" s="2">
        <v>0</v>
      </c>
      <c r="H154" s="2">
        <v>0</v>
      </c>
      <c r="I154" s="2" t="inlineStr">
        <is>
          <t>530</t>
        </is>
      </c>
      <c r="J154" s="4"/>
      <c r="K154" s="2">
        <v>0</v>
      </c>
      <c r="L154" s="6"/>
      <c r="M154" s="2" t="str">
        <f>IF(J154="",ROUND(I154*(1-IF(ISBLANK(L154),K154,L154)/100),2),ROUND(J154*(1-IF(ISBLANK(L154),K154,L154)/100),2))</f>
      </c>
      <c r="N154" s="7" t="str">
        <f>IF(NOT(AND(J154="",L154="")),IF(OR(AND(L154&lt;&gt;"",NOT(ISNUMBER(L154))),IFERROR(MOD(L154,1),1)&gt;0,AND(ISNUMBER(L154),OR(L154&lt;0,L154&gt;95))),"Введите целое число от 0 до 95",IF(OR(AND(J154&lt;&gt;"",NOT(ISNUMBER(J154))),IFERROR(MOD(J154,1),1)&gt;0,AND(ISNUMBER(J154),OR(J154&lt;50,J154&gt;20000000))),"Введите целое число от 50 до 20000000",IF(NOT(ABS(IFERROR(VALUE(LEFT(M154,FIND("-",M154)-1)),M154)*100-(5000+2000000000)/2)&lt;=ABS(5000-2000000000)/2),"Цена со скидкой должна быть от 50 до 20000000",IF(IFERROR(VALUE(LEFT(M154,FIND("-",M154)-1)),M154)*180&lt;53000,"Вы уменьшили цену в несколько раз, товар попадет в карантин цен","")))),"")</f>
      </c>
    </row>
    <row r="155">
      <c r="A155" s="2" t="inlineStr">
        <is>
          <t>CuteShop</t>
        </is>
      </c>
      <c r="B155" s="2" t="inlineStr">
        <is>
          <t>Подарочные пакеты</t>
        </is>
      </c>
      <c r="C155" s="2">
        <v>180621041</v>
      </c>
      <c r="D155" s="2" t="inlineStr">
        <is>
          <t>Paketik-LL-Snezh-7*7-100</t>
        </is>
      </c>
      <c r="E155" s="2" t="inlineStr">
        <is>
          <t>2038741663985</t>
        </is>
      </c>
      <c r="F155" s="2">
        <v>0</v>
      </c>
      <c r="G155" s="2">
        <v>0</v>
      </c>
      <c r="H155" s="2" t="inlineStr">
        <is>
          <t/>
        </is>
      </c>
      <c r="I155" s="2" t="inlineStr">
        <is>
          <t>400</t>
        </is>
      </c>
      <c r="J155" s="4"/>
      <c r="K155" s="2">
        <v>10</v>
      </c>
      <c r="L155" s="6"/>
      <c r="M155" s="2" t="str">
        <f>IF(J155="",ROUND(I155*(1-IF(ISBLANK(L155),K155,L155)/100),2),ROUND(J155*(1-IF(ISBLANK(L155),K155,L155)/100),2))</f>
      </c>
      <c r="N155" s="7" t="str">
        <f>IF(NOT(AND(J155="",L155="")),IF(OR(AND(L155&lt;&gt;"",NOT(ISNUMBER(L155))),IFERROR(MOD(L155,1),1)&gt;0,AND(ISNUMBER(L155),OR(L155&lt;0,L155&gt;95))),"Введите целое число от 0 до 95",IF(OR(AND(J155&lt;&gt;"",NOT(ISNUMBER(J155))),IFERROR(MOD(J155,1),1)&gt;0,AND(ISNUMBER(J155),OR(J155&lt;50,J155&gt;20000000))),"Введите целое число от 50 до 20000000",IF(NOT(ABS(IFERROR(VALUE(LEFT(M155,FIND("-",M155)-1)),M155)*100-(5000+2000000000)/2)&lt;=ABS(5000-2000000000)/2),"Цена со скидкой должна быть от 50 до 20000000",IF(IFERROR(VALUE(LEFT(M155,FIND("-",M155)-1)),M155)*180&lt;36000,"Вы уменьшили цену в несколько раз, товар попадет в карантин цен","")))),"")</f>
      </c>
    </row>
    <row r="156">
      <c r="A156" s="2" t="inlineStr">
        <is>
          <t/>
        </is>
      </c>
      <c r="B156" s="2" t="inlineStr">
        <is>
          <t>Подарочные коробки</t>
        </is>
      </c>
      <c r="C156" s="2">
        <v>187759371</v>
      </c>
      <c r="D156" s="2" t="inlineStr">
        <is>
          <t>PVCBel-14-10,5x5</t>
        </is>
      </c>
      <c r="E156" s="2" t="inlineStr">
        <is>
          <t>2038919562508</t>
        </is>
      </c>
      <c r="F156" s="2">
        <v>0</v>
      </c>
      <c r="G156" s="2">
        <v>0</v>
      </c>
      <c r="H156" s="2" t="inlineStr">
        <is>
          <t/>
        </is>
      </c>
      <c r="I156" s="2" t="inlineStr">
        <is>
          <t>400</t>
        </is>
      </c>
      <c r="J156" s="4"/>
      <c r="K156" s="2">
        <v>0</v>
      </c>
      <c r="L156" s="6"/>
      <c r="M156" s="2" t="str">
        <f>IF(J156="",ROUND(I156*(1-IF(ISBLANK(L156),K156,L156)/100),2),ROUND(J156*(1-IF(ISBLANK(L156),K156,L156)/100),2))</f>
      </c>
      <c r="N156" s="7" t="str">
        <f>IF(NOT(AND(J156="",L156="")),IF(OR(AND(L156&lt;&gt;"",NOT(ISNUMBER(L156))),IFERROR(MOD(L156,1),1)&gt;0,AND(ISNUMBER(L156),OR(L156&lt;0,L156&gt;95))),"Введите целое число от 0 до 95",IF(OR(AND(J156&lt;&gt;"",NOT(ISNUMBER(J156))),IFERROR(MOD(J156,1),1)&gt;0,AND(ISNUMBER(J156),OR(J156&lt;50,J156&gt;20000000))),"Введите целое число от 50 до 20000000",IF(NOT(ABS(IFERROR(VALUE(LEFT(M156,FIND("-",M156)-1)),M156)*100-(5000+2000000000)/2)&lt;=ABS(5000-2000000000)/2),"Цена со скидкой должна быть от 50 до 20000000",IF(IFERROR(VALUE(LEFT(M156,FIND("-",M156)-1)),M156)*180&lt;40000,"Вы уменьшили цену в несколько раз, товар попадет в карантин цен","")))),"")</f>
      </c>
    </row>
    <row r="157">
      <c r="A157" s="2" t="inlineStr">
        <is>
          <t/>
        </is>
      </c>
      <c r="B157" s="2" t="inlineStr">
        <is>
          <t>Подарочные коробки</t>
        </is>
      </c>
      <c r="C157" s="2">
        <v>135287634</v>
      </c>
      <c r="D157" s="2" t="inlineStr">
        <is>
          <t>PVCDT-21-10x5</t>
        </is>
      </c>
      <c r="E157" s="2" t="inlineStr">
        <is>
          <t>2037101447616</t>
        </is>
      </c>
      <c r="F157" s="2">
        <v>0</v>
      </c>
      <c r="G157" s="2">
        <v>0</v>
      </c>
      <c r="H157" s="2">
        <v>0</v>
      </c>
      <c r="I157" s="2" t="inlineStr">
        <is>
          <t>390</t>
        </is>
      </c>
      <c r="J157" s="4"/>
      <c r="K157" s="2">
        <v>0</v>
      </c>
      <c r="L157" s="6"/>
      <c r="M157" s="2" t="str">
        <f>IF(J157="",ROUND(I157*(1-IF(ISBLANK(L157),K157,L157)/100),2),ROUND(J157*(1-IF(ISBLANK(L157),K157,L157)/100),2))</f>
      </c>
      <c r="N157" s="7" t="str">
        <f>IF(NOT(AND(J157="",L157="")),IF(OR(AND(L157&lt;&gt;"",NOT(ISNUMBER(L157))),IFERROR(MOD(L157,1),1)&gt;0,AND(ISNUMBER(L157),OR(L157&lt;0,L157&gt;95))),"Введите целое число от 0 до 95",IF(OR(AND(J157&lt;&gt;"",NOT(ISNUMBER(J157))),IFERROR(MOD(J157,1),1)&gt;0,AND(ISNUMBER(J157),OR(J157&lt;50,J157&gt;20000000))),"Введите целое число от 50 до 20000000",IF(NOT(ABS(IFERROR(VALUE(LEFT(M157,FIND("-",M157)-1)),M157)*100-(5000+2000000000)/2)&lt;=ABS(5000-2000000000)/2),"Цена со скидкой должна быть от 50 до 20000000",IF(IFERROR(VALUE(LEFT(M157,FIND("-",M157)-1)),M157)*180&lt;39000,"Вы уменьшили цену в несколько раз, товар попадет в карантин цен","")))),"")</f>
      </c>
    </row>
    <row r="158">
      <c r="A158" s="2" t="inlineStr">
        <is>
          <t/>
        </is>
      </c>
      <c r="B158" s="2" t="inlineStr">
        <is>
          <t>Подарочные коробки</t>
        </is>
      </c>
      <c r="C158" s="2">
        <v>190307435</v>
      </c>
      <c r="D158" s="2" t="inlineStr">
        <is>
          <t>Kor-17-7-Bel-20</t>
        </is>
      </c>
      <c r="E158" s="2" t="inlineStr">
        <is>
          <t>2039005779435</t>
        </is>
      </c>
      <c r="F158" s="2">
        <v>0</v>
      </c>
      <c r="G158" s="2">
        <v>0</v>
      </c>
      <c r="H158" s="2" t="inlineStr">
        <is>
          <t/>
        </is>
      </c>
      <c r="I158" s="2" t="inlineStr">
        <is>
          <t>690</t>
        </is>
      </c>
      <c r="J158" s="4"/>
      <c r="K158" s="2">
        <v>0</v>
      </c>
      <c r="L158" s="6"/>
      <c r="M158" s="2" t="str">
        <f>IF(J158="",ROUND(I158*(1-IF(ISBLANK(L158),K158,L158)/100),2),ROUND(J158*(1-IF(ISBLANK(L158),K158,L158)/100),2))</f>
      </c>
      <c r="N158" s="7" t="str">
        <f>IF(NOT(AND(J158="",L158="")),IF(OR(AND(L158&lt;&gt;"",NOT(ISNUMBER(L158))),IFERROR(MOD(L158,1),1)&gt;0,AND(ISNUMBER(L158),OR(L158&lt;0,L158&gt;95))),"Введите целое число от 0 до 95",IF(OR(AND(J158&lt;&gt;"",NOT(ISNUMBER(J158))),IFERROR(MOD(J158,1),1)&gt;0,AND(ISNUMBER(J158),OR(J158&lt;50,J158&gt;20000000))),"Введите целое число от 50 до 20000000",IF(NOT(ABS(IFERROR(VALUE(LEFT(M158,FIND("-",M158)-1)),M158)*100-(5000+2000000000)/2)&lt;=ABS(5000-2000000000)/2),"Цена со скидкой должна быть от 50 до 20000000",IF(IFERROR(VALUE(LEFT(M158,FIND("-",M158)-1)),M158)*180&lt;69000,"Вы уменьшили цену в несколько раз, товар попадет в карантин цен","")))),"")</f>
      </c>
    </row>
    <row r="159">
      <c r="A159" s="2" t="inlineStr">
        <is>
          <t/>
        </is>
      </c>
      <c r="B159" s="2" t="inlineStr">
        <is>
          <t>Подарочные коробки</t>
        </is>
      </c>
      <c r="C159" s="2">
        <v>136557372</v>
      </c>
      <c r="D159" s="2" t="inlineStr">
        <is>
          <t>Box-Kraft-16-16-10</t>
        </is>
      </c>
      <c r="E159" s="2" t="inlineStr">
        <is>
          <t>2037188525030</t>
        </is>
      </c>
      <c r="F159" s="2">
        <v>0</v>
      </c>
      <c r="G159" s="2">
        <v>0</v>
      </c>
      <c r="H159" s="2">
        <v>0</v>
      </c>
      <c r="I159" s="2" t="inlineStr">
        <is>
          <t>590</t>
        </is>
      </c>
      <c r="J159" s="4"/>
      <c r="K159" s="2">
        <v>0</v>
      </c>
      <c r="L159" s="6"/>
      <c r="M159" s="2" t="str">
        <f>IF(J159="",ROUND(I159*(1-IF(ISBLANK(L159),K159,L159)/100),2),ROUND(J159*(1-IF(ISBLANK(L159),K159,L159)/100),2))</f>
      </c>
      <c r="N159" s="7" t="str">
        <f>IF(NOT(AND(J159="",L159="")),IF(OR(AND(L159&lt;&gt;"",NOT(ISNUMBER(L159))),IFERROR(MOD(L159,1),1)&gt;0,AND(ISNUMBER(L159),OR(L159&lt;0,L159&gt;95))),"Введите целое число от 0 до 95",IF(OR(AND(J159&lt;&gt;"",NOT(ISNUMBER(J159))),IFERROR(MOD(J159,1),1)&gt;0,AND(ISNUMBER(J159),OR(J159&lt;50,J159&gt;20000000))),"Введите целое число от 50 до 20000000",IF(NOT(ABS(IFERROR(VALUE(LEFT(M159,FIND("-",M159)-1)),M159)*100-(5000+2000000000)/2)&lt;=ABS(5000-2000000000)/2),"Цена со скидкой должна быть от 50 до 20000000",IF(IFERROR(VALUE(LEFT(M159,FIND("-",M159)-1)),M159)*180&lt;59000,"Вы уменьшили цену в несколько раз, товар попадет в карантин цен","")))),"")</f>
      </c>
    </row>
    <row r="160">
      <c r="A160" s="2" t="inlineStr">
        <is>
          <t>CuteShop</t>
        </is>
      </c>
      <c r="B160" s="2" t="inlineStr">
        <is>
          <t>Подарочные пакеты</t>
        </is>
      </c>
      <c r="C160" s="2">
        <v>219945394</v>
      </c>
      <c r="D160" s="2" t="inlineStr">
        <is>
          <t>pak-vvch-2</t>
        </is>
      </c>
      <c r="E160" s="2" t="inlineStr">
        <is>
          <t>2039727899299</t>
        </is>
      </c>
      <c r="F160" s="2">
        <v>0</v>
      </c>
      <c r="G160" s="2">
        <v>1</v>
      </c>
      <c r="H160" s="2" t="inlineStr">
        <is>
          <t/>
        </is>
      </c>
      <c r="I160" s="2" t="inlineStr">
        <is>
          <t>300</t>
        </is>
      </c>
      <c r="J160" s="4"/>
      <c r="K160" s="2">
        <v>10</v>
      </c>
      <c r="L160" s="6"/>
      <c r="M160" s="2" t="str">
        <f>IF(J160="",ROUND(I160*(1-IF(ISBLANK(L160),K160,L160)/100),2),ROUND(J160*(1-IF(ISBLANK(L160),K160,L160)/100),2))</f>
      </c>
      <c r="N160" s="7" t="str">
        <f>IF(NOT(AND(J160="",L160="")),IF(OR(AND(L160&lt;&gt;"",NOT(ISNUMBER(L160))),IFERROR(MOD(L160,1),1)&gt;0,AND(ISNUMBER(L160),OR(L160&lt;0,L160&gt;95))),"Введите целое число от 0 до 95",IF(OR(AND(J160&lt;&gt;"",NOT(ISNUMBER(J160))),IFERROR(MOD(J160,1),1)&gt;0,AND(ISNUMBER(J160),OR(J160&lt;50,J160&gt;20000000))),"Введите целое число от 50 до 20000000",IF(NOT(ABS(IFERROR(VALUE(LEFT(M160,FIND("-",M160)-1)),M160)*100-(5000+2000000000)/2)&lt;=ABS(5000-2000000000)/2),"Цена со скидкой должна быть от 50 до 20000000",IF(IFERROR(VALUE(LEFT(M160,FIND("-",M160)-1)),M160)*180&lt;27000,"Вы уменьшили цену в несколько раз, товар попадет в карантин цен","")))),"")</f>
      </c>
    </row>
    <row r="161">
      <c r="A161" s="2" t="inlineStr">
        <is>
          <t>CuteShop</t>
        </is>
      </c>
      <c r="B161" s="2" t="inlineStr">
        <is>
          <t>Подарочные коробки</t>
        </is>
      </c>
      <c r="C161" s="2">
        <v>139978431</v>
      </c>
      <c r="D161" s="2" t="inlineStr">
        <is>
          <t>Kor-20-20-Kraft-10</t>
        </is>
      </c>
      <c r="E161" s="2" t="inlineStr">
        <is>
          <t>2037287143272</t>
        </is>
      </c>
      <c r="F161" s="2">
        <v>0</v>
      </c>
      <c r="G161" s="2">
        <v>0</v>
      </c>
      <c r="H161" s="2">
        <v>0</v>
      </c>
      <c r="I161" s="2" t="inlineStr">
        <is>
          <t>450</t>
        </is>
      </c>
      <c r="J161" s="4"/>
      <c r="K161" s="2">
        <v>0</v>
      </c>
      <c r="L161" s="6"/>
      <c r="M161" s="2" t="str">
        <f>IF(J161="",ROUND(I161*(1-IF(ISBLANK(L161),K161,L161)/100),2),ROUND(J161*(1-IF(ISBLANK(L161),K161,L161)/100),2))</f>
      </c>
      <c r="N161" s="7" t="str">
        <f>IF(NOT(AND(J161="",L161="")),IF(OR(AND(L161&lt;&gt;"",NOT(ISNUMBER(L161))),IFERROR(MOD(L161,1),1)&gt;0,AND(ISNUMBER(L161),OR(L161&lt;0,L161&gt;95))),"Введите целое число от 0 до 95",IF(OR(AND(J161&lt;&gt;"",NOT(ISNUMBER(J161))),IFERROR(MOD(J161,1),1)&gt;0,AND(ISNUMBER(J161),OR(J161&lt;50,J161&gt;20000000))),"Введите целое число от 50 до 20000000",IF(NOT(ABS(IFERROR(VALUE(LEFT(M161,FIND("-",M161)-1)),M161)*100-(5000+2000000000)/2)&lt;=ABS(5000-2000000000)/2),"Цена со скидкой должна быть от 50 до 20000000",IF(IFERROR(VALUE(LEFT(M161,FIND("-",M161)-1)),M161)*180&lt;45000,"Вы уменьшили цену в несколько раз, товар попадет в карантин цен","")))),"")</f>
      </c>
    </row>
    <row r="162">
      <c r="A162" s="2" t="inlineStr">
        <is>
          <t/>
        </is>
      </c>
      <c r="B162" s="2" t="inlineStr">
        <is>
          <t>Подарочные коробки</t>
        </is>
      </c>
      <c r="C162" s="2">
        <v>135238204</v>
      </c>
      <c r="D162" s="2" t="inlineStr">
        <is>
          <t>PVCKraft-15-15x5</t>
        </is>
      </c>
      <c r="E162" s="2" t="inlineStr">
        <is>
          <t>2037101209955</t>
        </is>
      </c>
      <c r="F162" s="2">
        <v>0</v>
      </c>
      <c r="G162" s="2">
        <v>0</v>
      </c>
      <c r="H162" s="2">
        <v>0</v>
      </c>
      <c r="I162" s="2" t="inlineStr">
        <is>
          <t>390</t>
        </is>
      </c>
      <c r="J162" s="4"/>
      <c r="K162" s="2">
        <v>0</v>
      </c>
      <c r="L162" s="6"/>
      <c r="M162" s="2" t="str">
        <f>IF(J162="",ROUND(I162*(1-IF(ISBLANK(L162),K162,L162)/100),2),ROUND(J162*(1-IF(ISBLANK(L162),K162,L162)/100),2))</f>
      </c>
      <c r="N162" s="7" t="str">
        <f>IF(NOT(AND(J162="",L162="")),IF(OR(AND(L162&lt;&gt;"",NOT(ISNUMBER(L162))),IFERROR(MOD(L162,1),1)&gt;0,AND(ISNUMBER(L162),OR(L162&lt;0,L162&gt;95))),"Введите целое число от 0 до 95",IF(OR(AND(J162&lt;&gt;"",NOT(ISNUMBER(J162))),IFERROR(MOD(J162,1),1)&gt;0,AND(ISNUMBER(J162),OR(J162&lt;50,J162&gt;20000000))),"Введите целое число от 50 до 20000000",IF(NOT(ABS(IFERROR(VALUE(LEFT(M162,FIND("-",M162)-1)),M162)*100-(5000+2000000000)/2)&lt;=ABS(5000-2000000000)/2),"Цена со скидкой должна быть от 50 до 20000000",IF(IFERROR(VALUE(LEFT(M162,FIND("-",M162)-1)),M162)*180&lt;39000,"Вы уменьшили цену в несколько раз, товар попадет в карантин цен","")))),"")</f>
      </c>
    </row>
    <row r="163">
      <c r="A163" s="2" t="inlineStr">
        <is>
          <t>CuteShop</t>
        </is>
      </c>
      <c r="B163" s="2" t="inlineStr">
        <is>
          <t>Подарочные пакеты</t>
        </is>
      </c>
      <c r="C163" s="2">
        <v>219973658</v>
      </c>
      <c r="D163" s="2" t="inlineStr">
        <is>
          <t>pak-bezruch-dt</t>
        </is>
      </c>
      <c r="E163" s="2" t="inlineStr">
        <is>
          <t>2039729173939</t>
        </is>
      </c>
      <c r="F163" s="2">
        <v>0</v>
      </c>
      <c r="G163" s="2">
        <v>2</v>
      </c>
      <c r="H163" s="2" t="inlineStr">
        <is>
          <t/>
        </is>
      </c>
      <c r="I163" s="2" t="inlineStr">
        <is>
          <t>320</t>
        </is>
      </c>
      <c r="J163" s="4"/>
      <c r="K163" s="2">
        <v>10</v>
      </c>
      <c r="L163" s="6"/>
      <c r="M163" s="2" t="str">
        <f>IF(J163="",ROUND(I163*(1-IF(ISBLANK(L163),K163,L163)/100),2),ROUND(J163*(1-IF(ISBLANK(L163),K163,L163)/100),2))</f>
      </c>
      <c r="N163" s="7" t="str">
        <f>IF(NOT(AND(J163="",L163="")),IF(OR(AND(L163&lt;&gt;"",NOT(ISNUMBER(L163))),IFERROR(MOD(L163,1),1)&gt;0,AND(ISNUMBER(L163),OR(L163&lt;0,L163&gt;95))),"Введите целое число от 0 до 95",IF(OR(AND(J163&lt;&gt;"",NOT(ISNUMBER(J163))),IFERROR(MOD(J163,1),1)&gt;0,AND(ISNUMBER(J163),OR(J163&lt;50,J163&gt;20000000))),"Введите целое число от 50 до 20000000",IF(NOT(ABS(IFERROR(VALUE(LEFT(M163,FIND("-",M163)-1)),M163)*100-(5000+2000000000)/2)&lt;=ABS(5000-2000000000)/2),"Цена со скидкой должна быть от 50 до 20000000",IF(IFERROR(VALUE(LEFT(M163,FIND("-",M163)-1)),M163)*180&lt;28800,"Вы уменьшили цену в несколько раз, товар попадет в карантин цен","")))),"")</f>
      </c>
    </row>
    <row r="164">
      <c r="A164" s="2" t="inlineStr">
        <is>
          <t/>
        </is>
      </c>
      <c r="B164" s="2" t="inlineStr">
        <is>
          <t>Подарочные коробки</t>
        </is>
      </c>
      <c r="C164" s="2">
        <v>136557376</v>
      </c>
      <c r="D164" s="2" t="inlineStr">
        <is>
          <t>Box-Kraft-165-125-5</t>
        </is>
      </c>
      <c r="E164" s="2" t="inlineStr">
        <is>
          <t>2037188478602</t>
        </is>
      </c>
      <c r="F164" s="2">
        <v>0</v>
      </c>
      <c r="G164" s="2">
        <v>0</v>
      </c>
      <c r="H164" s="2">
        <v>0</v>
      </c>
      <c r="I164" s="2" t="inlineStr">
        <is>
          <t>440</t>
        </is>
      </c>
      <c r="J164" s="4"/>
      <c r="K164" s="2">
        <v>0</v>
      </c>
      <c r="L164" s="6"/>
      <c r="M164" s="2" t="str">
        <f>IF(J164="",ROUND(I164*(1-IF(ISBLANK(L164),K164,L164)/100),2),ROUND(J164*(1-IF(ISBLANK(L164),K164,L164)/100),2))</f>
      </c>
      <c r="N164" s="7" t="str">
        <f>IF(NOT(AND(J164="",L164="")),IF(OR(AND(L164&lt;&gt;"",NOT(ISNUMBER(L164))),IFERROR(MOD(L164,1),1)&gt;0,AND(ISNUMBER(L164),OR(L164&lt;0,L164&gt;95))),"Введите целое число от 0 до 95",IF(OR(AND(J164&lt;&gt;"",NOT(ISNUMBER(J164))),IFERROR(MOD(J164,1),1)&gt;0,AND(ISNUMBER(J164),OR(J164&lt;50,J164&gt;20000000))),"Введите целое число от 50 до 20000000",IF(NOT(ABS(IFERROR(VALUE(LEFT(M164,FIND("-",M164)-1)),M164)*100-(5000+2000000000)/2)&lt;=ABS(5000-2000000000)/2),"Цена со скидкой должна быть от 50 до 20000000",IF(IFERROR(VALUE(LEFT(M164,FIND("-",M164)-1)),M164)*180&lt;44000,"Вы уменьшили цену в несколько раз, товар попадет в карантин цен","")))),"")</f>
      </c>
    </row>
    <row r="165">
      <c r="A165" s="2" t="inlineStr">
        <is>
          <t>CuteShop</t>
        </is>
      </c>
      <c r="B165" s="2" t="inlineStr">
        <is>
          <t>Подарочные пакеты</t>
        </is>
      </c>
      <c r="C165" s="2">
        <v>185760014</v>
      </c>
      <c r="D165" s="2" t="inlineStr">
        <is>
          <t>pak-pol-podishar-20</t>
        </is>
      </c>
      <c r="E165" s="2" t="inlineStr">
        <is>
          <t>2038876918172</t>
        </is>
      </c>
      <c r="F165" s="2">
        <v>0</v>
      </c>
      <c r="G165" s="2">
        <v>0</v>
      </c>
      <c r="H165" s="2" t="inlineStr">
        <is>
          <t/>
        </is>
      </c>
      <c r="I165" s="2" t="inlineStr">
        <is>
          <t>301</t>
        </is>
      </c>
      <c r="J165" s="4"/>
      <c r="K165" s="2">
        <v>0</v>
      </c>
      <c r="L165" s="6"/>
      <c r="M165" s="2" t="str">
        <f>IF(J165="",ROUND(I165*(1-IF(ISBLANK(L165),K165,L165)/100),2),ROUND(J165*(1-IF(ISBLANK(L165),K165,L165)/100),2))</f>
      </c>
      <c r="N165" s="7" t="str">
        <f>IF(NOT(AND(J165="",L165="")),IF(OR(AND(L165&lt;&gt;"",NOT(ISNUMBER(L165))),IFERROR(MOD(L165,1),1)&gt;0,AND(ISNUMBER(L165),OR(L165&lt;0,L165&gt;95))),"Введите целое число от 0 до 95",IF(OR(AND(J165&lt;&gt;"",NOT(ISNUMBER(J165))),IFERROR(MOD(J165,1),1)&gt;0,AND(ISNUMBER(J165),OR(J165&lt;50,J165&gt;20000000))),"Введите целое число от 50 до 20000000",IF(NOT(ABS(IFERROR(VALUE(LEFT(M165,FIND("-",M165)-1)),M165)*100-(5000+2000000000)/2)&lt;=ABS(5000-2000000000)/2),"Цена со скидкой должна быть от 50 до 20000000",IF(IFERROR(VALUE(LEFT(M165,FIND("-",M165)-1)),M165)*180&lt;30100,"Вы уменьшили цену в несколько раз, товар попадет в карантин цен","")))),"")</f>
      </c>
    </row>
    <row r="166">
      <c r="A166" s="2" t="inlineStr">
        <is>
          <t>CuteShop</t>
        </is>
      </c>
      <c r="B166" s="2" t="inlineStr">
        <is>
          <t>Подарочные коробки</t>
        </is>
      </c>
      <c r="C166" s="2">
        <v>219967402</v>
      </c>
      <c r="D166" s="2" t="inlineStr">
        <is>
          <t>Box-MPDRx5</t>
        </is>
      </c>
      <c r="E166" s="2" t="inlineStr">
        <is>
          <t>2039729089674</t>
        </is>
      </c>
      <c r="F166" s="2">
        <v>0</v>
      </c>
      <c r="G166" s="2">
        <v>1</v>
      </c>
      <c r="H166" s="2" t="inlineStr">
        <is>
          <t/>
        </is>
      </c>
      <c r="I166" s="2" t="inlineStr">
        <is>
          <t>300</t>
        </is>
      </c>
      <c r="J166" s="4"/>
      <c r="K166" s="2">
        <v>10</v>
      </c>
      <c r="L166" s="6"/>
      <c r="M166" s="2" t="str">
        <f>IF(J166="",ROUND(I166*(1-IF(ISBLANK(L166),K166,L166)/100),2),ROUND(J166*(1-IF(ISBLANK(L166),K166,L166)/100),2))</f>
      </c>
      <c r="N166" s="7" t="str">
        <f>IF(NOT(AND(J166="",L166="")),IF(OR(AND(L166&lt;&gt;"",NOT(ISNUMBER(L166))),IFERROR(MOD(L166,1),1)&gt;0,AND(ISNUMBER(L166),OR(L166&lt;0,L166&gt;95))),"Введите целое число от 0 до 95",IF(OR(AND(J166&lt;&gt;"",NOT(ISNUMBER(J166))),IFERROR(MOD(J166,1),1)&gt;0,AND(ISNUMBER(J166),OR(J166&lt;50,J166&gt;20000000))),"Введите целое число от 50 до 20000000",IF(NOT(ABS(IFERROR(VALUE(LEFT(M166,FIND("-",M166)-1)),M166)*100-(5000+2000000000)/2)&lt;=ABS(5000-2000000000)/2),"Цена со скидкой должна быть от 50 до 20000000",IF(IFERROR(VALUE(LEFT(M166,FIND("-",M166)-1)),M166)*180&lt;27000,"Вы уменьшили цену в несколько раз, товар попадет в карантин цен","")))),"")</f>
      </c>
    </row>
    <row r="167">
      <c r="A167" s="2" t="inlineStr">
        <is>
          <t>CuteShop</t>
        </is>
      </c>
      <c r="B167" s="2" t="inlineStr">
        <is>
          <t>Подарочные пакеты</t>
        </is>
      </c>
      <c r="C167" s="2">
        <v>219973657</v>
      </c>
      <c r="D167" s="2" t="inlineStr">
        <is>
          <t>pak-bezruch-volsh</t>
        </is>
      </c>
      <c r="E167" s="2" t="inlineStr">
        <is>
          <t>2039729169864</t>
        </is>
      </c>
      <c r="F167" s="2">
        <v>0</v>
      </c>
      <c r="G167" s="2">
        <v>1</v>
      </c>
      <c r="H167" s="2" t="inlineStr">
        <is>
          <t/>
        </is>
      </c>
      <c r="I167" s="2" t="inlineStr">
        <is>
          <t>300</t>
        </is>
      </c>
      <c r="J167" s="4"/>
      <c r="K167" s="2">
        <v>10</v>
      </c>
      <c r="L167" s="6"/>
      <c r="M167" s="2" t="str">
        <f>IF(J167="",ROUND(I167*(1-IF(ISBLANK(L167),K167,L167)/100),2),ROUND(J167*(1-IF(ISBLANK(L167),K167,L167)/100),2))</f>
      </c>
      <c r="N167" s="7" t="str">
        <f>IF(NOT(AND(J167="",L167="")),IF(OR(AND(L167&lt;&gt;"",NOT(ISNUMBER(L167))),IFERROR(MOD(L167,1),1)&gt;0,AND(ISNUMBER(L167),OR(L167&lt;0,L167&gt;95))),"Введите целое число от 0 до 95",IF(OR(AND(J167&lt;&gt;"",NOT(ISNUMBER(J167))),IFERROR(MOD(J167,1),1)&gt;0,AND(ISNUMBER(J167),OR(J167&lt;50,J167&gt;20000000))),"Введите целое число от 50 до 20000000",IF(NOT(ABS(IFERROR(VALUE(LEFT(M167,FIND("-",M167)-1)),M167)*100-(5000+2000000000)/2)&lt;=ABS(5000-2000000000)/2),"Цена со скидкой должна быть от 50 до 20000000",IF(IFERROR(VALUE(LEFT(M167,FIND("-",M167)-1)),M167)*180&lt;27000,"Вы уменьшили цену в несколько раз, товар попадет в карантин цен","")))),"")</f>
      </c>
    </row>
    <row r="168">
      <c r="A168" s="2" t="inlineStr">
        <is>
          <t>CuteShop</t>
        </is>
      </c>
      <c r="B168" s="2" t="inlineStr">
        <is>
          <t>Закладки</t>
        </is>
      </c>
      <c r="C168" s="2">
        <v>229035279</v>
      </c>
      <c r="D168" s="2" t="inlineStr">
        <is>
          <t>Zakl-Zol-5</t>
        </is>
      </c>
      <c r="E168" s="2" t="inlineStr">
        <is>
          <t>2039929848965</t>
        </is>
      </c>
      <c r="F168" s="2">
        <v>0</v>
      </c>
      <c r="G168" s="2">
        <v>0</v>
      </c>
      <c r="H168" s="2" t="inlineStr">
        <is>
          <t/>
        </is>
      </c>
      <c r="I168" s="2" t="inlineStr">
        <is>
          <t>300</t>
        </is>
      </c>
      <c r="J168" s="4"/>
      <c r="K168" s="2">
        <v>0</v>
      </c>
      <c r="L168" s="6"/>
      <c r="M168" s="2" t="str">
        <f>IF(J168="",ROUND(I168*(1-IF(ISBLANK(L168),K168,L168)/100),2),ROUND(J168*(1-IF(ISBLANK(L168),K168,L168)/100),2))</f>
      </c>
      <c r="N168" s="7" t="str">
        <f>IF(NOT(AND(J168="",L168="")),IF(OR(AND(L168&lt;&gt;"",NOT(ISNUMBER(L168))),IFERROR(MOD(L168,1),1)&gt;0,AND(ISNUMBER(L168),OR(L168&lt;0,L168&gt;95))),"Введите целое число от 0 до 95",IF(OR(AND(J168&lt;&gt;"",NOT(ISNUMBER(J168))),IFERROR(MOD(J168,1),1)&gt;0,AND(ISNUMBER(J168),OR(J168&lt;50,J168&gt;20000000))),"Введите целое число от 50 до 20000000",IF(NOT(ABS(IFERROR(VALUE(LEFT(M168,FIND("-",M168)-1)),M168)*100-(5000+2000000000)/2)&lt;=ABS(5000-2000000000)/2),"Цена со скидкой должна быть от 50 до 20000000",IF(IFERROR(VALUE(LEFT(M168,FIND("-",M168)-1)),M168)*200&lt;30000,"Вы уменьшили цену в несколько раз, товар попадет в карантин цен","")))),"")</f>
      </c>
    </row>
    <row r="169">
      <c r="A169" s="2" t="inlineStr">
        <is>
          <t/>
        </is>
      </c>
      <c r="B169" s="2" t="inlineStr">
        <is>
          <t>Подарочные коробки</t>
        </is>
      </c>
      <c r="C169" s="2">
        <v>230661145</v>
      </c>
      <c r="D169" s="2" t="inlineStr">
        <is>
          <t>Box-Kraft-20-12-5</t>
        </is>
      </c>
      <c r="E169" s="2" t="inlineStr">
        <is>
          <t>2039976178329</t>
        </is>
      </c>
      <c r="F169" s="2">
        <v>0</v>
      </c>
      <c r="G169" s="2">
        <v>0</v>
      </c>
      <c r="H169" s="2" t="inlineStr">
        <is>
          <t/>
        </is>
      </c>
      <c r="I169" s="2" t="inlineStr">
        <is>
          <t>440</t>
        </is>
      </c>
      <c r="J169" s="4"/>
      <c r="K169" s="2">
        <v>10</v>
      </c>
      <c r="L169" s="6"/>
      <c r="M169" s="2" t="str">
        <f>IF(J169="",ROUND(I169*(1-IF(ISBLANK(L169),K169,L169)/100),2),ROUND(J169*(1-IF(ISBLANK(L169),K169,L169)/100),2))</f>
      </c>
      <c r="N169" s="7" t="str">
        <f>IF(NOT(AND(J169="",L169="")),IF(OR(AND(L169&lt;&gt;"",NOT(ISNUMBER(L169))),IFERROR(MOD(L169,1),1)&gt;0,AND(ISNUMBER(L169),OR(L169&lt;0,L169&gt;95))),"Введите целое число от 0 до 95",IF(OR(AND(J169&lt;&gt;"",NOT(ISNUMBER(J169))),IFERROR(MOD(J169,1),1)&gt;0,AND(ISNUMBER(J169),OR(J169&lt;50,J169&gt;20000000))),"Введите целое число от 50 до 20000000",IF(NOT(ABS(IFERROR(VALUE(LEFT(M169,FIND("-",M169)-1)),M169)*100-(5000+2000000000)/2)&lt;=ABS(5000-2000000000)/2),"Цена со скидкой должна быть от 50 до 20000000",IF(IFERROR(VALUE(LEFT(M169,FIND("-",M169)-1)),M169)*180&lt;39600,"Вы уменьшили цену в несколько раз, товар попадет в карантин цен","")))),"")</f>
      </c>
    </row>
    <row r="170">
      <c r="A170" s="2" t="inlineStr">
        <is>
          <t>CuteShop</t>
        </is>
      </c>
      <c r="B170" s="2" t="inlineStr">
        <is>
          <t>Закладки</t>
        </is>
      </c>
      <c r="C170" s="2">
        <v>229035280</v>
      </c>
      <c r="D170" s="2" t="inlineStr">
        <is>
          <t>Zakl-Zol2-5</t>
        </is>
      </c>
      <c r="E170" s="2" t="inlineStr">
        <is>
          <t>2039929855390</t>
        </is>
      </c>
      <c r="F170" s="2">
        <v>0</v>
      </c>
      <c r="G170" s="2">
        <v>0</v>
      </c>
      <c r="H170" s="2" t="inlineStr">
        <is>
          <t/>
        </is>
      </c>
      <c r="I170" s="2" t="inlineStr">
        <is>
          <t>300</t>
        </is>
      </c>
      <c r="J170" s="4"/>
      <c r="K170" s="2">
        <v>0</v>
      </c>
      <c r="L170" s="6"/>
      <c r="M170" s="2" t="str">
        <f>IF(J170="",ROUND(I170*(1-IF(ISBLANK(L170),K170,L170)/100),2),ROUND(J170*(1-IF(ISBLANK(L170),K170,L170)/100),2))</f>
      </c>
      <c r="N170" s="7" t="str">
        <f>IF(NOT(AND(J170="",L170="")),IF(OR(AND(L170&lt;&gt;"",NOT(ISNUMBER(L170))),IFERROR(MOD(L170,1),1)&gt;0,AND(ISNUMBER(L170),OR(L170&lt;0,L170&gt;95))),"Введите целое число от 0 до 95",IF(OR(AND(J170&lt;&gt;"",NOT(ISNUMBER(J170))),IFERROR(MOD(J170,1),1)&gt;0,AND(ISNUMBER(J170),OR(J170&lt;50,J170&gt;20000000))),"Введите целое число от 50 до 20000000",IF(NOT(ABS(IFERROR(VALUE(LEFT(M170,FIND("-",M170)-1)),M170)*100-(5000+2000000000)/2)&lt;=ABS(5000-2000000000)/2),"Цена со скидкой должна быть от 50 до 20000000",IF(IFERROR(VALUE(LEFT(M170,FIND("-",M170)-1)),M170)*200&lt;30000,"Вы уменьшили цену в несколько раз, товар попадет в карантин цен","")))),"")</f>
      </c>
    </row>
    <row r="171">
      <c r="A171" s="2" t="inlineStr">
        <is>
          <t>CuteShop</t>
        </is>
      </c>
      <c r="B171" s="2" t="inlineStr">
        <is>
          <t>Закладки</t>
        </is>
      </c>
      <c r="C171" s="2">
        <v>229035278</v>
      </c>
      <c r="D171" s="2" t="inlineStr">
        <is>
          <t>Zakl-Ser-6</t>
        </is>
      </c>
      <c r="E171" s="2" t="inlineStr">
        <is>
          <t>2039929834579</t>
        </is>
      </c>
      <c r="F171" s="2">
        <v>0</v>
      </c>
      <c r="G171" s="2">
        <v>0</v>
      </c>
      <c r="H171" s="2" t="inlineStr">
        <is>
          <t/>
        </is>
      </c>
      <c r="I171" s="2" t="inlineStr">
        <is>
          <t>300</t>
        </is>
      </c>
      <c r="J171" s="4"/>
      <c r="K171" s="2">
        <v>0</v>
      </c>
      <c r="L171" s="6"/>
      <c r="M171" s="2" t="str">
        <f>IF(J171="",ROUND(I171*(1-IF(ISBLANK(L171),K171,L171)/100),2),ROUND(J171*(1-IF(ISBLANK(L171),K171,L171)/100),2))</f>
      </c>
      <c r="N171" s="7" t="str">
        <f>IF(NOT(AND(J171="",L171="")),IF(OR(AND(L171&lt;&gt;"",NOT(ISNUMBER(L171))),IFERROR(MOD(L171,1),1)&gt;0,AND(ISNUMBER(L171),OR(L171&lt;0,L171&gt;95))),"Введите целое число от 0 до 95",IF(OR(AND(J171&lt;&gt;"",NOT(ISNUMBER(J171))),IFERROR(MOD(J171,1),1)&gt;0,AND(ISNUMBER(J171),OR(J171&lt;50,J171&gt;20000000))),"Введите целое число от 50 до 20000000",IF(NOT(ABS(IFERROR(VALUE(LEFT(M171,FIND("-",M171)-1)),M171)*100-(5000+2000000000)/2)&lt;=ABS(5000-2000000000)/2),"Цена со скидкой должна быть от 50 до 20000000",IF(IFERROR(VALUE(LEFT(M171,FIND("-",M171)-1)),M171)*200&lt;30000,"Вы уменьшили цену в несколько раз, товар попадет в карантин цен","")))),"")</f>
      </c>
    </row>
    <row r="172">
      <c r="A172" s="2" t="inlineStr">
        <is>
          <t>CuteShop</t>
        </is>
      </c>
      <c r="B172" s="2" t="inlineStr">
        <is>
          <t>Подарочные пакеты</t>
        </is>
      </c>
      <c r="C172" s="2">
        <v>180625882</v>
      </c>
      <c r="D172" s="2" t="inlineStr">
        <is>
          <t>Paketik-LL-Korea-10*10-50</t>
        </is>
      </c>
      <c r="E172" s="2" t="inlineStr">
        <is>
          <t>2038741772830</t>
        </is>
      </c>
      <c r="F172" s="2">
        <v>0</v>
      </c>
      <c r="G172" s="2">
        <v>2</v>
      </c>
      <c r="H172" s="2" t="inlineStr">
        <is>
          <t/>
        </is>
      </c>
      <c r="I172" s="2" t="inlineStr">
        <is>
          <t>301</t>
        </is>
      </c>
      <c r="J172" s="4"/>
      <c r="K172" s="2">
        <v>10</v>
      </c>
      <c r="L172" s="6"/>
      <c r="M172" s="2" t="str">
        <f>IF(J172="",ROUND(I172*(1-IF(ISBLANK(L172),K172,L172)/100),2),ROUND(J172*(1-IF(ISBLANK(L172),K172,L172)/100),2))</f>
      </c>
      <c r="N172" s="7" t="str">
        <f>IF(NOT(AND(J172="",L172="")),IF(OR(AND(L172&lt;&gt;"",NOT(ISNUMBER(L172))),IFERROR(MOD(L172,1),1)&gt;0,AND(ISNUMBER(L172),OR(L172&lt;0,L172&gt;95))),"Введите целое число от 0 до 95",IF(OR(AND(J172&lt;&gt;"",NOT(ISNUMBER(J172))),IFERROR(MOD(J172,1),1)&gt;0,AND(ISNUMBER(J172),OR(J172&lt;50,J172&gt;20000000))),"Введите целое число от 50 до 20000000",IF(NOT(ABS(IFERROR(VALUE(LEFT(M172,FIND("-",M172)-1)),M172)*100-(5000+2000000000)/2)&lt;=ABS(5000-2000000000)/2),"Цена со скидкой должна быть от 50 до 20000000",IF(IFERROR(VALUE(LEFT(M172,FIND("-",M172)-1)),M172)*180&lt;27090,"Вы уменьшили цену в несколько раз, товар попадет в карантин цен","")))),"")</f>
      </c>
    </row>
    <row r="173">
      <c r="A173" s="2" t="inlineStr">
        <is>
          <t>SANGSIN / HI-Q</t>
        </is>
      </c>
      <c r="B173" s="2" t="inlineStr">
        <is>
          <t>Колодки автомобильные</t>
        </is>
      </c>
      <c r="C173" s="2">
        <v>393870675</v>
      </c>
      <c r="D173" s="2" t="inlineStr">
        <is>
          <t>RIR-SP2590</t>
        </is>
      </c>
      <c r="E173" s="2" t="inlineStr">
        <is>
          <t>2043713294401</t>
        </is>
      </c>
      <c r="F173" s="2">
        <v>0</v>
      </c>
      <c r="G173" s="2">
        <v>1</v>
      </c>
      <c r="H173" s="2" t="inlineStr">
        <is>
          <t/>
        </is>
      </c>
      <c r="I173" s="2" t="inlineStr">
        <is>
          <t>2600</t>
        </is>
      </c>
      <c r="J173" s="4"/>
      <c r="K173" s="2">
        <v>19</v>
      </c>
      <c r="L173" s="6"/>
      <c r="M173" s="2" t="str">
        <f>IF(J173="",ROUND(I173*(1-IF(ISBLANK(L173),K173,L173)/100),2),ROUND(J173*(1-IF(ISBLANK(L173),K173,L173)/100),2))</f>
      </c>
      <c r="N173" s="7" t="str">
        <f>IF(NOT(AND(J173="",L173="")),IF(OR(AND(L173&lt;&gt;"",NOT(ISNUMBER(L173))),IFERROR(MOD(L173,1),1)&gt;0,AND(ISNUMBER(L173),OR(L173&lt;0,L173&gt;95))),"Введите целое число от 0 до 95",IF(OR(AND(J173&lt;&gt;"",NOT(ISNUMBER(J173))),IFERROR(MOD(J173,1),1)&gt;0,AND(ISNUMBER(J173),OR(J173&lt;50,J173&gt;20000000))),"Введите целое число от 50 до 20000000",IF(NOT(ABS(IFERROR(VALUE(LEFT(M173,FIND("-",M173)-1)),M173)*100-(5000+2000000000)/2)&lt;=ABS(5000-2000000000)/2),"Цена со скидкой должна быть от 50 до 20000000",IF(IFERROR(VALUE(LEFT(M173,FIND("-",M173)-1)),M173)*210&lt;210600,"Вы уменьшили цену в несколько раз, товар попадет в карантин цен","")))),"")</f>
      </c>
    </row>
    <row r="174">
      <c r="A174" s="2" t="inlineStr">
        <is>
          <t>CuteShop</t>
        </is>
      </c>
      <c r="B174" s="2" t="inlineStr">
        <is>
          <t>Подарочные пакеты</t>
        </is>
      </c>
      <c r="C174" s="2">
        <v>270931679</v>
      </c>
      <c r="D174" s="2" t="inlineStr">
        <is>
          <t>pak-pol-zmeyka2-30</t>
        </is>
      </c>
      <c r="E174" s="2" t="inlineStr">
        <is>
          <t>2041464711451</t>
        </is>
      </c>
      <c r="F174" s="2">
        <v>0</v>
      </c>
      <c r="G174" s="2">
        <v>0</v>
      </c>
      <c r="H174" s="2" t="inlineStr">
        <is>
          <t/>
        </is>
      </c>
      <c r="I174" s="2" t="inlineStr">
        <is>
          <t>390</t>
        </is>
      </c>
      <c r="J174" s="4"/>
      <c r="K174" s="2">
        <v>0</v>
      </c>
      <c r="L174" s="6"/>
      <c r="M174" s="2" t="str">
        <f>IF(J174="",ROUND(I174*(1-IF(ISBLANK(L174),K174,L174)/100),2),ROUND(J174*(1-IF(ISBLANK(L174),K174,L174)/100),2))</f>
      </c>
      <c r="N174" s="7" t="str">
        <f>IF(NOT(AND(J174="",L174="")),IF(OR(AND(L174&lt;&gt;"",NOT(ISNUMBER(L174))),IFERROR(MOD(L174,1),1)&gt;0,AND(ISNUMBER(L174),OR(L174&lt;0,L174&gt;95))),"Введите целое число от 0 до 95",IF(OR(AND(J174&lt;&gt;"",NOT(ISNUMBER(J174))),IFERROR(MOD(J174,1),1)&gt;0,AND(ISNUMBER(J174),OR(J174&lt;50,J174&gt;20000000))),"Введите целое число от 50 до 20000000",IF(NOT(ABS(IFERROR(VALUE(LEFT(M174,FIND("-",M174)-1)),M174)*100-(5000+2000000000)/2)&lt;=ABS(5000-2000000000)/2),"Цена со скидкой должна быть от 50 до 20000000",IF(IFERROR(VALUE(LEFT(M174,FIND("-",M174)-1)),M174)*180&lt;39000,"Вы уменьшили цену в несколько раз, товар попадет в карантин цен","")))),"")</f>
      </c>
    </row>
    <row r="175">
      <c r="A175" s="2" t="inlineStr">
        <is>
          <t/>
        </is>
      </c>
      <c r="B175" s="2" t="inlineStr">
        <is>
          <t>Подарочные коробки</t>
        </is>
      </c>
      <c r="C175" s="2">
        <v>187551161</v>
      </c>
      <c r="D175" s="2" t="inlineStr">
        <is>
          <t>PVCBel-9-9x10</t>
        </is>
      </c>
      <c r="E175" s="2" t="inlineStr">
        <is>
          <t>2038913325406</t>
        </is>
      </c>
      <c r="F175" s="2">
        <v>0</v>
      </c>
      <c r="G175" s="2">
        <v>0</v>
      </c>
      <c r="H175" s="2" t="inlineStr">
        <is>
          <t/>
        </is>
      </c>
      <c r="I175" s="2" t="inlineStr">
        <is>
          <t>540</t>
        </is>
      </c>
      <c r="J175" s="4"/>
      <c r="K175" s="2">
        <v>0</v>
      </c>
      <c r="L175" s="6"/>
      <c r="M175" s="2" t="str">
        <f>IF(J175="",ROUND(I175*(1-IF(ISBLANK(L175),K175,L175)/100),2),ROUND(J175*(1-IF(ISBLANK(L175),K175,L175)/100),2))</f>
      </c>
      <c r="N175" s="7" t="str">
        <f>IF(NOT(AND(J175="",L175="")),IF(OR(AND(L175&lt;&gt;"",NOT(ISNUMBER(L175))),IFERROR(MOD(L175,1),1)&gt;0,AND(ISNUMBER(L175),OR(L175&lt;0,L175&gt;95))),"Введите целое число от 0 до 95",IF(OR(AND(J175&lt;&gt;"",NOT(ISNUMBER(J175))),IFERROR(MOD(J175,1),1)&gt;0,AND(ISNUMBER(J175),OR(J175&lt;50,J175&gt;20000000))),"Введите целое число от 50 до 20000000",IF(NOT(ABS(IFERROR(VALUE(LEFT(M175,FIND("-",M175)-1)),M175)*100-(5000+2000000000)/2)&lt;=ABS(5000-2000000000)/2),"Цена со скидкой должна быть от 50 до 20000000",IF(IFERROR(VALUE(LEFT(M175,FIND("-",M175)-1)),M175)*180&lt;54000,"Вы уменьшили цену в несколько раз, товар попадет в карантин цен","")))),"")</f>
      </c>
    </row>
    <row r="176">
      <c r="A176" s="2" t="inlineStr">
        <is>
          <t>Masuma</t>
        </is>
      </c>
      <c r="B176" s="2" t="inlineStr">
        <is>
          <t>Колодки автомобильные</t>
        </is>
      </c>
      <c r="C176" s="2">
        <v>200540450</v>
      </c>
      <c r="D176" s="2" t="inlineStr">
        <is>
          <t>RIR-MSC2016</t>
        </is>
      </c>
      <c r="E176" s="2" t="inlineStr">
        <is>
          <t>2039317495641</t>
        </is>
      </c>
      <c r="F176" s="2">
        <v>0</v>
      </c>
      <c r="G176" s="2">
        <v>0</v>
      </c>
      <c r="H176" s="2" t="inlineStr">
        <is>
          <t/>
        </is>
      </c>
      <c r="I176" s="2" t="inlineStr">
        <is>
          <t>2800</t>
        </is>
      </c>
      <c r="J176" s="4"/>
      <c r="K176" s="2">
        <v>0</v>
      </c>
      <c r="L176" s="6"/>
      <c r="M176" s="2" t="str">
        <f>IF(J176="",ROUND(I176*(1-IF(ISBLANK(L176),K176,L176)/100),2),ROUND(J176*(1-IF(ISBLANK(L176),K176,L176)/100),2))</f>
      </c>
      <c r="N176" s="7" t="str">
        <f>IF(NOT(AND(J176="",L176="")),IF(OR(AND(L176&lt;&gt;"",NOT(ISNUMBER(L176))),IFERROR(MOD(L176,1),1)&gt;0,AND(ISNUMBER(L176),OR(L176&lt;0,L176&gt;95))),"Введите целое число от 0 до 95",IF(OR(AND(J176&lt;&gt;"",NOT(ISNUMBER(J176))),IFERROR(MOD(J176,1),1)&gt;0,AND(ISNUMBER(J176),OR(J176&lt;50,J176&gt;20000000))),"Введите целое число от 50 до 20000000",IF(NOT(ABS(IFERROR(VALUE(LEFT(M176,FIND("-",M176)-1)),M176)*100-(5000+2000000000)/2)&lt;=ABS(5000-2000000000)/2),"Цена со скидкой должна быть от 50 до 20000000",IF(IFERROR(VALUE(LEFT(M176,FIND("-",M176)-1)),M176)*210&lt;280000,"Вы уменьшили цену в несколько раз, товар попадет в карантин цен","")))),"")</f>
      </c>
    </row>
    <row r="177">
      <c r="A177" s="2" t="inlineStr">
        <is>
          <t>CuteShop</t>
        </is>
      </c>
      <c r="B177" s="2" t="inlineStr">
        <is>
          <t>Подарочные коробки</t>
        </is>
      </c>
      <c r="C177" s="2">
        <v>219967403</v>
      </c>
      <c r="D177" s="2" t="inlineStr">
        <is>
          <t>Box-DT-20-18-2</t>
        </is>
      </c>
      <c r="E177" s="2" t="inlineStr">
        <is>
          <t>2039729096849</t>
        </is>
      </c>
      <c r="F177" s="2">
        <v>0</v>
      </c>
      <c r="G177" s="2">
        <v>1</v>
      </c>
      <c r="H177" s="2" t="inlineStr">
        <is>
          <t/>
        </is>
      </c>
      <c r="I177" s="2" t="inlineStr">
        <is>
          <t>300</t>
        </is>
      </c>
      <c r="J177" s="4"/>
      <c r="K177" s="2">
        <v>10</v>
      </c>
      <c r="L177" s="6"/>
      <c r="M177" s="2" t="str">
        <f>IF(J177="",ROUND(I177*(1-IF(ISBLANK(L177),K177,L177)/100),2),ROUND(J177*(1-IF(ISBLANK(L177),K177,L177)/100),2))</f>
      </c>
      <c r="N177" s="7" t="str">
        <f>IF(NOT(AND(J177="",L177="")),IF(OR(AND(L177&lt;&gt;"",NOT(ISNUMBER(L177))),IFERROR(MOD(L177,1),1)&gt;0,AND(ISNUMBER(L177),OR(L177&lt;0,L177&gt;95))),"Введите целое число от 0 до 95",IF(OR(AND(J177&lt;&gt;"",NOT(ISNUMBER(J177))),IFERROR(MOD(J177,1),1)&gt;0,AND(ISNUMBER(J177),OR(J177&lt;50,J177&gt;20000000))),"Введите целое число от 50 до 20000000",IF(NOT(ABS(IFERROR(VALUE(LEFT(M177,FIND("-",M177)-1)),M177)*100-(5000+2000000000)/2)&lt;=ABS(5000-2000000000)/2),"Цена со скидкой должна быть от 50 до 20000000",IF(IFERROR(VALUE(LEFT(M177,FIND("-",M177)-1)),M177)*180&lt;27000,"Вы уменьшили цену в несколько раз, товар попадет в карантин цен","")))),"")</f>
      </c>
    </row>
    <row r="178">
      <c r="A178" s="2" t="inlineStr">
        <is>
          <t/>
        </is>
      </c>
      <c r="B178" s="2" t="inlineStr">
        <is>
          <t>Подарочные коробки</t>
        </is>
      </c>
      <c r="C178" s="2">
        <v>271010121</v>
      </c>
      <c r="D178" s="2" t="inlineStr">
        <is>
          <t>Kraft-17-7-10</t>
        </is>
      </c>
      <c r="E178" s="2" t="inlineStr">
        <is>
          <t>2041465913281</t>
        </is>
      </c>
      <c r="F178" s="2">
        <v>0</v>
      </c>
      <c r="G178" s="2">
        <v>0</v>
      </c>
      <c r="H178" s="2" t="inlineStr">
        <is>
          <t/>
        </is>
      </c>
      <c r="I178" s="2" t="inlineStr">
        <is>
          <t>360</t>
        </is>
      </c>
      <c r="J178" s="4"/>
      <c r="K178" s="2">
        <v>0</v>
      </c>
      <c r="L178" s="6"/>
      <c r="M178" s="2" t="str">
        <f>IF(J178="",ROUND(I178*(1-IF(ISBLANK(L178),K178,L178)/100),2),ROUND(J178*(1-IF(ISBLANK(L178),K178,L178)/100),2))</f>
      </c>
      <c r="N178" s="7" t="str">
        <f>IF(NOT(AND(J178="",L178="")),IF(OR(AND(L178&lt;&gt;"",NOT(ISNUMBER(L178))),IFERROR(MOD(L178,1),1)&gt;0,AND(ISNUMBER(L178),OR(L178&lt;0,L178&gt;95))),"Введите целое число от 0 до 95",IF(OR(AND(J178&lt;&gt;"",NOT(ISNUMBER(J178))),IFERROR(MOD(J178,1),1)&gt;0,AND(ISNUMBER(J178),OR(J178&lt;50,J178&gt;20000000))),"Введите целое число от 50 до 20000000",IF(NOT(ABS(IFERROR(VALUE(LEFT(M178,FIND("-",M178)-1)),M178)*100-(5000+2000000000)/2)&lt;=ABS(5000-2000000000)/2),"Цена со скидкой должна быть от 50 до 20000000",IF(IFERROR(VALUE(LEFT(M178,FIND("-",M178)-1)),M178)*180&lt;36000,"Вы уменьшили цену в несколько раз, товар попадет в карантин цен","")))),"")</f>
      </c>
    </row>
    <row r="179">
      <c r="A179" s="2" t="inlineStr">
        <is>
          <t>NGK</t>
        </is>
      </c>
      <c r="B179" s="2" t="inlineStr">
        <is>
          <t>Свечи зажигания</t>
        </is>
      </c>
      <c r="C179" s="2">
        <v>237301089</v>
      </c>
      <c r="D179" s="2" t="inlineStr">
        <is>
          <t>RIR-LZKR6B-10Ex4-Jap</t>
        </is>
      </c>
      <c r="E179" s="2" t="inlineStr">
        <is>
          <t>2040361475930</t>
        </is>
      </c>
      <c r="F179" s="2">
        <v>0</v>
      </c>
      <c r="G179" s="2">
        <v>1</v>
      </c>
      <c r="H179" s="2">
        <v>1</v>
      </c>
      <c r="I179" s="2" t="inlineStr">
        <is>
          <t>1600</t>
        </is>
      </c>
      <c r="J179" s="4"/>
      <c r="K179" s="2">
        <v>7</v>
      </c>
      <c r="L179" s="6"/>
      <c r="M179" s="2" t="str">
        <f>IF(J179="",ROUND(I179*(1-IF(ISBLANK(L179),K179,L179)/100),2),ROUND(J179*(1-IF(ISBLANK(L179),K179,L179)/100),2))</f>
      </c>
      <c r="N179" s="7" t="str">
        <f>IF(NOT(AND(J179="",L179="")),IF(OR(AND(L179&lt;&gt;"",NOT(ISNUMBER(L179))),IFERROR(MOD(L179,1),1)&gt;0,AND(ISNUMBER(L179),OR(L179&lt;0,L179&gt;95))),"Введите целое число от 0 до 95",IF(OR(AND(J179&lt;&gt;"",NOT(ISNUMBER(J179))),IFERROR(MOD(J179,1),1)&gt;0,AND(ISNUMBER(J179),OR(J179&lt;50,J179&gt;20000000))),"Введите целое число от 50 до 20000000",IF(NOT(ABS(IFERROR(VALUE(LEFT(M179,FIND("-",M179)-1)),M179)*100-(5000+2000000000)/2)&lt;=ABS(5000-2000000000)/2),"Цена со скидкой должна быть от 50 до 20000000",IF(IFERROR(VALUE(LEFT(M179,FIND("-",M179)-1)),M179)*210&lt;148800,"Вы уменьшили цену в несколько раз, товар попадет в карантин цен","")))),"")</f>
      </c>
    </row>
    <row r="180">
      <c r="A180" s="2" t="inlineStr">
        <is>
          <t>CuteShop</t>
        </is>
      </c>
      <c r="B180" s="2" t="inlineStr">
        <is>
          <t>Подарочные коробки</t>
        </is>
      </c>
      <c r="C180" s="2">
        <v>187762365</v>
      </c>
      <c r="D180" s="2" t="inlineStr">
        <is>
          <t>Kor-115-115-ZelKrug-10</t>
        </is>
      </c>
      <c r="E180" s="2" t="inlineStr">
        <is>
          <t>2038919591652</t>
        </is>
      </c>
      <c r="F180" s="2">
        <v>0</v>
      </c>
      <c r="G180" s="2">
        <v>0</v>
      </c>
      <c r="H180" s="2" t="inlineStr">
        <is>
          <t/>
        </is>
      </c>
      <c r="I180" s="2" t="inlineStr">
        <is>
          <t>520</t>
        </is>
      </c>
      <c r="J180" s="4"/>
      <c r="K180" s="2">
        <v>0</v>
      </c>
      <c r="L180" s="6"/>
      <c r="M180" s="2" t="str">
        <f>IF(J180="",ROUND(I180*(1-IF(ISBLANK(L180),K180,L180)/100),2),ROUND(J180*(1-IF(ISBLANK(L180),K180,L180)/100),2))</f>
      </c>
      <c r="N180" s="7" t="str">
        <f>IF(NOT(AND(J180="",L180="")),IF(OR(AND(L180&lt;&gt;"",NOT(ISNUMBER(L180))),IFERROR(MOD(L180,1),1)&gt;0,AND(ISNUMBER(L180),OR(L180&lt;0,L180&gt;95))),"Введите целое число от 0 до 95",IF(OR(AND(J180&lt;&gt;"",NOT(ISNUMBER(J180))),IFERROR(MOD(J180,1),1)&gt;0,AND(ISNUMBER(J180),OR(J180&lt;50,J180&gt;20000000))),"Введите целое число от 50 до 20000000",IF(NOT(ABS(IFERROR(VALUE(LEFT(M180,FIND("-",M180)-1)),M180)*100-(5000+2000000000)/2)&lt;=ABS(5000-2000000000)/2),"Цена со скидкой должна быть от 50 до 20000000",IF(IFERROR(VALUE(LEFT(M180,FIND("-",M180)-1)),M180)*180&lt;52000,"Вы уменьшили цену в несколько раз, товар попадет в карантин цен","")))),"")</f>
      </c>
    </row>
    <row r="181">
      <c r="A181" s="2" t="inlineStr">
        <is>
          <t>CuteShop</t>
        </is>
      </c>
      <c r="B181" s="2" t="inlineStr">
        <is>
          <t>Подарочные коробки</t>
        </is>
      </c>
      <c r="C181" s="2">
        <v>135223773</v>
      </c>
      <c r="D181" s="2" t="inlineStr">
        <is>
          <t>Kor-103-103-Bel-10</t>
        </is>
      </c>
      <c r="E181" s="2" t="inlineStr">
        <is>
          <t>2037101083982</t>
        </is>
      </c>
      <c r="F181" s="2">
        <v>0</v>
      </c>
      <c r="G181" s="2">
        <v>0</v>
      </c>
      <c r="H181" s="2">
        <v>0</v>
      </c>
      <c r="I181" s="2" t="inlineStr">
        <is>
          <t>380</t>
        </is>
      </c>
      <c r="J181" s="4"/>
      <c r="K181" s="2">
        <v>0</v>
      </c>
      <c r="L181" s="6"/>
      <c r="M181" s="2" t="str">
        <f>IF(J181="",ROUND(I181*(1-IF(ISBLANK(L181),K181,L181)/100),2),ROUND(J181*(1-IF(ISBLANK(L181),K181,L181)/100),2))</f>
      </c>
      <c r="N181" s="7" t="str">
        <f>IF(NOT(AND(J181="",L181="")),IF(OR(AND(L181&lt;&gt;"",NOT(ISNUMBER(L181))),IFERROR(MOD(L181,1),1)&gt;0,AND(ISNUMBER(L181),OR(L181&lt;0,L181&gt;95))),"Введите целое число от 0 до 95",IF(OR(AND(J181&lt;&gt;"",NOT(ISNUMBER(J181))),IFERROR(MOD(J181,1),1)&gt;0,AND(ISNUMBER(J181),OR(J181&lt;50,J181&gt;20000000))),"Введите целое число от 50 до 20000000",IF(NOT(ABS(IFERROR(VALUE(LEFT(M181,FIND("-",M181)-1)),M181)*100-(5000+2000000000)/2)&lt;=ABS(5000-2000000000)/2),"Цена со скидкой должна быть от 50 до 20000000",IF(IFERROR(VALUE(LEFT(M181,FIND("-",M181)-1)),M181)*180&lt;38000,"Вы уменьшили цену в несколько раз, товар попадет в карантин цен","")))),"")</f>
      </c>
    </row>
    <row r="182">
      <c r="A182" s="2" t="inlineStr">
        <is>
          <t>SLON</t>
        </is>
      </c>
      <c r="B182" s="2" t="inlineStr">
        <is>
          <t>Провода высоковольтные</t>
        </is>
      </c>
      <c r="C182" s="2">
        <v>149920908</v>
      </c>
      <c r="D182" s="2" t="inlineStr">
        <is>
          <t>RIR-SLN001</t>
        </is>
      </c>
      <c r="E182" s="2" t="inlineStr">
        <is>
          <t>2037557949580</t>
        </is>
      </c>
      <c r="F182" s="2">
        <v>0</v>
      </c>
      <c r="G182" s="2">
        <v>0</v>
      </c>
      <c r="H182" s="2">
        <v>0</v>
      </c>
      <c r="I182" s="2" t="inlineStr">
        <is>
          <t>1280</t>
        </is>
      </c>
      <c r="J182" s="4"/>
      <c r="K182" s="2">
        <v>0</v>
      </c>
      <c r="L182" s="6"/>
      <c r="M182" s="2" t="str">
        <f>IF(J182="",ROUND(I182*(1-IF(ISBLANK(L182),K182,L182)/100),2),ROUND(J182*(1-IF(ISBLANK(L182),K182,L182)/100),2))</f>
      </c>
      <c r="N182" s="7" t="str">
        <f>IF(NOT(AND(J182="",L182="")),IF(OR(AND(L182&lt;&gt;"",NOT(ISNUMBER(L182))),IFERROR(MOD(L182,1),1)&gt;0,AND(ISNUMBER(L182),OR(L182&lt;0,L182&gt;95))),"Введите целое число от 0 до 95",IF(OR(AND(J182&lt;&gt;"",NOT(ISNUMBER(J182))),IFERROR(MOD(J182,1),1)&gt;0,AND(ISNUMBER(J182),OR(J182&lt;50,J182&gt;20000000))),"Введите целое число от 50 до 20000000",IF(NOT(ABS(IFERROR(VALUE(LEFT(M182,FIND("-",M182)-1)),M182)*100-(5000+2000000000)/2)&lt;=ABS(5000-2000000000)/2),"Цена со скидкой должна быть от 50 до 20000000",IF(IFERROR(VALUE(LEFT(M182,FIND("-",M182)-1)),M182)*210&lt;128000,"Вы уменьшили цену в несколько раз, товар попадет в карантин цен","")))),"")</f>
      </c>
    </row>
    <row r="183">
      <c r="A183" s="2" t="inlineStr">
        <is>
          <t>Metaco</t>
        </is>
      </c>
      <c r="B183" s="2" t="inlineStr">
        <is>
          <t>Колодки автомобильные</t>
        </is>
      </c>
      <c r="C183" s="2">
        <v>226658819</v>
      </c>
      <c r="D183" s="2" t="inlineStr">
        <is>
          <t>RIR-3020044</t>
        </is>
      </c>
      <c r="E183" s="2" t="inlineStr">
        <is>
          <t>2039887071399</t>
        </is>
      </c>
      <c r="F183" s="2">
        <v>0</v>
      </c>
      <c r="G183" s="2">
        <v>0</v>
      </c>
      <c r="H183" s="2" t="inlineStr">
        <is>
          <t/>
        </is>
      </c>
      <c r="I183" s="2" t="inlineStr">
        <is>
          <t>1600</t>
        </is>
      </c>
      <c r="J183" s="4"/>
      <c r="K183" s="2">
        <v>0</v>
      </c>
      <c r="L183" s="6"/>
      <c r="M183" s="2" t="str">
        <f>IF(J183="",ROUND(I183*(1-IF(ISBLANK(L183),K183,L183)/100),2),ROUND(J183*(1-IF(ISBLANK(L183),K183,L183)/100),2))</f>
      </c>
      <c r="N183" s="7" t="str">
        <f>IF(NOT(AND(J183="",L183="")),IF(OR(AND(L183&lt;&gt;"",NOT(ISNUMBER(L183))),IFERROR(MOD(L183,1),1)&gt;0,AND(ISNUMBER(L183),OR(L183&lt;0,L183&gt;95))),"Введите целое число от 0 до 95",IF(OR(AND(J183&lt;&gt;"",NOT(ISNUMBER(J183))),IFERROR(MOD(J183,1),1)&gt;0,AND(ISNUMBER(J183),OR(J183&lt;50,J183&gt;20000000))),"Введите целое число от 50 до 20000000",IF(NOT(ABS(IFERROR(VALUE(LEFT(M183,FIND("-",M183)-1)),M183)*100-(5000+2000000000)/2)&lt;=ABS(5000-2000000000)/2),"Цена со скидкой должна быть от 50 до 20000000",IF(IFERROR(VALUE(LEFT(M183,FIND("-",M183)-1)),M183)*210&lt;160000,"Вы уменьшили цену в несколько раз, товар попадет в карантин цен","")))),"")</f>
      </c>
    </row>
    <row r="184">
      <c r="A184" s="2" t="inlineStr">
        <is>
          <t>MANDO</t>
        </is>
      </c>
      <c r="B184" s="2" t="inlineStr">
        <is>
          <t>Фильтры масляные</t>
        </is>
      </c>
      <c r="C184" s="2">
        <v>88727503</v>
      </c>
      <c r="D184" s="2" t="inlineStr">
        <is>
          <t>RIR-EEOD0003Y</t>
        </is>
      </c>
      <c r="E184" s="2" t="inlineStr">
        <is>
          <t>2035325014621</t>
        </is>
      </c>
      <c r="F184" s="2">
        <v>0</v>
      </c>
      <c r="G184" s="2">
        <v>1</v>
      </c>
      <c r="H184" s="2">
        <v>1</v>
      </c>
      <c r="I184" s="2" t="inlineStr">
        <is>
          <t>600</t>
        </is>
      </c>
      <c r="J184" s="4"/>
      <c r="K184" s="2">
        <v>2</v>
      </c>
      <c r="L184" s="6"/>
      <c r="M184" s="2" t="str">
        <f>IF(J184="",ROUND(I184*(1-IF(ISBLANK(L184),K184,L184)/100),2),ROUND(J184*(1-IF(ISBLANK(L184),K184,L184)/100),2))</f>
      </c>
      <c r="N184" s="7" t="str">
        <f>IF(NOT(AND(J184="",L184="")),IF(OR(AND(L184&lt;&gt;"",NOT(ISNUMBER(L184))),IFERROR(MOD(L184,1),1)&gt;0,AND(ISNUMBER(L184),OR(L184&lt;0,L184&gt;95))),"Введите целое число от 0 до 95",IF(OR(AND(J184&lt;&gt;"",NOT(ISNUMBER(J184))),IFERROR(MOD(J184,1),1)&gt;0,AND(ISNUMBER(J184),OR(J184&lt;50,J184&gt;20000000))),"Введите целое число от 50 до 20000000",IF(NOT(ABS(IFERROR(VALUE(LEFT(M184,FIND("-",M184)-1)),M184)*100-(5000+2000000000)/2)&lt;=ABS(5000-2000000000)/2),"Цена со скидкой должна быть от 50 до 20000000",IF(IFERROR(VALUE(LEFT(M184,FIND("-",M184)-1)),M184)*210&lt;58800,"Вы уменьшили цену в несколько раз, товар попадет в карантин цен","")))),"")</f>
      </c>
    </row>
    <row r="185">
      <c r="A185" s="2" t="inlineStr">
        <is>
          <t>CuteShop</t>
        </is>
      </c>
      <c r="B185" s="2" t="inlineStr">
        <is>
          <t>Подарочные коробки</t>
        </is>
      </c>
      <c r="C185" s="2">
        <v>140158770</v>
      </c>
      <c r="D185" s="2" t="inlineStr">
        <is>
          <t>Kor-115-115-KraftKrug-5</t>
        </is>
      </c>
      <c r="E185" s="2" t="inlineStr">
        <is>
          <t>2037292072536</t>
        </is>
      </c>
      <c r="F185" s="2">
        <v>0</v>
      </c>
      <c r="G185" s="2">
        <v>0</v>
      </c>
      <c r="H185" s="2">
        <v>1</v>
      </c>
      <c r="I185" s="2" t="inlineStr">
        <is>
          <t>370</t>
        </is>
      </c>
      <c r="J185" s="4"/>
      <c r="K185" s="2">
        <v>0</v>
      </c>
      <c r="L185" s="6"/>
      <c r="M185" s="2" t="str">
        <f>IF(J185="",ROUND(I185*(1-IF(ISBLANK(L185),K185,L185)/100),2),ROUND(J185*(1-IF(ISBLANK(L185),K185,L185)/100),2))</f>
      </c>
      <c r="N185" s="7" t="str">
        <f>IF(NOT(AND(J185="",L185="")),IF(OR(AND(L185&lt;&gt;"",NOT(ISNUMBER(L185))),IFERROR(MOD(L185,1),1)&gt;0,AND(ISNUMBER(L185),OR(L185&lt;0,L185&gt;95))),"Введите целое число от 0 до 95",IF(OR(AND(J185&lt;&gt;"",NOT(ISNUMBER(J185))),IFERROR(MOD(J185,1),1)&gt;0,AND(ISNUMBER(J185),OR(J185&lt;50,J185&gt;20000000))),"Введите целое число от 50 до 20000000",IF(NOT(ABS(IFERROR(VALUE(LEFT(M185,FIND("-",M185)-1)),M185)*100-(5000+2000000000)/2)&lt;=ABS(5000-2000000000)/2),"Цена со скидкой должна быть от 50 до 20000000",IF(IFERROR(VALUE(LEFT(M185,FIND("-",M185)-1)),M185)*180&lt;37000,"Вы уменьшили цену в несколько раз, товар попадет в карантин цен","")))),"")</f>
      </c>
    </row>
    <row r="186">
      <c r="A186" s="2" t="inlineStr">
        <is>
          <t>CuteShop</t>
        </is>
      </c>
      <c r="B186" s="2" t="inlineStr">
        <is>
          <t>Подарочные коробки</t>
        </is>
      </c>
      <c r="C186" s="2">
        <v>140158771</v>
      </c>
      <c r="D186" s="2" t="inlineStr">
        <is>
          <t>Kor-115-115-KraftKrug-10</t>
        </is>
      </c>
      <c r="E186" s="2" t="inlineStr">
        <is>
          <t>2037292071683</t>
        </is>
      </c>
      <c r="F186" s="2">
        <v>0</v>
      </c>
      <c r="G186" s="2">
        <v>0</v>
      </c>
      <c r="H186" s="2">
        <v>0</v>
      </c>
      <c r="I186" s="2" t="inlineStr">
        <is>
          <t>520</t>
        </is>
      </c>
      <c r="J186" s="4"/>
      <c r="K186" s="2">
        <v>0</v>
      </c>
      <c r="L186" s="6"/>
      <c r="M186" s="2" t="str">
        <f>IF(J186="",ROUND(I186*(1-IF(ISBLANK(L186),K186,L186)/100),2),ROUND(J186*(1-IF(ISBLANK(L186),K186,L186)/100),2))</f>
      </c>
      <c r="N186" s="7" t="str">
        <f>IF(NOT(AND(J186="",L186="")),IF(OR(AND(L186&lt;&gt;"",NOT(ISNUMBER(L186))),IFERROR(MOD(L186,1),1)&gt;0,AND(ISNUMBER(L186),OR(L186&lt;0,L186&gt;95))),"Введите целое число от 0 до 95",IF(OR(AND(J186&lt;&gt;"",NOT(ISNUMBER(J186))),IFERROR(MOD(J186,1),1)&gt;0,AND(ISNUMBER(J186),OR(J186&lt;50,J186&gt;20000000))),"Введите целое число от 50 до 20000000",IF(NOT(ABS(IFERROR(VALUE(LEFT(M186,FIND("-",M186)-1)),M186)*100-(5000+2000000000)/2)&lt;=ABS(5000-2000000000)/2),"Цена со скидкой должна быть от 50 до 20000000",IF(IFERROR(VALUE(LEFT(M186,FIND("-",M186)-1)),M186)*180&lt;52000,"Вы уменьшили цену в несколько раз, товар попадет в карантин цен","")))),"")</f>
      </c>
    </row>
    <row r="187">
      <c r="A187" s="2" t="inlineStr">
        <is>
          <t>CuteShop</t>
        </is>
      </c>
      <c r="B187" s="2" t="inlineStr">
        <is>
          <t>Подарочные пакеты</t>
        </is>
      </c>
      <c r="C187" s="2">
        <v>219969510</v>
      </c>
      <c r="D187" s="2" t="inlineStr">
        <is>
          <t>pak-star-25-21</t>
        </is>
      </c>
      <c r="E187" s="2" t="inlineStr">
        <is>
          <t>2039729120889</t>
        </is>
      </c>
      <c r="F187" s="2">
        <v>0</v>
      </c>
      <c r="G187" s="2">
        <v>3</v>
      </c>
      <c r="H187" s="2" t="inlineStr">
        <is>
          <t/>
        </is>
      </c>
      <c r="I187" s="2" t="inlineStr">
        <is>
          <t>300</t>
        </is>
      </c>
      <c r="J187" s="4"/>
      <c r="K187" s="2">
        <v>10</v>
      </c>
      <c r="L187" s="6"/>
      <c r="M187" s="2" t="str">
        <f>IF(J187="",ROUND(I187*(1-IF(ISBLANK(L187),K187,L187)/100),2),ROUND(J187*(1-IF(ISBLANK(L187),K187,L187)/100),2))</f>
      </c>
      <c r="N187" s="7" t="str">
        <f>IF(NOT(AND(J187="",L187="")),IF(OR(AND(L187&lt;&gt;"",NOT(ISNUMBER(L187))),IFERROR(MOD(L187,1),1)&gt;0,AND(ISNUMBER(L187),OR(L187&lt;0,L187&gt;95))),"Введите целое число от 0 до 95",IF(OR(AND(J187&lt;&gt;"",NOT(ISNUMBER(J187))),IFERROR(MOD(J187,1),1)&gt;0,AND(ISNUMBER(J187),OR(J187&lt;50,J187&gt;20000000))),"Введите целое число от 50 до 20000000",IF(NOT(ABS(IFERROR(VALUE(LEFT(M187,FIND("-",M187)-1)),M187)*100-(5000+2000000000)/2)&lt;=ABS(5000-2000000000)/2),"Цена со скидкой должна быть от 50 до 20000000",IF(IFERROR(VALUE(LEFT(M187,FIND("-",M187)-1)),M187)*180&lt;27000,"Вы уменьшили цену в несколько раз, товар попадет в карантин цен","")))),"")</f>
      </c>
    </row>
    <row r="188">
      <c r="A188" s="2" t="inlineStr">
        <is>
          <t>SUN</t>
        </is>
      </c>
      <c r="B188" s="2" t="inlineStr">
        <is>
          <t>Ремни приводные</t>
        </is>
      </c>
      <c r="C188" s="2">
        <v>85978702</v>
      </c>
      <c r="D188" s="2" t="inlineStr">
        <is>
          <t>6PK2285</t>
        </is>
      </c>
      <c r="E188" s="2" t="inlineStr">
        <is>
          <t>2033698164806</t>
        </is>
      </c>
      <c r="F188" s="2">
        <v>0</v>
      </c>
      <c r="G188" s="2">
        <v>1</v>
      </c>
      <c r="H188" s="2">
        <v>0</v>
      </c>
      <c r="I188" s="2" t="inlineStr">
        <is>
          <t>1390</t>
        </is>
      </c>
      <c r="J188" s="4"/>
      <c r="K188" s="2">
        <v>0</v>
      </c>
      <c r="L188" s="6"/>
      <c r="M188" s="2" t="str">
        <f>IF(J188="",ROUND(I188*(1-IF(ISBLANK(L188),K188,L188)/100),2),ROUND(J188*(1-IF(ISBLANK(L188),K188,L188)/100),2))</f>
      </c>
      <c r="N188" s="7" t="str">
        <f>IF(NOT(AND(J188="",L188="")),IF(OR(AND(L188&lt;&gt;"",NOT(ISNUMBER(L188))),IFERROR(MOD(L188,1),1)&gt;0,AND(ISNUMBER(L188),OR(L188&lt;0,L188&gt;95))),"Введите целое число от 0 до 95",IF(OR(AND(J188&lt;&gt;"",NOT(ISNUMBER(J188))),IFERROR(MOD(J188,1),1)&gt;0,AND(ISNUMBER(J188),OR(J188&lt;50,J188&gt;20000000))),"Введите целое число от 50 до 20000000",IF(NOT(ABS(IFERROR(VALUE(LEFT(M188,FIND("-",M188)-1)),M188)*100-(5000+2000000000)/2)&lt;=ABS(5000-2000000000)/2),"Цена со скидкой должна быть от 50 до 20000000",IF(IFERROR(VALUE(LEFT(M188,FIND("-",M188)-1)),M188)*210&lt;139000,"Вы уменьшили цену в несколько раз, товар попадет в карантин цен","")))),"")</f>
      </c>
    </row>
    <row r="189">
      <c r="A189" s="2" t="inlineStr">
        <is>
          <t>CuteShop</t>
        </is>
      </c>
      <c r="B189" s="2" t="inlineStr">
        <is>
          <t>Подарочные пакеты</t>
        </is>
      </c>
      <c r="C189" s="2">
        <v>270930712</v>
      </c>
      <c r="D189" s="2" t="inlineStr">
        <is>
          <t>pak-pol-zmeyka1-20</t>
        </is>
      </c>
      <c r="E189" s="2" t="inlineStr">
        <is>
          <t>2041464688289</t>
        </is>
      </c>
      <c r="F189" s="2">
        <v>0</v>
      </c>
      <c r="G189" s="2">
        <v>0</v>
      </c>
      <c r="H189" s="2" t="inlineStr">
        <is>
          <t/>
        </is>
      </c>
      <c r="I189" s="2" t="inlineStr">
        <is>
          <t>301</t>
        </is>
      </c>
      <c r="J189" s="4"/>
      <c r="K189" s="2">
        <v>10</v>
      </c>
      <c r="L189" s="6"/>
      <c r="M189" s="2" t="str">
        <f>IF(J189="",ROUND(I189*(1-IF(ISBLANK(L189),K189,L189)/100),2),ROUND(J189*(1-IF(ISBLANK(L189),K189,L189)/100),2))</f>
      </c>
      <c r="N189" s="7" t="str">
        <f>IF(NOT(AND(J189="",L189="")),IF(OR(AND(L189&lt;&gt;"",NOT(ISNUMBER(L189))),IFERROR(MOD(L189,1),1)&gt;0,AND(ISNUMBER(L189),OR(L189&lt;0,L189&gt;95))),"Введите целое число от 0 до 95",IF(OR(AND(J189&lt;&gt;"",NOT(ISNUMBER(J189))),IFERROR(MOD(J189,1),1)&gt;0,AND(ISNUMBER(J189),OR(J189&lt;50,J189&gt;20000000))),"Введите целое число от 50 до 20000000",IF(NOT(ABS(IFERROR(VALUE(LEFT(M189,FIND("-",M189)-1)),M189)*100-(5000+2000000000)/2)&lt;=ABS(5000-2000000000)/2),"Цена со скидкой должна быть от 50 до 20000000",IF(IFERROR(VALUE(LEFT(M189,FIND("-",M189)-1)),M189)*180&lt;27090,"Вы уменьшили цену в несколько раз, товар попадет в карантин цен","")))),"")</f>
      </c>
    </row>
    <row r="190">
      <c r="A190" s="2" t="inlineStr">
        <is>
          <t/>
        </is>
      </c>
      <c r="B190" s="2" t="inlineStr">
        <is>
          <t>Подарочные коробки</t>
        </is>
      </c>
      <c r="C190" s="2">
        <v>190310180</v>
      </c>
      <c r="D190" s="2" t="inlineStr">
        <is>
          <t>Box-Bel-15-15-5</t>
        </is>
      </c>
      <c r="E190" s="2" t="inlineStr">
        <is>
          <t>2039005996207</t>
        </is>
      </c>
      <c r="F190" s="2">
        <v>0</v>
      </c>
      <c r="G190" s="2">
        <v>0</v>
      </c>
      <c r="H190" s="2" t="inlineStr">
        <is>
          <t/>
        </is>
      </c>
      <c r="I190" s="2" t="inlineStr">
        <is>
          <t>440</t>
        </is>
      </c>
      <c r="J190" s="4"/>
      <c r="K190" s="2">
        <v>0</v>
      </c>
      <c r="L190" s="6"/>
      <c r="M190" s="2" t="str">
        <f>IF(J190="",ROUND(I190*(1-IF(ISBLANK(L190),K190,L190)/100),2),ROUND(J190*(1-IF(ISBLANK(L190),K190,L190)/100),2))</f>
      </c>
      <c r="N190" s="7" t="str">
        <f>IF(NOT(AND(J190="",L190="")),IF(OR(AND(L190&lt;&gt;"",NOT(ISNUMBER(L190))),IFERROR(MOD(L190,1),1)&gt;0,AND(ISNUMBER(L190),OR(L190&lt;0,L190&gt;95))),"Введите целое число от 0 до 95",IF(OR(AND(J190&lt;&gt;"",NOT(ISNUMBER(J190))),IFERROR(MOD(J190,1),1)&gt;0,AND(ISNUMBER(J190),OR(J190&lt;50,J190&gt;20000000))),"Введите целое число от 50 до 20000000",IF(NOT(ABS(IFERROR(VALUE(LEFT(M190,FIND("-",M190)-1)),M190)*100-(5000+2000000000)/2)&lt;=ABS(5000-2000000000)/2),"Цена со скидкой должна быть от 50 до 20000000",IF(IFERROR(VALUE(LEFT(M190,FIND("-",M190)-1)),M190)*180&lt;44000,"Вы уменьшили цену в несколько раз, товар попадет в карантин цен","")))),"")</f>
      </c>
    </row>
    <row r="191">
      <c r="A191" s="2" t="inlineStr">
        <is>
          <t/>
        </is>
      </c>
      <c r="B191" s="2" t="inlineStr">
        <is>
          <t>Подарочные коробки</t>
        </is>
      </c>
      <c r="C191" s="2">
        <v>190309792</v>
      </c>
      <c r="D191" s="2" t="inlineStr">
        <is>
          <t>Box-Bel-20-12-5</t>
        </is>
      </c>
      <c r="E191" s="2" t="inlineStr">
        <is>
          <t>2039005966163</t>
        </is>
      </c>
      <c r="F191" s="2">
        <v>0</v>
      </c>
      <c r="G191" s="2">
        <v>0</v>
      </c>
      <c r="H191" s="2" t="inlineStr">
        <is>
          <t/>
        </is>
      </c>
      <c r="I191" s="2" t="inlineStr">
        <is>
          <t>450</t>
        </is>
      </c>
      <c r="J191" s="4"/>
      <c r="K191" s="2">
        <v>10</v>
      </c>
      <c r="L191" s="6"/>
      <c r="M191" s="2" t="str">
        <f>IF(J191="",ROUND(I191*(1-IF(ISBLANK(L191),K191,L191)/100),2),ROUND(J191*(1-IF(ISBLANK(L191),K191,L191)/100),2))</f>
      </c>
      <c r="N191" s="7" t="str">
        <f>IF(NOT(AND(J191="",L191="")),IF(OR(AND(L191&lt;&gt;"",NOT(ISNUMBER(L191))),IFERROR(MOD(L191,1),1)&gt;0,AND(ISNUMBER(L191),OR(L191&lt;0,L191&gt;95))),"Введите целое число от 0 до 95",IF(OR(AND(J191&lt;&gt;"",NOT(ISNUMBER(J191))),IFERROR(MOD(J191,1),1)&gt;0,AND(ISNUMBER(J191),OR(J191&lt;50,J191&gt;20000000))),"Введите целое число от 50 до 20000000",IF(NOT(ABS(IFERROR(VALUE(LEFT(M191,FIND("-",M191)-1)),M191)*100-(5000+2000000000)/2)&lt;=ABS(5000-2000000000)/2),"Цена со скидкой должна быть от 50 до 20000000",IF(IFERROR(VALUE(LEFT(M191,FIND("-",M191)-1)),M191)*180&lt;40500,"Вы уменьшили цену в несколько раз, товар попадет в карантин цен","")))),"")</f>
      </c>
    </row>
    <row r="192">
      <c r="A192" s="2" t="inlineStr">
        <is>
          <t>LYNXauto</t>
        </is>
      </c>
      <c r="B192" s="2" t="inlineStr">
        <is>
          <t>Фильтры масляные</t>
        </is>
      </c>
      <c r="C192" s="2">
        <v>161685940</v>
      </c>
      <c r="D192" s="2" t="inlineStr">
        <is>
          <t>RIR-LC1030</t>
        </is>
      </c>
      <c r="E192" s="2" t="inlineStr">
        <is>
          <t>2037857605346</t>
        </is>
      </c>
      <c r="F192" s="2">
        <v>0</v>
      </c>
      <c r="G192" s="2">
        <v>1</v>
      </c>
      <c r="H192" s="2">
        <v>0</v>
      </c>
      <c r="I192" s="2" t="inlineStr">
        <is>
          <t>570</t>
        </is>
      </c>
      <c r="J192" s="4"/>
      <c r="K192" s="2">
        <v>6</v>
      </c>
      <c r="L192" s="6"/>
      <c r="M192" s="2" t="str">
        <f>IF(J192="",ROUND(I192*(1-IF(ISBLANK(L192),K192,L192)/100),2),ROUND(J192*(1-IF(ISBLANK(L192),K192,L192)/100),2))</f>
      </c>
      <c r="N192" s="7" t="str">
        <f>IF(NOT(AND(J192="",L192="")),IF(OR(AND(L192&lt;&gt;"",NOT(ISNUMBER(L192))),IFERROR(MOD(L192,1),1)&gt;0,AND(ISNUMBER(L192),OR(L192&lt;0,L192&gt;95))),"Введите целое число от 0 до 95",IF(OR(AND(J192&lt;&gt;"",NOT(ISNUMBER(J192))),IFERROR(MOD(J192,1),1)&gt;0,AND(ISNUMBER(J192),OR(J192&lt;50,J192&gt;20000000))),"Введите целое число от 50 до 20000000",IF(NOT(ABS(IFERROR(VALUE(LEFT(M192,FIND("-",M192)-1)),M192)*100-(5000+2000000000)/2)&lt;=ABS(5000-2000000000)/2),"Цена со скидкой должна быть от 50 до 20000000",IF(IFERROR(VALUE(LEFT(M192,FIND("-",M192)-1)),M192)*210&lt;53579,"Вы уменьшили цену в несколько раз, товар попадет в карантин цен","")))),"")</f>
      </c>
    </row>
    <row r="193">
      <c r="A193" s="2" t="inlineStr">
        <is>
          <t>AMD</t>
        </is>
      </c>
      <c r="B193" s="2" t="inlineStr">
        <is>
          <t>Фильтры салонные</t>
        </is>
      </c>
      <c r="C193" s="2">
        <v>104590391</v>
      </c>
      <c r="D193" s="2" t="inlineStr">
        <is>
          <t>RIR-AMDFC32C</t>
        </is>
      </c>
      <c r="E193" s="2" t="inlineStr">
        <is>
          <t>2036871957165</t>
        </is>
      </c>
      <c r="F193" s="2">
        <v>0</v>
      </c>
      <c r="G193" s="2">
        <v>0</v>
      </c>
      <c r="H193" s="2" t="inlineStr">
        <is>
          <t/>
        </is>
      </c>
      <c r="I193" s="2" t="inlineStr">
        <is>
          <t>600</t>
        </is>
      </c>
      <c r="J193" s="4"/>
      <c r="K193" s="2">
        <v>0</v>
      </c>
      <c r="L193" s="6"/>
      <c r="M193" s="2" t="str">
        <f>IF(J193="",ROUND(I193*(1-IF(ISBLANK(L193),K193,L193)/100),2),ROUND(J193*(1-IF(ISBLANK(L193),K193,L193)/100),2))</f>
      </c>
      <c r="N193" s="7" t="str">
        <f>IF(NOT(AND(J193="",L193="")),IF(OR(AND(L193&lt;&gt;"",NOT(ISNUMBER(L193))),IFERROR(MOD(L193,1),1)&gt;0,AND(ISNUMBER(L193),OR(L193&lt;0,L193&gt;95))),"Введите целое число от 0 до 95",IF(OR(AND(J193&lt;&gt;"",NOT(ISNUMBER(J193))),IFERROR(MOD(J193,1),1)&gt;0,AND(ISNUMBER(J193),OR(J193&lt;50,J193&gt;20000000))),"Введите целое число от 50 до 20000000",IF(NOT(ABS(IFERROR(VALUE(LEFT(M193,FIND("-",M193)-1)),M193)*100-(5000+2000000000)/2)&lt;=ABS(5000-2000000000)/2),"Цена со скидкой должна быть от 50 до 20000000",IF(IFERROR(VALUE(LEFT(M193,FIND("-",M193)-1)),M193)*210&lt;60000,"Вы уменьшили цену в несколько раз, товар попадет в карантин цен","")))),"")</f>
      </c>
    </row>
    <row r="194">
      <c r="A194" s="2" t="inlineStr">
        <is>
          <t>SUN</t>
        </is>
      </c>
      <c r="B194" s="2" t="inlineStr">
        <is>
          <t>Ремни приводные</t>
        </is>
      </c>
      <c r="C194" s="2">
        <v>85978698</v>
      </c>
      <c r="D194" s="2" t="inlineStr">
        <is>
          <t>4PK1005</t>
        </is>
      </c>
      <c r="E194" s="2" t="inlineStr">
        <is>
          <t>2033698164653</t>
        </is>
      </c>
      <c r="F194" s="2">
        <v>0</v>
      </c>
      <c r="G194" s="2">
        <v>0</v>
      </c>
      <c r="H194" s="2">
        <v>0</v>
      </c>
      <c r="I194" s="2" t="inlineStr">
        <is>
          <t>610</t>
        </is>
      </c>
      <c r="J194" s="4"/>
      <c r="K194" s="2">
        <v>0</v>
      </c>
      <c r="L194" s="6"/>
      <c r="M194" s="2" t="str">
        <f>IF(J194="",ROUND(I194*(1-IF(ISBLANK(L194),K194,L194)/100),2),ROUND(J194*(1-IF(ISBLANK(L194),K194,L194)/100),2))</f>
      </c>
      <c r="N194" s="7" t="str">
        <f>IF(NOT(AND(J194="",L194="")),IF(OR(AND(L194&lt;&gt;"",NOT(ISNUMBER(L194))),IFERROR(MOD(L194,1),1)&gt;0,AND(ISNUMBER(L194),OR(L194&lt;0,L194&gt;95))),"Введите целое число от 0 до 95",IF(OR(AND(J194&lt;&gt;"",NOT(ISNUMBER(J194))),IFERROR(MOD(J194,1),1)&gt;0,AND(ISNUMBER(J194),OR(J194&lt;50,J194&gt;20000000))),"Введите целое число от 50 до 20000000",IF(NOT(ABS(IFERROR(VALUE(LEFT(M194,FIND("-",M194)-1)),M194)*100-(5000+2000000000)/2)&lt;=ABS(5000-2000000000)/2),"Цена со скидкой должна быть от 50 до 20000000",IF(IFERROR(VALUE(LEFT(M194,FIND("-",M194)-1)),M194)*210&lt;61000,"Вы уменьшили цену в несколько раз, товар попадет в карантин цен","")))),"")</f>
      </c>
    </row>
    <row r="195">
      <c r="A195" s="2" t="inlineStr">
        <is>
          <t>AMD</t>
        </is>
      </c>
      <c r="B195" s="2" t="inlineStr">
        <is>
          <t>Фильтры воздушные</t>
        </is>
      </c>
      <c r="C195" s="2">
        <v>104586925</v>
      </c>
      <c r="D195" s="2" t="inlineStr">
        <is>
          <t>RIR-AMDFA68</t>
        </is>
      </c>
      <c r="E195" s="2" t="inlineStr">
        <is>
          <t>2036871923146</t>
        </is>
      </c>
      <c r="F195" s="2">
        <v>0</v>
      </c>
      <c r="G195" s="2">
        <v>0</v>
      </c>
      <c r="H195" s="2">
        <v>0</v>
      </c>
      <c r="I195" s="2" t="inlineStr">
        <is>
          <t>550</t>
        </is>
      </c>
      <c r="J195" s="4"/>
      <c r="K195" s="2">
        <v>0</v>
      </c>
      <c r="L195" s="6"/>
      <c r="M195" s="2" t="str">
        <f>IF(J195="",ROUND(I195*(1-IF(ISBLANK(L195),K195,L195)/100),2),ROUND(J195*(1-IF(ISBLANK(L195),K195,L195)/100),2))</f>
      </c>
      <c r="N195" s="7" t="str">
        <f>IF(NOT(AND(J195="",L195="")),IF(OR(AND(L195&lt;&gt;"",NOT(ISNUMBER(L195))),IFERROR(MOD(L195,1),1)&gt;0,AND(ISNUMBER(L195),OR(L195&lt;0,L195&gt;95))),"Введите целое число от 0 до 95",IF(OR(AND(J195&lt;&gt;"",NOT(ISNUMBER(J195))),IFERROR(MOD(J195,1),1)&gt;0,AND(ISNUMBER(J195),OR(J195&lt;50,J195&gt;20000000))),"Введите целое число от 50 до 20000000",IF(NOT(ABS(IFERROR(VALUE(LEFT(M195,FIND("-",M195)-1)),M195)*100-(5000+2000000000)/2)&lt;=ABS(5000-2000000000)/2),"Цена со скидкой должна быть от 50 до 20000000",IF(IFERROR(VALUE(LEFT(M195,FIND("-",M195)-1)),M195)*210&lt;55000,"Вы уменьшили цену в несколько раз, товар попадет в карантин цен","")))),"")</f>
      </c>
    </row>
    <row r="196">
      <c r="A196" s="2" t="inlineStr">
        <is>
          <t>HYUNDAI/KIA</t>
        </is>
      </c>
      <c r="B196" s="2" t="inlineStr">
        <is>
          <t>Фильтры масляные</t>
        </is>
      </c>
      <c r="C196" s="2">
        <v>172190426</v>
      </c>
      <c r="D196" s="2" t="inlineStr">
        <is>
          <t>RIR-2630035505</t>
        </is>
      </c>
      <c r="E196" s="2" t="inlineStr">
        <is>
          <t>2038302524083</t>
        </is>
      </c>
      <c r="F196" s="2">
        <v>0</v>
      </c>
      <c r="G196" s="2">
        <v>1</v>
      </c>
      <c r="H196" s="2">
        <v>1</v>
      </c>
      <c r="I196" s="2" t="inlineStr">
        <is>
          <t>770</t>
        </is>
      </c>
      <c r="J196" s="4"/>
      <c r="K196" s="2">
        <v>9</v>
      </c>
      <c r="L196" s="6"/>
      <c r="M196" s="2" t="str">
        <f>IF(J196="",ROUND(I196*(1-IF(ISBLANK(L196),K196,L196)/100),2),ROUND(J196*(1-IF(ISBLANK(L196),K196,L196)/100),2))</f>
      </c>
      <c r="N196" s="7" t="str">
        <f>IF(NOT(AND(J196="",L196="")),IF(OR(AND(L196&lt;&gt;"",NOT(ISNUMBER(L196))),IFERROR(MOD(L196,1),1)&gt;0,AND(ISNUMBER(L196),OR(L196&lt;0,L196&gt;95))),"Введите целое число от 0 до 95",IF(OR(AND(J196&lt;&gt;"",NOT(ISNUMBER(J196))),IFERROR(MOD(J196,1),1)&gt;0,AND(ISNUMBER(J196),OR(J196&lt;50,J196&gt;20000000))),"Введите целое число от 50 до 20000000",IF(NOT(ABS(IFERROR(VALUE(LEFT(M196,FIND("-",M196)-1)),M196)*100-(5000+2000000000)/2)&lt;=ABS(5000-2000000000)/2),"Цена со скидкой должна быть от 50 до 20000000",IF(IFERROR(VALUE(LEFT(M196,FIND("-",M196)-1)),M196)*210&lt;70070,"Вы уменьшили цену в несколько раз, товар попадет в карантин цен","")))),"")</f>
      </c>
    </row>
    <row r="197">
      <c r="A197" s="2" t="inlineStr">
        <is>
          <t>Finwhale</t>
        </is>
      </c>
      <c r="B197" s="2" t="inlineStr">
        <is>
          <t>Свечи зажигания</t>
        </is>
      </c>
      <c r="C197" s="2">
        <v>147439321</v>
      </c>
      <c r="D197" s="2" t="inlineStr">
        <is>
          <t>RIR-FS55</t>
        </is>
      </c>
      <c r="E197" s="2" t="inlineStr">
        <is>
          <t>2037493252263</t>
        </is>
      </c>
      <c r="F197" s="2">
        <v>0</v>
      </c>
      <c r="G197" s="2">
        <v>1</v>
      </c>
      <c r="H197" s="2">
        <v>1</v>
      </c>
      <c r="I197" s="2" t="inlineStr">
        <is>
          <t>1550</t>
        </is>
      </c>
      <c r="J197" s="4"/>
      <c r="K197" s="2">
        <v>0</v>
      </c>
      <c r="L197" s="6"/>
      <c r="M197" s="2" t="str">
        <f>IF(J197="",ROUND(I197*(1-IF(ISBLANK(L197),K197,L197)/100),2),ROUND(J197*(1-IF(ISBLANK(L197),K197,L197)/100),2))</f>
      </c>
      <c r="N197" s="7" t="str">
        <f>IF(NOT(AND(J197="",L197="")),IF(OR(AND(L197&lt;&gt;"",NOT(ISNUMBER(L197))),IFERROR(MOD(L197,1),1)&gt;0,AND(ISNUMBER(L197),OR(L197&lt;0,L197&gt;95))),"Введите целое число от 0 до 95",IF(OR(AND(J197&lt;&gt;"",NOT(ISNUMBER(J197))),IFERROR(MOD(J197,1),1)&gt;0,AND(ISNUMBER(J197),OR(J197&lt;50,J197&gt;20000000))),"Введите целое число от 50 до 20000000",IF(NOT(ABS(IFERROR(VALUE(LEFT(M197,FIND("-",M197)-1)),M197)*100-(5000+2000000000)/2)&lt;=ABS(5000-2000000000)/2),"Цена со скидкой должна быть от 50 до 20000000",IF(IFERROR(VALUE(LEFT(M197,FIND("-",M197)-1)),M197)*210&lt;155000,"Вы уменьшили цену в несколько раз, товар попадет в карантин цен","")))),"")</f>
      </c>
    </row>
    <row r="198">
      <c r="A198" s="2" t="inlineStr">
        <is>
          <t>SUN</t>
        </is>
      </c>
      <c r="B198" s="2" t="inlineStr">
        <is>
          <t>Ремни приводные</t>
        </is>
      </c>
      <c r="C198" s="2">
        <v>85978693</v>
      </c>
      <c r="D198" s="2" t="inlineStr">
        <is>
          <t>4PK1080</t>
        </is>
      </c>
      <c r="E198" s="2" t="inlineStr">
        <is>
          <t>2033698164844</t>
        </is>
      </c>
      <c r="F198" s="2">
        <v>0</v>
      </c>
      <c r="G198" s="2">
        <v>0</v>
      </c>
      <c r="H198" s="2">
        <v>1</v>
      </c>
      <c r="I198" s="2" t="inlineStr">
        <is>
          <t>600</t>
        </is>
      </c>
      <c r="J198" s="4"/>
      <c r="K198" s="2">
        <v>0</v>
      </c>
      <c r="L198" s="6"/>
      <c r="M198" s="2" t="str">
        <f>IF(J198="",ROUND(I198*(1-IF(ISBLANK(L198),K198,L198)/100),2),ROUND(J198*(1-IF(ISBLANK(L198),K198,L198)/100),2))</f>
      </c>
      <c r="N198" s="7" t="str">
        <f>IF(NOT(AND(J198="",L198="")),IF(OR(AND(L198&lt;&gt;"",NOT(ISNUMBER(L198))),IFERROR(MOD(L198,1),1)&gt;0,AND(ISNUMBER(L198),OR(L198&lt;0,L198&gt;95))),"Введите целое число от 0 до 95",IF(OR(AND(J198&lt;&gt;"",NOT(ISNUMBER(J198))),IFERROR(MOD(J198,1),1)&gt;0,AND(ISNUMBER(J198),OR(J198&lt;50,J198&gt;20000000))),"Введите целое число от 50 до 20000000",IF(NOT(ABS(IFERROR(VALUE(LEFT(M198,FIND("-",M198)-1)),M198)*100-(5000+2000000000)/2)&lt;=ABS(5000-2000000000)/2),"Цена со скидкой должна быть от 50 до 20000000",IF(IFERROR(VALUE(LEFT(M198,FIND("-",M198)-1)),M198)*210&lt;60000,"Вы уменьшили цену в несколько раз, товар попадет в карантин цен","")))),"")</f>
      </c>
    </row>
    <row r="199">
      <c r="A199" s="2" t="inlineStr">
        <is>
          <t>Brave</t>
        </is>
      </c>
      <c r="B199" s="2" t="inlineStr">
        <is>
          <t>Фильтры масляные</t>
        </is>
      </c>
      <c r="C199" s="2">
        <v>146489822</v>
      </c>
      <c r="D199" s="2" t="inlineStr">
        <is>
          <t>RIR-BRF213</t>
        </is>
      </c>
      <c r="E199" s="2" t="inlineStr">
        <is>
          <t>2037469242786</t>
        </is>
      </c>
      <c r="F199" s="2">
        <v>0</v>
      </c>
      <c r="G199" s="2">
        <v>1</v>
      </c>
      <c r="H199" s="2">
        <v>0</v>
      </c>
      <c r="I199" s="2" t="inlineStr">
        <is>
          <t>460</t>
        </is>
      </c>
      <c r="J199" s="4"/>
      <c r="K199" s="2">
        <v>2</v>
      </c>
      <c r="L199" s="6"/>
      <c r="M199" s="2" t="str">
        <f>IF(J199="",ROUND(I199*(1-IF(ISBLANK(L199),K199,L199)/100),2),ROUND(J199*(1-IF(ISBLANK(L199),K199,L199)/100),2))</f>
      </c>
      <c r="N199" s="7" t="str">
        <f>IF(NOT(AND(J199="",L199="")),IF(OR(AND(L199&lt;&gt;"",NOT(ISNUMBER(L199))),IFERROR(MOD(L199,1),1)&gt;0,AND(ISNUMBER(L199),OR(L199&lt;0,L199&gt;95))),"Введите целое число от 0 до 95",IF(OR(AND(J199&lt;&gt;"",NOT(ISNUMBER(J199))),IFERROR(MOD(J199,1),1)&gt;0,AND(ISNUMBER(J199),OR(J199&lt;50,J199&gt;20000000))),"Введите целое число от 50 до 20000000",IF(NOT(ABS(IFERROR(VALUE(LEFT(M199,FIND("-",M199)-1)),M199)*100-(5000+2000000000)/2)&lt;=ABS(5000-2000000000)/2),"Цена со скидкой должна быть от 50 до 20000000",IF(IFERROR(VALUE(LEFT(M199,FIND("-",M199)-1)),M199)*210&lt;45080,"Вы уменьшили цену в несколько раз, товар попадет в карантин цен","")))),"")</f>
      </c>
    </row>
    <row r="200">
      <c r="A200" s="2" t="inlineStr">
        <is>
          <t>HYUNDAI / KIA</t>
        </is>
      </c>
      <c r="B200" s="2" t="inlineStr">
        <is>
          <t>Свечи зажигания</t>
        </is>
      </c>
      <c r="C200" s="2">
        <v>111848112</v>
      </c>
      <c r="D200" s="2" t="inlineStr">
        <is>
          <t>1885510060</t>
        </is>
      </c>
      <c r="E200" s="2" t="inlineStr">
        <is>
          <t>2038406699625</t>
        </is>
      </c>
      <c r="F200" s="2">
        <v>0</v>
      </c>
      <c r="G200" s="2">
        <v>0</v>
      </c>
      <c r="H200" s="2">
        <v>0</v>
      </c>
      <c r="I200" s="2" t="inlineStr">
        <is>
          <t>3808</t>
        </is>
      </c>
      <c r="J200" s="4"/>
      <c r="K200" s="2">
        <v>0</v>
      </c>
      <c r="L200" s="6"/>
      <c r="M200" s="2" t="str">
        <f>IF(J200="",ROUND(I200*(1-IF(ISBLANK(L200),K200,L200)/100),2),ROUND(J200*(1-IF(ISBLANK(L200),K200,L200)/100),2))</f>
      </c>
      <c r="N200" s="7" t="str">
        <f>IF(NOT(AND(J200="",L200="")),IF(OR(AND(L200&lt;&gt;"",NOT(ISNUMBER(L200))),IFERROR(MOD(L200,1),1)&gt;0,AND(ISNUMBER(L200),OR(L200&lt;0,L200&gt;95))),"Введите целое число от 0 до 95",IF(OR(AND(J200&lt;&gt;"",NOT(ISNUMBER(J200))),IFERROR(MOD(J200,1),1)&gt;0,AND(ISNUMBER(J200),OR(J200&lt;50,J200&gt;20000000))),"Введите целое число от 50 до 20000000",IF(NOT(ABS(IFERROR(VALUE(LEFT(M200,FIND("-",M200)-1)),M200)*100-(5000+2000000000)/2)&lt;=ABS(5000-2000000000)/2),"Цена со скидкой должна быть от 50 до 20000000",IF(IFERROR(VALUE(LEFT(M200,FIND("-",M200)-1)),M200)*210&lt;380800,"Вы уменьшили цену в несколько раз, товар попадет в карантин цен","")))),"")</f>
      </c>
    </row>
    <row r="201">
      <c r="A201" s="2" t="inlineStr">
        <is>
          <t>CTR</t>
        </is>
      </c>
      <c r="B201" s="2" t="inlineStr">
        <is>
          <t>Рулевое управление</t>
        </is>
      </c>
      <c r="C201" s="2">
        <v>228899829</v>
      </c>
      <c r="D201" s="2" t="inlineStr">
        <is>
          <t>RIR-CE0732L</t>
        </is>
      </c>
      <c r="E201" s="2" t="inlineStr">
        <is>
          <t>2039927468370</t>
        </is>
      </c>
      <c r="F201" s="2">
        <v>0</v>
      </c>
      <c r="G201" s="2">
        <v>0</v>
      </c>
      <c r="H201" s="2" t="inlineStr">
        <is>
          <t/>
        </is>
      </c>
      <c r="I201" s="2" t="inlineStr">
        <is>
          <t>1530</t>
        </is>
      </c>
      <c r="J201" s="4"/>
      <c r="K201" s="2">
        <v>0</v>
      </c>
      <c r="L201" s="6"/>
      <c r="M201" s="2" t="str">
        <f>IF(J201="",ROUND(I201*(1-IF(ISBLANK(L201),K201,L201)/100),2),ROUND(J201*(1-IF(ISBLANK(L201),K201,L201)/100),2))</f>
      </c>
      <c r="N201" s="7" t="str">
        <f>IF(NOT(AND(J201="",L201="")),IF(OR(AND(L201&lt;&gt;"",NOT(ISNUMBER(L201))),IFERROR(MOD(L201,1),1)&gt;0,AND(ISNUMBER(L201),OR(L201&lt;0,L201&gt;95))),"Введите целое число от 0 до 95",IF(OR(AND(J201&lt;&gt;"",NOT(ISNUMBER(J201))),IFERROR(MOD(J201,1),1)&gt;0,AND(ISNUMBER(J201),OR(J201&lt;50,J201&gt;20000000))),"Введите целое число от 50 до 20000000",IF(NOT(ABS(IFERROR(VALUE(LEFT(M201,FIND("-",M201)-1)),M201)*100-(5000+2000000000)/2)&lt;=ABS(5000-2000000000)/2),"Цена со скидкой должна быть от 50 до 20000000",IF(IFERROR(VALUE(LEFT(M201,FIND("-",M201)-1)),M201)*210&lt;153000,"Вы уменьшили цену в несколько раз, товар попадет в карантин цен","")))),"")</f>
      </c>
    </row>
    <row r="202">
      <c r="A202" s="2" t="inlineStr">
        <is>
          <t>Kortex</t>
        </is>
      </c>
      <c r="B202" s="2" t="inlineStr">
        <is>
          <t>Двигатели вентилятора</t>
        </is>
      </c>
      <c r="C202" s="2">
        <v>216700153</v>
      </c>
      <c r="D202" s="2" t="inlineStr">
        <is>
          <t>RIR-KHF037</t>
        </is>
      </c>
      <c r="E202" s="2" t="inlineStr">
        <is>
          <t>2039647144721</t>
        </is>
      </c>
      <c r="F202" s="2">
        <v>0</v>
      </c>
      <c r="G202" s="2">
        <v>1</v>
      </c>
      <c r="H202" s="2" t="inlineStr">
        <is>
          <t/>
        </is>
      </c>
      <c r="I202" s="2" t="inlineStr">
        <is>
          <t>4200</t>
        </is>
      </c>
      <c r="J202" s="4"/>
      <c r="K202" s="2">
        <v>0</v>
      </c>
      <c r="L202" s="6"/>
      <c r="M202" s="2" t="str">
        <f>IF(J202="",ROUND(I202*(1-IF(ISBLANK(L202),K202,L202)/100),2),ROUND(J202*(1-IF(ISBLANK(L202),K202,L202)/100),2))</f>
      </c>
      <c r="N202" s="7" t="str">
        <f>IF(NOT(AND(J202="",L202="")),IF(OR(AND(L202&lt;&gt;"",NOT(ISNUMBER(L202))),IFERROR(MOD(L202,1),1)&gt;0,AND(ISNUMBER(L202),OR(L202&lt;0,L202&gt;95))),"Введите целое число от 0 до 95",IF(OR(AND(J202&lt;&gt;"",NOT(ISNUMBER(J202))),IFERROR(MOD(J202,1),1)&gt;0,AND(ISNUMBER(J202),OR(J202&lt;50,J202&gt;20000000))),"Введите целое число от 50 до 20000000",IF(NOT(ABS(IFERROR(VALUE(LEFT(M202,FIND("-",M202)-1)),M202)*100-(5000+2000000000)/2)&lt;=ABS(5000-2000000000)/2),"Цена со скидкой должна быть от 50 до 20000000",IF(IFERROR(VALUE(LEFT(M202,FIND("-",M202)-1)),M202)*210&lt;420000,"Вы уменьшили цену в несколько раз, товар попадет в карантин цен","")))),"")</f>
      </c>
    </row>
    <row r="203">
      <c r="A203" s="2" t="inlineStr">
        <is>
          <t>filtron</t>
        </is>
      </c>
      <c r="B203" s="2" t="inlineStr">
        <is>
          <t>Фильтры масляные</t>
        </is>
      </c>
      <c r="C203" s="2">
        <v>166498470</v>
      </c>
      <c r="D203" s="2" t="inlineStr">
        <is>
          <t>RIR-OP572</t>
        </is>
      </c>
      <c r="E203" s="2" t="inlineStr">
        <is>
          <t>2038078106469</t>
        </is>
      </c>
      <c r="F203" s="2">
        <v>0</v>
      </c>
      <c r="G203" s="2">
        <v>1</v>
      </c>
      <c r="H203" s="2">
        <v>1</v>
      </c>
      <c r="I203" s="2" t="inlineStr">
        <is>
          <t>640</t>
        </is>
      </c>
      <c r="J203" s="4"/>
      <c r="K203" s="2">
        <v>7</v>
      </c>
      <c r="L203" s="6"/>
      <c r="M203" s="2" t="str">
        <f>IF(J203="",ROUND(I203*(1-IF(ISBLANK(L203),K203,L203)/100),2),ROUND(J203*(1-IF(ISBLANK(L203),K203,L203)/100),2))</f>
      </c>
      <c r="N203" s="7" t="str">
        <f>IF(NOT(AND(J203="",L203="")),IF(OR(AND(L203&lt;&gt;"",NOT(ISNUMBER(L203))),IFERROR(MOD(L203,1),1)&gt;0,AND(ISNUMBER(L203),OR(L203&lt;0,L203&gt;95))),"Введите целое число от 0 до 95",IF(OR(AND(J203&lt;&gt;"",NOT(ISNUMBER(J203))),IFERROR(MOD(J203,1),1)&gt;0,AND(ISNUMBER(J203),OR(J203&lt;50,J203&gt;20000000))),"Введите целое число от 50 до 20000000",IF(NOT(ABS(IFERROR(VALUE(LEFT(M203,FIND("-",M203)-1)),M203)*100-(5000+2000000000)/2)&lt;=ABS(5000-2000000000)/2),"Цена со скидкой должна быть от 50 до 20000000",IF(IFERROR(VALUE(LEFT(M203,FIND("-",M203)-1)),M203)*210&lt;59519,"Вы уменьшили цену в несколько раз, товар попадет в карантин цен","")))),"")</f>
      </c>
    </row>
    <row r="204">
      <c r="A204" s="2" t="inlineStr">
        <is>
          <t>filtron</t>
        </is>
      </c>
      <c r="B204" s="2" t="inlineStr">
        <is>
          <t>Фильтры масляные</t>
        </is>
      </c>
      <c r="C204" s="2">
        <v>161678586</v>
      </c>
      <c r="D204" s="2" t="inlineStr">
        <is>
          <t>RIR-OP5201</t>
        </is>
      </c>
      <c r="E204" s="2" t="inlineStr">
        <is>
          <t>2037857470838</t>
        </is>
      </c>
      <c r="F204" s="2">
        <v>0</v>
      </c>
      <c r="G204" s="2">
        <v>0</v>
      </c>
      <c r="H204" s="2">
        <v>1</v>
      </c>
      <c r="I204" s="2" t="inlineStr">
        <is>
          <t>680</t>
        </is>
      </c>
      <c r="J204" s="4"/>
      <c r="K204" s="2">
        <v>2</v>
      </c>
      <c r="L204" s="6"/>
      <c r="M204" s="2" t="str">
        <f>IF(J204="",ROUND(I204*(1-IF(ISBLANK(L204),K204,L204)/100),2),ROUND(J204*(1-IF(ISBLANK(L204),K204,L204)/100),2))</f>
      </c>
      <c r="N204" s="7" t="str">
        <f>IF(NOT(AND(J204="",L204="")),IF(OR(AND(L204&lt;&gt;"",NOT(ISNUMBER(L204))),IFERROR(MOD(L204,1),1)&gt;0,AND(ISNUMBER(L204),OR(L204&lt;0,L204&gt;95))),"Введите целое число от 0 до 95",IF(OR(AND(J204&lt;&gt;"",NOT(ISNUMBER(J204))),IFERROR(MOD(J204,1),1)&gt;0,AND(ISNUMBER(J204),OR(J204&lt;50,J204&gt;20000000))),"Введите целое число от 50 до 20000000",IF(NOT(ABS(IFERROR(VALUE(LEFT(M204,FIND("-",M204)-1)),M204)*100-(5000+2000000000)/2)&lt;=ABS(5000-2000000000)/2),"Цена со скидкой должна быть от 50 до 20000000",IF(IFERROR(VALUE(LEFT(M204,FIND("-",M204)-1)),M204)*210&lt;66640,"Вы уменьшили цену в несколько раз, товар попадет в карантин цен","")))),"")</f>
      </c>
    </row>
    <row r="205">
      <c r="A205" s="2" t="inlineStr">
        <is>
          <t>LYNXauto</t>
        </is>
      </c>
      <c r="B205" s="2" t="inlineStr">
        <is>
          <t>Фильтры воздушные</t>
        </is>
      </c>
      <c r="C205" s="2">
        <v>149963616</v>
      </c>
      <c r="D205" s="2" t="inlineStr">
        <is>
          <t>RIR-LA1458</t>
        </is>
      </c>
      <c r="E205" s="2" t="inlineStr">
        <is>
          <t>2037559059638</t>
        </is>
      </c>
      <c r="F205" s="2">
        <v>0</v>
      </c>
      <c r="G205" s="2">
        <v>1</v>
      </c>
      <c r="H205" s="2">
        <v>0</v>
      </c>
      <c r="I205" s="2" t="inlineStr">
        <is>
          <t>1050</t>
        </is>
      </c>
      <c r="J205" s="4"/>
      <c r="K205" s="2">
        <v>0</v>
      </c>
      <c r="L205" s="6"/>
      <c r="M205" s="2" t="str">
        <f>IF(J205="",ROUND(I205*(1-IF(ISBLANK(L205),K205,L205)/100),2),ROUND(J205*(1-IF(ISBLANK(L205),K205,L205)/100),2))</f>
      </c>
      <c r="N205" s="7" t="str">
        <f>IF(NOT(AND(J205="",L205="")),IF(OR(AND(L205&lt;&gt;"",NOT(ISNUMBER(L205))),IFERROR(MOD(L205,1),1)&gt;0,AND(ISNUMBER(L205),OR(L205&lt;0,L205&gt;95))),"Введите целое число от 0 до 95",IF(OR(AND(J205&lt;&gt;"",NOT(ISNUMBER(J205))),IFERROR(MOD(J205,1),1)&gt;0,AND(ISNUMBER(J205),OR(J205&lt;50,J205&gt;20000000))),"Введите целое число от 50 до 20000000",IF(NOT(ABS(IFERROR(VALUE(LEFT(M205,FIND("-",M205)-1)),M205)*100-(5000+2000000000)/2)&lt;=ABS(5000-2000000000)/2),"Цена со скидкой должна быть от 50 до 20000000",IF(IFERROR(VALUE(LEFT(M205,FIND("-",M205)-1)),M205)*210&lt;105000,"Вы уменьшили цену в несколько раз, товар попадет в карантин цен","")))),"")</f>
      </c>
    </row>
    <row r="206">
      <c r="A206" s="2" t="inlineStr">
        <is>
          <t>SUN</t>
        </is>
      </c>
      <c r="B206" s="2" t="inlineStr">
        <is>
          <t>Ремни приводные</t>
        </is>
      </c>
      <c r="C206" s="2">
        <v>85978700</v>
      </c>
      <c r="D206" s="2" t="inlineStr">
        <is>
          <t>6PK1930</t>
        </is>
      </c>
      <c r="E206" s="2" t="inlineStr">
        <is>
          <t>2033698164783</t>
        </is>
      </c>
      <c r="F206" s="2">
        <v>0</v>
      </c>
      <c r="G206" s="2">
        <v>0</v>
      </c>
      <c r="H206" s="2">
        <v>0</v>
      </c>
      <c r="I206" s="2" t="inlineStr">
        <is>
          <t>1200</t>
        </is>
      </c>
      <c r="J206" s="4"/>
      <c r="K206" s="2">
        <v>0</v>
      </c>
      <c r="L206" s="6"/>
      <c r="M206" s="2" t="str">
        <f>IF(J206="",ROUND(I206*(1-IF(ISBLANK(L206),K206,L206)/100),2),ROUND(J206*(1-IF(ISBLANK(L206),K206,L206)/100),2))</f>
      </c>
      <c r="N206" s="7" t="str">
        <f>IF(NOT(AND(J206="",L206="")),IF(OR(AND(L206&lt;&gt;"",NOT(ISNUMBER(L206))),IFERROR(MOD(L206,1),1)&gt;0,AND(ISNUMBER(L206),OR(L206&lt;0,L206&gt;95))),"Введите целое число от 0 до 95",IF(OR(AND(J206&lt;&gt;"",NOT(ISNUMBER(J206))),IFERROR(MOD(J206,1),1)&gt;0,AND(ISNUMBER(J206),OR(J206&lt;50,J206&gt;20000000))),"Введите целое число от 50 до 20000000",IF(NOT(ABS(IFERROR(VALUE(LEFT(M206,FIND("-",M206)-1)),M206)*100-(5000+2000000000)/2)&lt;=ABS(5000-2000000000)/2),"Цена со скидкой должна быть от 50 до 20000000",IF(IFERROR(VALUE(LEFT(M206,FIND("-",M206)-1)),M206)*210&lt;120000,"Вы уменьшили цену в несколько раз, товар попадет в карантин цен","")))),"")</f>
      </c>
    </row>
    <row r="207">
      <c r="A207" s="2" t="inlineStr">
        <is>
          <t>CTR</t>
        </is>
      </c>
      <c r="B207" s="2" t="inlineStr">
        <is>
          <t>Наконечники рулевой тяги</t>
        </is>
      </c>
      <c r="C207" s="2">
        <v>103634564</v>
      </c>
      <c r="D207" s="2" t="inlineStr">
        <is>
          <t>RIR-CEKH-47L</t>
        </is>
      </c>
      <c r="E207" s="2" t="inlineStr">
        <is>
          <t>2036858289302</t>
        </is>
      </c>
      <c r="F207" s="2">
        <v>0</v>
      </c>
      <c r="G207" s="2">
        <v>1</v>
      </c>
      <c r="H207" s="2">
        <v>1</v>
      </c>
      <c r="I207" s="2" t="inlineStr">
        <is>
          <t>1900</t>
        </is>
      </c>
      <c r="J207" s="4"/>
      <c r="K207" s="2">
        <v>2</v>
      </c>
      <c r="L207" s="6"/>
      <c r="M207" s="2" t="str">
        <f>IF(J207="",ROUND(I207*(1-IF(ISBLANK(L207),K207,L207)/100),2),ROUND(J207*(1-IF(ISBLANK(L207),K207,L207)/100),2))</f>
      </c>
      <c r="N207" s="7" t="str">
        <f>IF(NOT(AND(J207="",L207="")),IF(OR(AND(L207&lt;&gt;"",NOT(ISNUMBER(L207))),IFERROR(MOD(L207,1),1)&gt;0,AND(ISNUMBER(L207),OR(L207&lt;0,L207&gt;95))),"Введите целое число от 0 до 95",IF(OR(AND(J207&lt;&gt;"",NOT(ISNUMBER(J207))),IFERROR(MOD(J207,1),1)&gt;0,AND(ISNUMBER(J207),OR(J207&lt;50,J207&gt;20000000))),"Введите целое число от 50 до 20000000",IF(NOT(ABS(IFERROR(VALUE(LEFT(M207,FIND("-",M207)-1)),M207)*100-(5000+2000000000)/2)&lt;=ABS(5000-2000000000)/2),"Цена со скидкой должна быть от 50 до 20000000",IF(IFERROR(VALUE(LEFT(M207,FIND("-",M207)-1)),M207)*210&lt;186200,"Вы уменьшили цену в несколько раз, товар попадет в карантин цен","")))),"")</f>
      </c>
    </row>
    <row r="208">
      <c r="A208" s="2" t="inlineStr">
        <is>
          <t>LYNXauto</t>
        </is>
      </c>
      <c r="B208" s="2" t="inlineStr">
        <is>
          <t>Стойки стабилизатора</t>
        </is>
      </c>
      <c r="C208" s="2">
        <v>150329150</v>
      </c>
      <c r="D208" s="2" t="inlineStr">
        <is>
          <t>RIR-C7369LR</t>
        </is>
      </c>
      <c r="E208" s="2" t="inlineStr">
        <is>
          <t>2037570432717</t>
        </is>
      </c>
      <c r="F208" s="2">
        <v>0</v>
      </c>
      <c r="G208" s="2">
        <v>0</v>
      </c>
      <c r="H208" s="2">
        <v>0</v>
      </c>
      <c r="I208" s="2" t="inlineStr">
        <is>
          <t>1500</t>
        </is>
      </c>
      <c r="J208" s="4"/>
      <c r="K208" s="2">
        <v>0</v>
      </c>
      <c r="L208" s="6"/>
      <c r="M208" s="2" t="str">
        <f>IF(J208="",ROUND(I208*(1-IF(ISBLANK(L208),K208,L208)/100),2),ROUND(J208*(1-IF(ISBLANK(L208),K208,L208)/100),2))</f>
      </c>
      <c r="N208" s="7" t="str">
        <f>IF(NOT(AND(J208="",L208="")),IF(OR(AND(L208&lt;&gt;"",NOT(ISNUMBER(L208))),IFERROR(MOD(L208,1),1)&gt;0,AND(ISNUMBER(L208),OR(L208&lt;0,L208&gt;95))),"Введите целое число от 0 до 95",IF(OR(AND(J208&lt;&gt;"",NOT(ISNUMBER(J208))),IFERROR(MOD(J208,1),1)&gt;0,AND(ISNUMBER(J208),OR(J208&lt;50,J208&gt;20000000))),"Введите целое число от 50 до 20000000",IF(NOT(ABS(IFERROR(VALUE(LEFT(M208,FIND("-",M208)-1)),M208)*100-(5000+2000000000)/2)&lt;=ABS(5000-2000000000)/2),"Цена со скидкой должна быть от 50 до 20000000",IF(IFERROR(VALUE(LEFT(M208,FIND("-",M208)-1)),M208)*210&lt;150000,"Вы уменьшили цену в несколько раз, товар попадет в карантин цен","")))),"")</f>
      </c>
    </row>
    <row r="209">
      <c r="A209" s="2" t="inlineStr">
        <is>
          <t>SangSin</t>
        </is>
      </c>
      <c r="B209" s="2" t="inlineStr">
        <is>
          <t>Колодки автомобильные</t>
        </is>
      </c>
      <c r="C209" s="2">
        <v>177441931</v>
      </c>
      <c r="D209" s="2" t="inlineStr">
        <is>
          <t>RIR-SP1907</t>
        </is>
      </c>
      <c r="E209" s="2" t="inlineStr">
        <is>
          <t>2038630357803</t>
        </is>
      </c>
      <c r="F209" s="2">
        <v>0</v>
      </c>
      <c r="G209" s="2">
        <v>1</v>
      </c>
      <c r="H209" s="2">
        <v>0</v>
      </c>
      <c r="I209" s="2" t="inlineStr">
        <is>
          <t>1700</t>
        </is>
      </c>
      <c r="J209" s="4"/>
      <c r="K209" s="2">
        <v>2</v>
      </c>
      <c r="L209" s="6"/>
      <c r="M209" s="2" t="str">
        <f>IF(J209="",ROUND(I209*(1-IF(ISBLANK(L209),K209,L209)/100),2),ROUND(J209*(1-IF(ISBLANK(L209),K209,L209)/100),2))</f>
      </c>
      <c r="N209" s="7" t="str">
        <f>IF(NOT(AND(J209="",L209="")),IF(OR(AND(L209&lt;&gt;"",NOT(ISNUMBER(L209))),IFERROR(MOD(L209,1),1)&gt;0,AND(ISNUMBER(L209),OR(L209&lt;0,L209&gt;95))),"Введите целое число от 0 до 95",IF(OR(AND(J209&lt;&gt;"",NOT(ISNUMBER(J209))),IFERROR(MOD(J209,1),1)&gt;0,AND(ISNUMBER(J209),OR(J209&lt;50,J209&gt;20000000))),"Введите целое число от 50 до 20000000",IF(NOT(ABS(IFERROR(VALUE(LEFT(M209,FIND("-",M209)-1)),M209)*100-(5000+2000000000)/2)&lt;=ABS(5000-2000000000)/2),"Цена со скидкой должна быть от 50 до 20000000",IF(IFERROR(VALUE(LEFT(M209,FIND("-",M209)-1)),M209)*210&lt;166600,"Вы уменьшили цену в несколько раз, товар попадет в карантин цен","")))),"")</f>
      </c>
    </row>
    <row r="210">
      <c r="A210" s="2" t="inlineStr">
        <is>
          <t>SangSin</t>
        </is>
      </c>
      <c r="B210" s="2" t="inlineStr">
        <is>
          <t>Колодки автомобильные</t>
        </is>
      </c>
      <c r="C210" s="2">
        <v>192217376</v>
      </c>
      <c r="D210" s="2" t="inlineStr">
        <is>
          <t>RIR-SP1257</t>
        </is>
      </c>
      <c r="E210" s="2" t="inlineStr">
        <is>
          <t>2039065160570</t>
        </is>
      </c>
      <c r="F210" s="2">
        <v>0</v>
      </c>
      <c r="G210" s="2">
        <v>0</v>
      </c>
      <c r="H210" s="2" t="inlineStr">
        <is>
          <t/>
        </is>
      </c>
      <c r="I210" s="2" t="inlineStr">
        <is>
          <t>1340</t>
        </is>
      </c>
      <c r="J210" s="4"/>
      <c r="K210" s="2">
        <v>0</v>
      </c>
      <c r="L210" s="6"/>
      <c r="M210" s="2" t="str">
        <f>IF(J210="",ROUND(I210*(1-IF(ISBLANK(L210),K210,L210)/100),2),ROUND(J210*(1-IF(ISBLANK(L210),K210,L210)/100),2))</f>
      </c>
      <c r="N210" s="7" t="str">
        <f>IF(NOT(AND(J210="",L210="")),IF(OR(AND(L210&lt;&gt;"",NOT(ISNUMBER(L210))),IFERROR(MOD(L210,1),1)&gt;0,AND(ISNUMBER(L210),OR(L210&lt;0,L210&gt;95))),"Введите целое число от 0 до 95",IF(OR(AND(J210&lt;&gt;"",NOT(ISNUMBER(J210))),IFERROR(MOD(J210,1),1)&gt;0,AND(ISNUMBER(J210),OR(J210&lt;50,J210&gt;20000000))),"Введите целое число от 50 до 20000000",IF(NOT(ABS(IFERROR(VALUE(LEFT(M210,FIND("-",M210)-1)),M210)*100-(5000+2000000000)/2)&lt;=ABS(5000-2000000000)/2),"Цена со скидкой должна быть от 50 до 20000000",IF(IFERROR(VALUE(LEFT(M210,FIND("-",M210)-1)),M210)*210&lt;134000,"Вы уменьшили цену в несколько раз, товар попадет в карантин цен","")))),"")</f>
      </c>
    </row>
    <row r="211">
      <c r="A211" s="2" t="inlineStr">
        <is>
          <t>SANGSIN / HI-Q</t>
        </is>
      </c>
      <c r="B211" s="2" t="inlineStr">
        <is>
          <t>Колодки автомобильные</t>
        </is>
      </c>
      <c r="C211" s="2">
        <v>155337153</v>
      </c>
      <c r="D211" s="2" t="inlineStr">
        <is>
          <t>RIR-SP1068</t>
        </is>
      </c>
      <c r="E211" s="2" t="inlineStr">
        <is>
          <t>2037684319140</t>
        </is>
      </c>
      <c r="F211" s="2">
        <v>0</v>
      </c>
      <c r="G211" s="2">
        <v>0</v>
      </c>
      <c r="H211" s="2">
        <v>0</v>
      </c>
      <c r="I211" s="2" t="inlineStr">
        <is>
          <t>2415</t>
        </is>
      </c>
      <c r="J211" s="4"/>
      <c r="K211" s="2">
        <v>8</v>
      </c>
      <c r="L211" s="6"/>
      <c r="M211" s="2" t="str">
        <f>IF(J211="",ROUND(I211*(1-IF(ISBLANK(L211),K211,L211)/100),2),ROUND(J211*(1-IF(ISBLANK(L211),K211,L211)/100),2))</f>
      </c>
      <c r="N211" s="7" t="str">
        <f>IF(NOT(AND(J211="",L211="")),IF(OR(AND(L211&lt;&gt;"",NOT(ISNUMBER(L211))),IFERROR(MOD(L211,1),1)&gt;0,AND(ISNUMBER(L211),OR(L211&lt;0,L211&gt;95))),"Введите целое число от 0 до 95",IF(OR(AND(J211&lt;&gt;"",NOT(ISNUMBER(J211))),IFERROR(MOD(J211,1),1)&gt;0,AND(ISNUMBER(J211),OR(J211&lt;50,J211&gt;20000000))),"Введите целое число от 50 до 20000000",IF(NOT(ABS(IFERROR(VALUE(LEFT(M211,FIND("-",M211)-1)),M211)*100-(5000+2000000000)/2)&lt;=ABS(5000-2000000000)/2),"Цена со скидкой должна быть от 50 до 20000000",IF(IFERROR(VALUE(LEFT(M211,FIND("-",M211)-1)),M211)*210&lt;222180,"Вы уменьшили цену в несколько раз, товар попадет в карантин цен","")))),"")</f>
      </c>
    </row>
    <row r="212">
      <c r="A212" s="2" t="inlineStr">
        <is>
          <t>SANGSIN</t>
        </is>
      </c>
      <c r="B212" s="2" t="inlineStr">
        <is>
          <t>Колодки автомобильные</t>
        </is>
      </c>
      <c r="C212" s="2">
        <v>149935352</v>
      </c>
      <c r="D212" s="2" t="inlineStr">
        <is>
          <t>RIR-SP1401INnew</t>
        </is>
      </c>
      <c r="E212" s="2" t="inlineStr">
        <is>
          <t>2037558395195</t>
        </is>
      </c>
      <c r="F212" s="2">
        <v>0</v>
      </c>
      <c r="G212" s="2">
        <v>1</v>
      </c>
      <c r="H212" s="2">
        <v>1</v>
      </c>
      <c r="I212" s="2" t="inlineStr">
        <is>
          <t>1430</t>
        </is>
      </c>
      <c r="J212" s="4"/>
      <c r="K212" s="2">
        <v>6</v>
      </c>
      <c r="L212" s="6"/>
      <c r="M212" s="2" t="str">
        <f>IF(J212="",ROUND(I212*(1-IF(ISBLANK(L212),K212,L212)/100),2),ROUND(J212*(1-IF(ISBLANK(L212),K212,L212)/100),2))</f>
      </c>
      <c r="N212" s="7" t="str">
        <f>IF(NOT(AND(J212="",L212="")),IF(OR(AND(L212&lt;&gt;"",NOT(ISNUMBER(L212))),IFERROR(MOD(L212,1),1)&gt;0,AND(ISNUMBER(L212),OR(L212&lt;0,L212&gt;95))),"Введите целое число от 0 до 95",IF(OR(AND(J212&lt;&gt;"",NOT(ISNUMBER(J212))),IFERROR(MOD(J212,1),1)&gt;0,AND(ISNUMBER(J212),OR(J212&lt;50,J212&gt;20000000))),"Введите целое число от 50 до 20000000",IF(NOT(ABS(IFERROR(VALUE(LEFT(M212,FIND("-",M212)-1)),M212)*100-(5000+2000000000)/2)&lt;=ABS(5000-2000000000)/2),"Цена со скидкой должна быть от 50 до 20000000",IF(IFERROR(VALUE(LEFT(M212,FIND("-",M212)-1)),M212)*210&lt;134419,"Вы уменьшили цену в несколько раз, товар попадет в карантин цен","")))),"")</f>
      </c>
    </row>
    <row r="213">
      <c r="A213" s="2" t="inlineStr">
        <is>
          <t>Sakura</t>
        </is>
      </c>
      <c r="B213" s="2" t="inlineStr">
        <is>
          <t>Фильтры масляные</t>
        </is>
      </c>
      <c r="C213" s="2">
        <v>110579694</v>
      </c>
      <c r="D213" s="2" t="inlineStr">
        <is>
          <t>RIR-C1823</t>
        </is>
      </c>
      <c r="E213" s="2" t="inlineStr">
        <is>
          <t>2036814333629</t>
        </is>
      </c>
      <c r="F213" s="2">
        <v>0</v>
      </c>
      <c r="G213" s="2">
        <v>1</v>
      </c>
      <c r="H213" s="2">
        <v>1</v>
      </c>
      <c r="I213" s="2" t="inlineStr">
        <is>
          <t>600</t>
        </is>
      </c>
      <c r="J213" s="4"/>
      <c r="K213" s="2">
        <v>0</v>
      </c>
      <c r="L213" s="6"/>
      <c r="M213" s="2" t="str">
        <f>IF(J213="",ROUND(I213*(1-IF(ISBLANK(L213),K213,L213)/100),2),ROUND(J213*(1-IF(ISBLANK(L213),K213,L213)/100),2))</f>
      </c>
      <c r="N213" s="7" t="str">
        <f>IF(NOT(AND(J213="",L213="")),IF(OR(AND(L213&lt;&gt;"",NOT(ISNUMBER(L213))),IFERROR(MOD(L213,1),1)&gt;0,AND(ISNUMBER(L213),OR(L213&lt;0,L213&gt;95))),"Введите целое число от 0 до 95",IF(OR(AND(J213&lt;&gt;"",NOT(ISNUMBER(J213))),IFERROR(MOD(J213,1),1)&gt;0,AND(ISNUMBER(J213),OR(J213&lt;50,J213&gt;20000000))),"Введите целое число от 50 до 20000000",IF(NOT(ABS(IFERROR(VALUE(LEFT(M213,FIND("-",M213)-1)),M213)*100-(5000+2000000000)/2)&lt;=ABS(5000-2000000000)/2),"Цена со скидкой должна быть от 50 до 20000000",IF(IFERROR(VALUE(LEFT(M213,FIND("-",M213)-1)),M213)*210&lt;60000,"Вы уменьшили цену в несколько раз, товар попадет в карантин цен","")))),"")</f>
      </c>
    </row>
    <row r="214">
      <c r="A214" s="2" t="inlineStr">
        <is>
          <t>SUN</t>
        </is>
      </c>
      <c r="B214" s="2" t="inlineStr">
        <is>
          <t>Ремни приводные</t>
        </is>
      </c>
      <c r="C214" s="2">
        <v>85978696</v>
      </c>
      <c r="D214" s="2" t="inlineStr">
        <is>
          <t>6PK1955</t>
        </is>
      </c>
      <c r="E214" s="2" t="inlineStr">
        <is>
          <t>2033698164790</t>
        </is>
      </c>
      <c r="F214" s="2">
        <v>0</v>
      </c>
      <c r="G214" s="2">
        <v>0</v>
      </c>
      <c r="H214" s="2" t="inlineStr">
        <is>
          <t/>
        </is>
      </c>
      <c r="I214" s="2" t="inlineStr">
        <is>
          <t>1200</t>
        </is>
      </c>
      <c r="J214" s="4"/>
      <c r="K214" s="2">
        <v>0</v>
      </c>
      <c r="L214" s="6"/>
      <c r="M214" s="2" t="str">
        <f>IF(J214="",ROUND(I214*(1-IF(ISBLANK(L214),K214,L214)/100),2),ROUND(J214*(1-IF(ISBLANK(L214),K214,L214)/100),2))</f>
      </c>
      <c r="N214" s="7" t="str">
        <f>IF(NOT(AND(J214="",L214="")),IF(OR(AND(L214&lt;&gt;"",NOT(ISNUMBER(L214))),IFERROR(MOD(L214,1),1)&gt;0,AND(ISNUMBER(L214),OR(L214&lt;0,L214&gt;95))),"Введите целое число от 0 до 95",IF(OR(AND(J214&lt;&gt;"",NOT(ISNUMBER(J214))),IFERROR(MOD(J214,1),1)&gt;0,AND(ISNUMBER(J214),OR(J214&lt;50,J214&gt;20000000))),"Введите целое число от 50 до 20000000",IF(NOT(ABS(IFERROR(VALUE(LEFT(M214,FIND("-",M214)-1)),M214)*100-(5000+2000000000)/2)&lt;=ABS(5000-2000000000)/2),"Цена со скидкой должна быть от 50 до 20000000",IF(IFERROR(VALUE(LEFT(M214,FIND("-",M214)-1)),M214)*210&lt;120000,"Вы уменьшили цену в несколько раз, товар попадет в карантин цен","")))),"")</f>
      </c>
    </row>
    <row r="215">
      <c r="A215" s="2" t="inlineStr">
        <is>
          <t>LYNXauto</t>
        </is>
      </c>
      <c r="B215" s="2" t="inlineStr">
        <is>
          <t>Фильтры масляные</t>
        </is>
      </c>
      <c r="C215" s="2">
        <v>161968748</v>
      </c>
      <c r="D215" s="2" t="inlineStr">
        <is>
          <t>RIR-LT1063</t>
        </is>
      </c>
      <c r="E215" s="2" t="inlineStr">
        <is>
          <t>2037863923946</t>
        </is>
      </c>
      <c r="F215" s="2">
        <v>0</v>
      </c>
      <c r="G215" s="2">
        <v>0</v>
      </c>
      <c r="H215" s="2">
        <v>0</v>
      </c>
      <c r="I215" s="2" t="inlineStr">
        <is>
          <t>1950</t>
        </is>
      </c>
      <c r="J215" s="4"/>
      <c r="K215" s="2">
        <v>0</v>
      </c>
      <c r="L215" s="6"/>
      <c r="M215" s="2" t="str">
        <f>IF(J215="",ROUND(I215*(1-IF(ISBLANK(L215),K215,L215)/100),2),ROUND(J215*(1-IF(ISBLANK(L215),K215,L215)/100),2))</f>
      </c>
      <c r="N215" s="7" t="str">
        <f>IF(NOT(AND(J215="",L215="")),IF(OR(AND(L215&lt;&gt;"",NOT(ISNUMBER(L215))),IFERROR(MOD(L215,1),1)&gt;0,AND(ISNUMBER(L215),OR(L215&lt;0,L215&gt;95))),"Введите целое число от 0 до 95",IF(OR(AND(J215&lt;&gt;"",NOT(ISNUMBER(J215))),IFERROR(MOD(J215,1),1)&gt;0,AND(ISNUMBER(J215),OR(J215&lt;50,J215&gt;20000000))),"Введите целое число от 50 до 20000000",IF(NOT(ABS(IFERROR(VALUE(LEFT(M215,FIND("-",M215)-1)),M215)*100-(5000+2000000000)/2)&lt;=ABS(5000-2000000000)/2),"Цена со скидкой должна быть от 50 до 20000000",IF(IFERROR(VALUE(LEFT(M215,FIND("-",M215)-1)),M215)*210&lt;195000,"Вы уменьшили цену в несколько раз, товар попадет в карантин цен","")))),"")</f>
      </c>
    </row>
    <row r="216">
      <c r="A216" s="2" t="inlineStr">
        <is>
          <t>Zekkert</t>
        </is>
      </c>
      <c r="B216" s="2" t="inlineStr">
        <is>
          <t>Фильтры салонные</t>
        </is>
      </c>
      <c r="C216" s="2">
        <v>87418693</v>
      </c>
      <c r="D216" s="2" t="inlineStr">
        <is>
          <t>RIR-IF-3020</t>
        </is>
      </c>
      <c r="E216" s="2" t="inlineStr">
        <is>
          <t>2034772096624</t>
        </is>
      </c>
      <c r="F216" s="2">
        <v>0</v>
      </c>
      <c r="G216" s="2">
        <v>0</v>
      </c>
      <c r="H216" s="2">
        <v>0</v>
      </c>
      <c r="I216" s="2" t="inlineStr">
        <is>
          <t>440</t>
        </is>
      </c>
      <c r="J216" s="4"/>
      <c r="K216" s="2">
        <v>0</v>
      </c>
      <c r="L216" s="6"/>
      <c r="M216" s="2" t="str">
        <f>IF(J216="",ROUND(I216*(1-IF(ISBLANK(L216),K216,L216)/100),2),ROUND(J216*(1-IF(ISBLANK(L216),K216,L216)/100),2))</f>
      </c>
      <c r="N216" s="7" t="str">
        <f>IF(NOT(AND(J216="",L216="")),IF(OR(AND(L216&lt;&gt;"",NOT(ISNUMBER(L216))),IFERROR(MOD(L216,1),1)&gt;0,AND(ISNUMBER(L216),OR(L216&lt;0,L216&gt;95))),"Введите целое число от 0 до 95",IF(OR(AND(J216&lt;&gt;"",NOT(ISNUMBER(J216))),IFERROR(MOD(J216,1),1)&gt;0,AND(ISNUMBER(J216),OR(J216&lt;50,J216&gt;20000000))),"Введите целое число от 50 до 20000000",IF(NOT(ABS(IFERROR(VALUE(LEFT(M216,FIND("-",M216)-1)),M216)*100-(5000+2000000000)/2)&lt;=ABS(5000-2000000000)/2),"Цена со скидкой должна быть от 50 до 20000000",IF(IFERROR(VALUE(LEFT(M216,FIND("-",M216)-1)),M216)*210&lt;44000,"Вы уменьшили цену в несколько раз, товар попадет в карантин цен","")))),"")</f>
      </c>
    </row>
    <row r="217">
      <c r="A217" s="2" t="inlineStr">
        <is>
          <t>LivCar</t>
        </is>
      </c>
      <c r="B217" s="2" t="inlineStr">
        <is>
          <t>Фильтры салонные</t>
        </is>
      </c>
      <c r="C217" s="2">
        <v>176456764</v>
      </c>
      <c r="D217" s="2" t="inlineStr">
        <is>
          <t>RIR-LCT1081919S</t>
        </is>
      </c>
      <c r="E217" s="2" t="inlineStr">
        <is>
          <t>2038596592256</t>
        </is>
      </c>
      <c r="F217" s="2">
        <v>0</v>
      </c>
      <c r="G217" s="2">
        <v>1</v>
      </c>
      <c r="H217" s="2" t="inlineStr">
        <is>
          <t/>
        </is>
      </c>
      <c r="I217" s="2" t="inlineStr">
        <is>
          <t>520</t>
        </is>
      </c>
      <c r="J217" s="4"/>
      <c r="K217" s="2">
        <v>0</v>
      </c>
      <c r="L217" s="6"/>
      <c r="M217" s="2" t="str">
        <f>IF(J217="",ROUND(I217*(1-IF(ISBLANK(L217),K217,L217)/100),2),ROUND(J217*(1-IF(ISBLANK(L217),K217,L217)/100),2))</f>
      </c>
      <c r="N217" s="7" t="str">
        <f>IF(NOT(AND(J217="",L217="")),IF(OR(AND(L217&lt;&gt;"",NOT(ISNUMBER(L217))),IFERROR(MOD(L217,1),1)&gt;0,AND(ISNUMBER(L217),OR(L217&lt;0,L217&gt;95))),"Введите целое число от 0 до 95",IF(OR(AND(J217&lt;&gt;"",NOT(ISNUMBER(J217))),IFERROR(MOD(J217,1),1)&gt;0,AND(ISNUMBER(J217),OR(J217&lt;50,J217&gt;20000000))),"Введите целое число от 50 до 20000000",IF(NOT(ABS(IFERROR(VALUE(LEFT(M217,FIND("-",M217)-1)),M217)*100-(5000+2000000000)/2)&lt;=ABS(5000-2000000000)/2),"Цена со скидкой должна быть от 50 до 20000000",IF(IFERROR(VALUE(LEFT(M217,FIND("-",M217)-1)),M217)*210&lt;52000,"Вы уменьшили цену в несколько раз, товар попадет в карантин цен","")))),"")</f>
      </c>
    </row>
    <row r="218">
      <c r="A218" s="2" t="inlineStr">
        <is>
          <t>Goodwill</t>
        </is>
      </c>
      <c r="B218" s="2" t="inlineStr">
        <is>
          <t>Фильтры воздушные</t>
        </is>
      </c>
      <c r="C218" s="2">
        <v>149968305</v>
      </c>
      <c r="D218" s="2" t="inlineStr">
        <is>
          <t>RIR-AG290</t>
        </is>
      </c>
      <c r="E218" s="2" t="inlineStr">
        <is>
          <t>2037559156641</t>
        </is>
      </c>
      <c r="F218" s="2">
        <v>0</v>
      </c>
      <c r="G218" s="2">
        <v>1</v>
      </c>
      <c r="H218" s="2">
        <v>1</v>
      </c>
      <c r="I218" s="2" t="inlineStr">
        <is>
          <t>680</t>
        </is>
      </c>
      <c r="J218" s="4"/>
      <c r="K218" s="2">
        <v>0</v>
      </c>
      <c r="L218" s="6"/>
      <c r="M218" s="2" t="str">
        <f>IF(J218="",ROUND(I218*(1-IF(ISBLANK(L218),K218,L218)/100),2),ROUND(J218*(1-IF(ISBLANK(L218),K218,L218)/100),2))</f>
      </c>
      <c r="N218" s="7" t="str">
        <f>IF(NOT(AND(J218="",L218="")),IF(OR(AND(L218&lt;&gt;"",NOT(ISNUMBER(L218))),IFERROR(MOD(L218,1),1)&gt;0,AND(ISNUMBER(L218),OR(L218&lt;0,L218&gt;95))),"Введите целое число от 0 до 95",IF(OR(AND(J218&lt;&gt;"",NOT(ISNUMBER(J218))),IFERROR(MOD(J218,1),1)&gt;0,AND(ISNUMBER(J218),OR(J218&lt;50,J218&gt;20000000))),"Введите целое число от 50 до 20000000",IF(NOT(ABS(IFERROR(VALUE(LEFT(M218,FIND("-",M218)-1)),M218)*100-(5000+2000000000)/2)&lt;=ABS(5000-2000000000)/2),"Цена со скидкой должна быть от 50 до 20000000",IF(IFERROR(VALUE(LEFT(M218,FIND("-",M218)-1)),M218)*210&lt;68000,"Вы уменьшили цену в несколько раз, товар попадет в карантин цен","")))),"")</f>
      </c>
    </row>
    <row r="219">
      <c r="A219" s="2" t="inlineStr">
        <is>
          <t>Kashiyama</t>
        </is>
      </c>
      <c r="B219" s="2" t="inlineStr">
        <is>
          <t>Колодки автомобильные</t>
        </is>
      </c>
      <c r="C219" s="2">
        <v>200545932</v>
      </c>
      <c r="D219" s="2" t="inlineStr">
        <is>
          <t>RIR-D1339</t>
        </is>
      </c>
      <c r="E219" s="2" t="inlineStr">
        <is>
          <t>2039317592661</t>
        </is>
      </c>
      <c r="F219" s="2">
        <v>0</v>
      </c>
      <c r="G219" s="2">
        <v>1</v>
      </c>
      <c r="H219" s="2" t="inlineStr">
        <is>
          <t/>
        </is>
      </c>
      <c r="I219" s="2" t="inlineStr">
        <is>
          <t>2830</t>
        </is>
      </c>
      <c r="J219" s="4"/>
      <c r="K219" s="2">
        <v>0</v>
      </c>
      <c r="L219" s="6"/>
      <c r="M219" s="2" t="str">
        <f>IF(J219="",ROUND(I219*(1-IF(ISBLANK(L219),K219,L219)/100),2),ROUND(J219*(1-IF(ISBLANK(L219),K219,L219)/100),2))</f>
      </c>
      <c r="N219" s="7" t="str">
        <f>IF(NOT(AND(J219="",L219="")),IF(OR(AND(L219&lt;&gt;"",NOT(ISNUMBER(L219))),IFERROR(MOD(L219,1),1)&gt;0,AND(ISNUMBER(L219),OR(L219&lt;0,L219&gt;95))),"Введите целое число от 0 до 95",IF(OR(AND(J219&lt;&gt;"",NOT(ISNUMBER(J219))),IFERROR(MOD(J219,1),1)&gt;0,AND(ISNUMBER(J219),OR(J219&lt;50,J219&gt;20000000))),"Введите целое число от 50 до 20000000",IF(NOT(ABS(IFERROR(VALUE(LEFT(M219,FIND("-",M219)-1)),M219)*100-(5000+2000000000)/2)&lt;=ABS(5000-2000000000)/2),"Цена со скидкой должна быть от 50 до 20000000",IF(IFERROR(VALUE(LEFT(M219,FIND("-",M219)-1)),M219)*210&lt;283000,"Вы уменьшили цену в несколько раз, товар попадет в карантин цен","")))),"")</f>
      </c>
    </row>
    <row r="220">
      <c r="A220" s="2" t="inlineStr">
        <is>
          <t>Finwhale</t>
        </is>
      </c>
      <c r="B220" s="2" t="inlineStr">
        <is>
          <t>Свечи зажигания</t>
        </is>
      </c>
      <c r="C220" s="2">
        <v>175301231</v>
      </c>
      <c r="D220" s="2" t="inlineStr">
        <is>
          <t>RIR-F516</t>
        </is>
      </c>
      <c r="E220" s="2" t="inlineStr">
        <is>
          <t>2038536176126</t>
        </is>
      </c>
      <c r="F220" s="2">
        <v>0</v>
      </c>
      <c r="G220" s="2">
        <v>1</v>
      </c>
      <c r="H220" s="2" t="inlineStr">
        <is>
          <t/>
        </is>
      </c>
      <c r="I220" s="2" t="inlineStr">
        <is>
          <t>730</t>
        </is>
      </c>
      <c r="J220" s="4"/>
      <c r="K220" s="2">
        <v>2</v>
      </c>
      <c r="L220" s="6"/>
      <c r="M220" s="2" t="str">
        <f>IF(J220="",ROUND(I220*(1-IF(ISBLANK(L220),K220,L220)/100),2),ROUND(J220*(1-IF(ISBLANK(L220),K220,L220)/100),2))</f>
      </c>
      <c r="N220" s="7" t="str">
        <f>IF(NOT(AND(J220="",L220="")),IF(OR(AND(L220&lt;&gt;"",NOT(ISNUMBER(L220))),IFERROR(MOD(L220,1),1)&gt;0,AND(ISNUMBER(L220),OR(L220&lt;0,L220&gt;95))),"Введите целое число от 0 до 95",IF(OR(AND(J220&lt;&gt;"",NOT(ISNUMBER(J220))),IFERROR(MOD(J220,1),1)&gt;0,AND(ISNUMBER(J220),OR(J220&lt;50,J220&gt;20000000))),"Введите целое число от 50 до 20000000",IF(NOT(ABS(IFERROR(VALUE(LEFT(M220,FIND("-",M220)-1)),M220)*100-(5000+2000000000)/2)&lt;=ABS(5000-2000000000)/2),"Цена со скидкой должна быть от 50 до 20000000",IF(IFERROR(VALUE(LEFT(M220,FIND("-",M220)-1)),M220)*210&lt;71540,"Вы уменьшили цену в несколько раз, товар попадет в карантин цен","")))),"")</f>
      </c>
    </row>
    <row r="221">
      <c r="A221" s="2" t="inlineStr">
        <is>
          <t>Olymp</t>
        </is>
      </c>
      <c r="B221" s="2" t="inlineStr">
        <is>
          <t>Фильтры салонные</t>
        </is>
      </c>
      <c r="C221" s="2">
        <v>160873209</v>
      </c>
      <c r="D221" s="2" t="inlineStr">
        <is>
          <t>RIR-FS53</t>
        </is>
      </c>
      <c r="E221" s="2" t="inlineStr">
        <is>
          <t>2037829680654</t>
        </is>
      </c>
      <c r="F221" s="2">
        <v>0</v>
      </c>
      <c r="G221" s="2">
        <v>1</v>
      </c>
      <c r="H221" s="2">
        <v>0</v>
      </c>
      <c r="I221" s="2" t="inlineStr">
        <is>
          <t>390</t>
        </is>
      </c>
      <c r="J221" s="4"/>
      <c r="K221" s="2">
        <v>2</v>
      </c>
      <c r="L221" s="6"/>
      <c r="M221" s="2" t="str">
        <f>IF(J221="",ROUND(I221*(1-IF(ISBLANK(L221),K221,L221)/100),2),ROUND(J221*(1-IF(ISBLANK(L221),K221,L221)/100),2))</f>
      </c>
      <c r="N221" s="7" t="str">
        <f>IF(NOT(AND(J221="",L221="")),IF(OR(AND(L221&lt;&gt;"",NOT(ISNUMBER(L221))),IFERROR(MOD(L221,1),1)&gt;0,AND(ISNUMBER(L221),OR(L221&lt;0,L221&gt;95))),"Введите целое число от 0 до 95",IF(OR(AND(J221&lt;&gt;"",NOT(ISNUMBER(J221))),IFERROR(MOD(J221,1),1)&gt;0,AND(ISNUMBER(J221),OR(J221&lt;50,J221&gt;20000000))),"Введите целое число от 50 до 20000000",IF(NOT(ABS(IFERROR(VALUE(LEFT(M221,FIND("-",M221)-1)),M221)*100-(5000+2000000000)/2)&lt;=ABS(5000-2000000000)/2),"Цена со скидкой должна быть от 50 до 20000000",IF(IFERROR(VALUE(LEFT(M221,FIND("-",M221)-1)),M221)*210&lt;38220,"Вы уменьшили цену в несколько раз, товар попадет в карантин цен","")))),"")</f>
      </c>
    </row>
    <row r="222">
      <c r="A222" s="2" t="inlineStr">
        <is>
          <t>SANGSIN / HI-Q</t>
        </is>
      </c>
      <c r="B222" s="2" t="inlineStr">
        <is>
          <t>Колодки автомобильные</t>
        </is>
      </c>
      <c r="C222" s="2">
        <v>357269262</v>
      </c>
      <c r="D222" s="2" t="inlineStr">
        <is>
          <t>RIR-SP1564_2</t>
        </is>
      </c>
      <c r="E222" s="2" t="inlineStr">
        <is>
          <t>2043178888641</t>
        </is>
      </c>
      <c r="F222" s="2">
        <v>0</v>
      </c>
      <c r="G222" s="2">
        <v>0</v>
      </c>
      <c r="H222" s="2" t="inlineStr">
        <is>
          <t/>
        </is>
      </c>
      <c r="I222" s="2" t="inlineStr">
        <is>
          <t>1950</t>
        </is>
      </c>
      <c r="J222" s="4"/>
      <c r="K222" s="2">
        <v>0</v>
      </c>
      <c r="L222" s="6"/>
      <c r="M222" s="2" t="str">
        <f>IF(J222="",ROUND(I222*(1-IF(ISBLANK(L222),K222,L222)/100),2),ROUND(J222*(1-IF(ISBLANK(L222),K222,L222)/100),2))</f>
      </c>
      <c r="N222" s="7" t="str">
        <f>IF(NOT(AND(J222="",L222="")),IF(OR(AND(L222&lt;&gt;"",NOT(ISNUMBER(L222))),IFERROR(MOD(L222,1),1)&gt;0,AND(ISNUMBER(L222),OR(L222&lt;0,L222&gt;95))),"Введите целое число от 0 до 95",IF(OR(AND(J222&lt;&gt;"",NOT(ISNUMBER(J222))),IFERROR(MOD(J222,1),1)&gt;0,AND(ISNUMBER(J222),OR(J222&lt;50,J222&gt;20000000))),"Введите целое число от 50 до 20000000",IF(NOT(ABS(IFERROR(VALUE(LEFT(M222,FIND("-",M222)-1)),M222)*100-(5000+2000000000)/2)&lt;=ABS(5000-2000000000)/2),"Цена со скидкой должна быть от 50 до 20000000",IF(IFERROR(VALUE(LEFT(M222,FIND("-",M222)-1)),M222)*210&lt;195000,"Вы уменьшили цену в несколько раз, товар попадет в карантин цен","")))),"")</f>
      </c>
    </row>
    <row r="223">
      <c r="A223" s="2" t="inlineStr">
        <is>
          <t>AMD</t>
        </is>
      </c>
      <c r="B223" s="2" t="inlineStr">
        <is>
          <t>Датчики положения коленвала</t>
        </is>
      </c>
      <c r="C223" s="2">
        <v>100074121</v>
      </c>
      <c r="D223" s="2" t="inlineStr">
        <is>
          <t>RIR-AMDSEN84</t>
        </is>
      </c>
      <c r="E223" s="2" t="inlineStr">
        <is>
          <t>2036807859150</t>
        </is>
      </c>
      <c r="F223" s="2">
        <v>0</v>
      </c>
      <c r="G223" s="2">
        <v>1</v>
      </c>
      <c r="H223" s="2">
        <v>0</v>
      </c>
      <c r="I223" s="2" t="inlineStr">
        <is>
          <t>830</t>
        </is>
      </c>
      <c r="J223" s="4"/>
      <c r="K223" s="2">
        <v>0</v>
      </c>
      <c r="L223" s="6"/>
      <c r="M223" s="2" t="str">
        <f>IF(J223="",ROUND(I223*(1-IF(ISBLANK(L223),K223,L223)/100),2),ROUND(J223*(1-IF(ISBLANK(L223),K223,L223)/100),2))</f>
      </c>
      <c r="N223" s="7" t="str">
        <f>IF(NOT(AND(J223="",L223="")),IF(OR(AND(L223&lt;&gt;"",NOT(ISNUMBER(L223))),IFERROR(MOD(L223,1),1)&gt;0,AND(ISNUMBER(L223),OR(L223&lt;0,L223&gt;95))),"Введите целое число от 0 до 95",IF(OR(AND(J223&lt;&gt;"",NOT(ISNUMBER(J223))),IFERROR(MOD(J223,1),1)&gt;0,AND(ISNUMBER(J223),OR(J223&lt;50,J223&gt;20000000))),"Введите целое число от 50 до 20000000",IF(NOT(ABS(IFERROR(VALUE(LEFT(M223,FIND("-",M223)-1)),M223)*100-(5000+2000000000)/2)&lt;=ABS(5000-2000000000)/2),"Цена со скидкой должна быть от 50 до 20000000",IF(IFERROR(VALUE(LEFT(M223,FIND("-",M223)-1)),M223)*210&lt;83000,"Вы уменьшили цену в несколько раз, товар попадет в карантин цен","")))),"")</f>
      </c>
    </row>
    <row r="224">
      <c r="A224" s="2" t="inlineStr">
        <is>
          <t>Masuma</t>
        </is>
      </c>
      <c r="B224" s="2" t="inlineStr">
        <is>
          <t>Колодки автомобильные</t>
        </is>
      </c>
      <c r="C224" s="2">
        <v>162877034</v>
      </c>
      <c r="D224" s="2" t="inlineStr">
        <is>
          <t>RIR-MS2466</t>
        </is>
      </c>
      <c r="E224" s="2" t="inlineStr">
        <is>
          <t>2037902986598</t>
        </is>
      </c>
      <c r="F224" s="2">
        <v>0</v>
      </c>
      <c r="G224" s="2">
        <v>0</v>
      </c>
      <c r="H224" s="2">
        <v>0</v>
      </c>
      <c r="I224" s="2" t="inlineStr">
        <is>
          <t>1760</t>
        </is>
      </c>
      <c r="J224" s="4"/>
      <c r="K224" s="2">
        <v>0</v>
      </c>
      <c r="L224" s="6"/>
      <c r="M224" s="2" t="str">
        <f>IF(J224="",ROUND(I224*(1-IF(ISBLANK(L224),K224,L224)/100),2),ROUND(J224*(1-IF(ISBLANK(L224),K224,L224)/100),2))</f>
      </c>
      <c r="N224" s="7" t="str">
        <f>IF(NOT(AND(J224="",L224="")),IF(OR(AND(L224&lt;&gt;"",NOT(ISNUMBER(L224))),IFERROR(MOD(L224,1),1)&gt;0,AND(ISNUMBER(L224),OR(L224&lt;0,L224&gt;95))),"Введите целое число от 0 до 95",IF(OR(AND(J224&lt;&gt;"",NOT(ISNUMBER(J224))),IFERROR(MOD(J224,1),1)&gt;0,AND(ISNUMBER(J224),OR(J224&lt;50,J224&gt;20000000))),"Введите целое число от 50 до 20000000",IF(NOT(ABS(IFERROR(VALUE(LEFT(M224,FIND("-",M224)-1)),M224)*100-(5000+2000000000)/2)&lt;=ABS(5000-2000000000)/2),"Цена со скидкой должна быть от 50 до 20000000",IF(IFERROR(VALUE(LEFT(M224,FIND("-",M224)-1)),M224)*210&lt;176000,"Вы уменьшили цену в несколько раз, товар попадет в карантин цен","")))),"")</f>
      </c>
    </row>
    <row r="225">
      <c r="A225" s="2" t="inlineStr">
        <is>
          <t>AMD</t>
        </is>
      </c>
      <c r="B225" s="2" t="inlineStr">
        <is>
          <t>Шаровые опоры</t>
        </is>
      </c>
      <c r="C225" s="2">
        <v>191983935</v>
      </c>
      <c r="D225" s="2" t="inlineStr">
        <is>
          <t>RIR-AMDBJ119</t>
        </is>
      </c>
      <c r="E225" s="2" t="inlineStr">
        <is>
          <t>2039056360507</t>
        </is>
      </c>
      <c r="F225" s="2">
        <v>0</v>
      </c>
      <c r="G225" s="2">
        <v>2</v>
      </c>
      <c r="H225" s="2" t="inlineStr">
        <is>
          <t/>
        </is>
      </c>
      <c r="I225" s="2" t="inlineStr">
        <is>
          <t>1110</t>
        </is>
      </c>
      <c r="J225" s="4"/>
      <c r="K225" s="2">
        <v>0</v>
      </c>
      <c r="L225" s="6"/>
      <c r="M225" s="2" t="str">
        <f>IF(J225="",ROUND(I225*(1-IF(ISBLANK(L225),K225,L225)/100),2),ROUND(J225*(1-IF(ISBLANK(L225),K225,L225)/100),2))</f>
      </c>
      <c r="N225" s="7" t="str">
        <f>IF(NOT(AND(J225="",L225="")),IF(OR(AND(L225&lt;&gt;"",NOT(ISNUMBER(L225))),IFERROR(MOD(L225,1),1)&gt;0,AND(ISNUMBER(L225),OR(L225&lt;0,L225&gt;95))),"Введите целое число от 0 до 95",IF(OR(AND(J225&lt;&gt;"",NOT(ISNUMBER(J225))),IFERROR(MOD(J225,1),1)&gt;0,AND(ISNUMBER(J225),OR(J225&lt;50,J225&gt;20000000))),"Введите целое число от 50 до 20000000",IF(NOT(ABS(IFERROR(VALUE(LEFT(M225,FIND("-",M225)-1)),M225)*100-(5000+2000000000)/2)&lt;=ABS(5000-2000000000)/2),"Цена со скидкой должна быть от 50 до 20000000",IF(IFERROR(VALUE(LEFT(M225,FIND("-",M225)-1)),M225)*210&lt;111000,"Вы уменьшили цену в несколько раз, товар попадет в карантин цен","")))),"")</f>
      </c>
    </row>
    <row r="226">
      <c r="A226" s="2" t="inlineStr">
        <is>
          <t>LYNX AUTO</t>
        </is>
      </c>
      <c r="B226" s="2" t="inlineStr">
        <is>
          <t>Фильтры масляные</t>
        </is>
      </c>
      <c r="C226" s="2">
        <v>117755834</v>
      </c>
      <c r="D226" s="2" t="inlineStr">
        <is>
          <t>RIR-LC-1925</t>
        </is>
      </c>
      <c r="E226" s="2" t="inlineStr">
        <is>
          <t>2042203149627</t>
        </is>
      </c>
      <c r="F226" s="2">
        <v>0</v>
      </c>
      <c r="G226" s="2">
        <v>1</v>
      </c>
      <c r="H226" s="2">
        <v>1</v>
      </c>
      <c r="I226" s="2" t="inlineStr">
        <is>
          <t>520</t>
        </is>
      </c>
      <c r="J226" s="4"/>
      <c r="K226" s="2">
        <v>4</v>
      </c>
      <c r="L226" s="6"/>
      <c r="M226" s="2" t="str">
        <f>IF(J226="",ROUND(I226*(1-IF(ISBLANK(L226),K226,L226)/100),2),ROUND(J226*(1-IF(ISBLANK(L226),K226,L226)/100),2))</f>
      </c>
      <c r="N226" s="7" t="str">
        <f>IF(NOT(AND(J226="",L226="")),IF(OR(AND(L226&lt;&gt;"",NOT(ISNUMBER(L226))),IFERROR(MOD(L226,1),1)&gt;0,AND(ISNUMBER(L226),OR(L226&lt;0,L226&gt;95))),"Введите целое число от 0 до 95",IF(OR(AND(J226&lt;&gt;"",NOT(ISNUMBER(J226))),IFERROR(MOD(J226,1),1)&gt;0,AND(ISNUMBER(J226),OR(J226&lt;50,J226&gt;20000000))),"Введите целое число от 50 до 20000000",IF(NOT(ABS(IFERROR(VALUE(LEFT(M226,FIND("-",M226)-1)),M226)*100-(5000+2000000000)/2)&lt;=ABS(5000-2000000000)/2),"Цена со скидкой должна быть от 50 до 20000000",IF(IFERROR(VALUE(LEFT(M226,FIND("-",M226)-1)),M226)*210&lt;49920,"Вы уменьшили цену в несколько раз, товар попадет в карантин цен","")))),"")</f>
      </c>
    </row>
    <row r="227">
      <c r="A227" s="2" t="inlineStr">
        <is>
          <t>SangSin</t>
        </is>
      </c>
      <c r="B227" s="2" t="inlineStr">
        <is>
          <t>Колодки автомобильные</t>
        </is>
      </c>
      <c r="C227" s="2">
        <v>162577341</v>
      </c>
      <c r="D227" s="2" t="inlineStr">
        <is>
          <t>RIR-SP4140</t>
        </is>
      </c>
      <c r="E227" s="2" t="inlineStr">
        <is>
          <t>2037882879668</t>
        </is>
      </c>
      <c r="F227" s="2">
        <v>0</v>
      </c>
      <c r="G227" s="2">
        <v>1</v>
      </c>
      <c r="H227" s="2">
        <v>1</v>
      </c>
      <c r="I227" s="2" t="inlineStr">
        <is>
          <t>2485</t>
        </is>
      </c>
      <c r="J227" s="4"/>
      <c r="K227" s="2">
        <v>9</v>
      </c>
      <c r="L227" s="6"/>
      <c r="M227" s="2" t="str">
        <f>IF(J227="",ROUND(I227*(1-IF(ISBLANK(L227),K227,L227)/100),2),ROUND(J227*(1-IF(ISBLANK(L227),K227,L227)/100),2))</f>
      </c>
      <c r="N227" s="7" t="str">
        <f>IF(NOT(AND(J227="",L227="")),IF(OR(AND(L227&lt;&gt;"",NOT(ISNUMBER(L227))),IFERROR(MOD(L227,1),1)&gt;0,AND(ISNUMBER(L227),OR(L227&lt;0,L227&gt;95))),"Введите целое число от 0 до 95",IF(OR(AND(J227&lt;&gt;"",NOT(ISNUMBER(J227))),IFERROR(MOD(J227,1),1)&gt;0,AND(ISNUMBER(J227),OR(J227&lt;50,J227&gt;20000000))),"Введите целое число от 50 до 20000000",IF(NOT(ABS(IFERROR(VALUE(LEFT(M227,FIND("-",M227)-1)),M227)*100-(5000+2000000000)/2)&lt;=ABS(5000-2000000000)/2),"Цена со скидкой должна быть от 50 до 20000000",IF(IFERROR(VALUE(LEFT(M227,FIND("-",M227)-1)),M227)*210&lt;226135,"Вы уменьшили цену в несколько раз, товар попадет в карантин цен","")))),"")</f>
      </c>
    </row>
    <row r="228">
      <c r="A228" s="2" t="inlineStr">
        <is>
          <t>MANDO</t>
        </is>
      </c>
      <c r="B228" s="2" t="inlineStr">
        <is>
          <t>Колодки автомобильные</t>
        </is>
      </c>
      <c r="C228" s="2">
        <v>88009665</v>
      </c>
      <c r="D228" s="2" t="inlineStr">
        <is>
          <t>RIR-MPH64NS</t>
        </is>
      </c>
      <c r="E228" s="2" t="inlineStr">
        <is>
          <t>2034970111624</t>
        </is>
      </c>
      <c r="F228" s="2">
        <v>0</v>
      </c>
      <c r="G228" s="2">
        <v>0</v>
      </c>
      <c r="H228" s="2">
        <v>0</v>
      </c>
      <c r="I228" s="2" t="inlineStr">
        <is>
          <t>2750</t>
        </is>
      </c>
      <c r="J228" s="4"/>
      <c r="K228" s="2">
        <v>10</v>
      </c>
      <c r="L228" s="6"/>
      <c r="M228" s="2" t="str">
        <f>IF(J228="",ROUND(I228*(1-IF(ISBLANK(L228),K228,L228)/100),2),ROUND(J228*(1-IF(ISBLANK(L228),K228,L228)/100),2))</f>
      </c>
      <c r="N228" s="7" t="str">
        <f>IF(NOT(AND(J228="",L228="")),IF(OR(AND(L228&lt;&gt;"",NOT(ISNUMBER(L228))),IFERROR(MOD(L228,1),1)&gt;0,AND(ISNUMBER(L228),OR(L228&lt;0,L228&gt;95))),"Введите целое число от 0 до 95",IF(OR(AND(J228&lt;&gt;"",NOT(ISNUMBER(J228))),IFERROR(MOD(J228,1),1)&gt;0,AND(ISNUMBER(J228),OR(J228&lt;50,J228&gt;20000000))),"Введите целое число от 50 до 20000000",IF(NOT(ABS(IFERROR(VALUE(LEFT(M228,FIND("-",M228)-1)),M228)*100-(5000+2000000000)/2)&lt;=ABS(5000-2000000000)/2),"Цена со скидкой должна быть от 50 до 20000000",IF(IFERROR(VALUE(LEFT(M228,FIND("-",M228)-1)),M228)*210&lt;247500,"Вы уменьшили цену в несколько раз, товар попадет в карантин цен","")))),"")</f>
      </c>
    </row>
    <row r="229">
      <c r="A229" s="2" t="inlineStr">
        <is>
          <t>SANGSIN</t>
        </is>
      </c>
      <c r="B229" s="2" t="inlineStr">
        <is>
          <t>Колодки автомобильные</t>
        </is>
      </c>
      <c r="C229" s="2">
        <v>162573514</v>
      </c>
      <c r="D229" s="2" t="inlineStr">
        <is>
          <t>RIR-SP1715</t>
        </is>
      </c>
      <c r="E229" s="2" t="inlineStr">
        <is>
          <t>2037882746588</t>
        </is>
      </c>
      <c r="F229" s="2">
        <v>0</v>
      </c>
      <c r="G229" s="2">
        <v>0</v>
      </c>
      <c r="H229" s="2">
        <v>1</v>
      </c>
      <c r="I229" s="2" t="inlineStr">
        <is>
          <t>2500</t>
        </is>
      </c>
      <c r="J229" s="4"/>
      <c r="K229" s="2">
        <v>0</v>
      </c>
      <c r="L229" s="6"/>
      <c r="M229" s="2" t="str">
        <f>IF(J229="",ROUND(I229*(1-IF(ISBLANK(L229),K229,L229)/100),2),ROUND(J229*(1-IF(ISBLANK(L229),K229,L229)/100),2))</f>
      </c>
      <c r="N229" s="7" t="str">
        <f>IF(NOT(AND(J229="",L229="")),IF(OR(AND(L229&lt;&gt;"",NOT(ISNUMBER(L229))),IFERROR(MOD(L229,1),1)&gt;0,AND(ISNUMBER(L229),OR(L229&lt;0,L229&gt;95))),"Введите целое число от 0 до 95",IF(OR(AND(J229&lt;&gt;"",NOT(ISNUMBER(J229))),IFERROR(MOD(J229,1),1)&gt;0,AND(ISNUMBER(J229),OR(J229&lt;50,J229&gt;20000000))),"Введите целое число от 50 до 20000000",IF(NOT(ABS(IFERROR(VALUE(LEFT(M229,FIND("-",M229)-1)),M229)*100-(5000+2000000000)/2)&lt;=ABS(5000-2000000000)/2),"Цена со скидкой должна быть от 50 до 20000000",IF(IFERROR(VALUE(LEFT(M229,FIND("-",M229)-1)),M229)*210&lt;250000,"Вы уменьшили цену в несколько раз, товар попадет в карантин цен","")))),"")</f>
      </c>
    </row>
    <row r="230">
      <c r="A230" s="2" t="inlineStr">
        <is>
          <t>SUN</t>
        </is>
      </c>
      <c r="B230" s="2" t="inlineStr">
        <is>
          <t>Ремни приводные</t>
        </is>
      </c>
      <c r="C230" s="2">
        <v>85978691</v>
      </c>
      <c r="D230" s="2" t="inlineStr">
        <is>
          <t>5PK1070</t>
        </is>
      </c>
      <c r="E230" s="2" t="inlineStr">
        <is>
          <t>2033698164837</t>
        </is>
      </c>
      <c r="F230" s="2">
        <v>0</v>
      </c>
      <c r="G230" s="2">
        <v>1</v>
      </c>
      <c r="H230" s="2">
        <v>0</v>
      </c>
      <c r="I230" s="2" t="inlineStr">
        <is>
          <t>760</t>
        </is>
      </c>
      <c r="J230" s="4"/>
      <c r="K230" s="2">
        <v>2</v>
      </c>
      <c r="L230" s="6"/>
      <c r="M230" s="2" t="str">
        <f>IF(J230="",ROUND(I230*(1-IF(ISBLANK(L230),K230,L230)/100),2),ROUND(J230*(1-IF(ISBLANK(L230),K230,L230)/100),2))</f>
      </c>
      <c r="N230" s="7" t="str">
        <f>IF(NOT(AND(J230="",L230="")),IF(OR(AND(L230&lt;&gt;"",NOT(ISNUMBER(L230))),IFERROR(MOD(L230,1),1)&gt;0,AND(ISNUMBER(L230),OR(L230&lt;0,L230&gt;95))),"Введите целое число от 0 до 95",IF(OR(AND(J230&lt;&gt;"",NOT(ISNUMBER(J230))),IFERROR(MOD(J230,1),1)&gt;0,AND(ISNUMBER(J230),OR(J230&lt;50,J230&gt;20000000))),"Введите целое число от 50 до 20000000",IF(NOT(ABS(IFERROR(VALUE(LEFT(M230,FIND("-",M230)-1)),M230)*100-(5000+2000000000)/2)&lt;=ABS(5000-2000000000)/2),"Цена со скидкой должна быть от 50 до 20000000",IF(IFERROR(VALUE(LEFT(M230,FIND("-",M230)-1)),M230)*210&lt;74480,"Вы уменьшили цену в несколько раз, товар попадет в карантин цен","")))),"")</f>
      </c>
    </row>
    <row r="231">
      <c r="A231" s="2" t="inlineStr">
        <is>
          <t>SUN</t>
        </is>
      </c>
      <c r="B231" s="2" t="inlineStr">
        <is>
          <t>Ремни приводные</t>
        </is>
      </c>
      <c r="C231" s="2">
        <v>85978695</v>
      </c>
      <c r="D231" s="2" t="inlineStr">
        <is>
          <t>6PK1970</t>
        </is>
      </c>
      <c r="E231" s="2" t="inlineStr">
        <is>
          <t>2033698164851</t>
        </is>
      </c>
      <c r="F231" s="2">
        <v>0</v>
      </c>
      <c r="G231" s="2">
        <v>0</v>
      </c>
      <c r="H231" s="2">
        <v>0</v>
      </c>
      <c r="I231" s="2" t="inlineStr">
        <is>
          <t>1200</t>
        </is>
      </c>
      <c r="J231" s="4"/>
      <c r="K231" s="2">
        <v>0</v>
      </c>
      <c r="L231" s="6"/>
      <c r="M231" s="2" t="str">
        <f>IF(J231="",ROUND(I231*(1-IF(ISBLANK(L231),K231,L231)/100),2),ROUND(J231*(1-IF(ISBLANK(L231),K231,L231)/100),2))</f>
      </c>
      <c r="N231" s="7" t="str">
        <f>IF(NOT(AND(J231="",L231="")),IF(OR(AND(L231&lt;&gt;"",NOT(ISNUMBER(L231))),IFERROR(MOD(L231,1),1)&gt;0,AND(ISNUMBER(L231),OR(L231&lt;0,L231&gt;95))),"Введите целое число от 0 до 95",IF(OR(AND(J231&lt;&gt;"",NOT(ISNUMBER(J231))),IFERROR(MOD(J231,1),1)&gt;0,AND(ISNUMBER(J231),OR(J231&lt;50,J231&gt;20000000))),"Введите целое число от 50 до 20000000",IF(NOT(ABS(IFERROR(VALUE(LEFT(M231,FIND("-",M231)-1)),M231)*100-(5000+2000000000)/2)&lt;=ABS(5000-2000000000)/2),"Цена со скидкой должна быть от 50 до 20000000",IF(IFERROR(VALUE(LEFT(M231,FIND("-",M231)-1)),M231)*210&lt;120000,"Вы уменьшили цену в несколько раз, товар попадет в карантин цен","")))),"")</f>
      </c>
    </row>
    <row r="232">
      <c r="A232" s="2" t="inlineStr">
        <is>
          <t>SANGSIN</t>
        </is>
      </c>
      <c r="B232" s="2" t="inlineStr">
        <is>
          <t>Колодки автомобильные</t>
        </is>
      </c>
      <c r="C232" s="2">
        <v>160853369</v>
      </c>
      <c r="D232" s="2" t="inlineStr">
        <is>
          <t>RIR-SP2093</t>
        </is>
      </c>
      <c r="E232" s="2" t="inlineStr">
        <is>
          <t>2037829299511</t>
        </is>
      </c>
      <c r="F232" s="2">
        <v>0</v>
      </c>
      <c r="G232" s="2">
        <v>1</v>
      </c>
      <c r="H232" s="2">
        <v>0</v>
      </c>
      <c r="I232" s="2" t="inlineStr">
        <is>
          <t>2070</t>
        </is>
      </c>
      <c r="J232" s="4"/>
      <c r="K232" s="2">
        <v>4</v>
      </c>
      <c r="L232" s="6"/>
      <c r="M232" s="2" t="str">
        <f>IF(J232="",ROUND(I232*(1-IF(ISBLANK(L232),K232,L232)/100),2),ROUND(J232*(1-IF(ISBLANK(L232),K232,L232)/100),2))</f>
      </c>
      <c r="N232" s="7" t="str">
        <f>IF(NOT(AND(J232="",L232="")),IF(OR(AND(L232&lt;&gt;"",NOT(ISNUMBER(L232))),IFERROR(MOD(L232,1),1)&gt;0,AND(ISNUMBER(L232),OR(L232&lt;0,L232&gt;95))),"Введите целое число от 0 до 95",IF(OR(AND(J232&lt;&gt;"",NOT(ISNUMBER(J232))),IFERROR(MOD(J232,1),1)&gt;0,AND(ISNUMBER(J232),OR(J232&lt;50,J232&gt;20000000))),"Введите целое число от 50 до 20000000",IF(NOT(ABS(IFERROR(VALUE(LEFT(M232,FIND("-",M232)-1)),M232)*100-(5000+2000000000)/2)&lt;=ABS(5000-2000000000)/2),"Цена со скидкой должна быть от 50 до 20000000",IF(IFERROR(VALUE(LEFT(M232,FIND("-",M232)-1)),M232)*210&lt;198719,"Вы уменьшили цену в несколько раз, товар попадет в карантин цен","")))),"")</f>
      </c>
    </row>
    <row r="233">
      <c r="A233" s="2" t="inlineStr">
        <is>
          <t>SUN</t>
        </is>
      </c>
      <c r="B233" s="2" t="inlineStr">
        <is>
          <t>Ремни приводные</t>
        </is>
      </c>
      <c r="C233" s="2">
        <v>85978686</v>
      </c>
      <c r="D233" s="2" t="inlineStr">
        <is>
          <t>4PK810</t>
        </is>
      </c>
      <c r="E233" s="2" t="inlineStr">
        <is>
          <t>2033698164707</t>
        </is>
      </c>
      <c r="F233" s="2">
        <v>0</v>
      </c>
      <c r="G233" s="2">
        <v>0</v>
      </c>
      <c r="H233" s="2">
        <v>0</v>
      </c>
      <c r="I233" s="2" t="inlineStr">
        <is>
          <t>430</t>
        </is>
      </c>
      <c r="J233" s="4"/>
      <c r="K233" s="2">
        <v>0</v>
      </c>
      <c r="L233" s="6"/>
      <c r="M233" s="2" t="str">
        <f>IF(J233="",ROUND(I233*(1-IF(ISBLANK(L233),K233,L233)/100),2),ROUND(J233*(1-IF(ISBLANK(L233),K233,L233)/100),2))</f>
      </c>
      <c r="N233" s="7" t="str">
        <f>IF(NOT(AND(J233="",L233="")),IF(OR(AND(L233&lt;&gt;"",NOT(ISNUMBER(L233))),IFERROR(MOD(L233,1),1)&gt;0,AND(ISNUMBER(L233),OR(L233&lt;0,L233&gt;95))),"Введите целое число от 0 до 95",IF(OR(AND(J233&lt;&gt;"",NOT(ISNUMBER(J233))),IFERROR(MOD(J233,1),1)&gt;0,AND(ISNUMBER(J233),OR(J233&lt;50,J233&gt;20000000))),"Введите целое число от 50 до 20000000",IF(NOT(ABS(IFERROR(VALUE(LEFT(M233,FIND("-",M233)-1)),M233)*100-(5000+2000000000)/2)&lt;=ABS(5000-2000000000)/2),"Цена со скидкой должна быть от 50 до 20000000",IF(IFERROR(VALUE(LEFT(M233,FIND("-",M233)-1)),M233)*210&lt;43000,"Вы уменьшили цену в несколько раз, товар попадет в карантин цен","")))),"")</f>
      </c>
    </row>
    <row r="234">
      <c r="A234" s="2" t="inlineStr">
        <is>
          <t>SUN</t>
        </is>
      </c>
      <c r="B234" s="2" t="inlineStr">
        <is>
          <t>Ремни приводные</t>
        </is>
      </c>
      <c r="C234" s="2">
        <v>85978685</v>
      </c>
      <c r="D234" s="2" t="inlineStr">
        <is>
          <t>3PK845</t>
        </is>
      </c>
      <c r="E234" s="2" t="inlineStr">
        <is>
          <t>2033698164639</t>
        </is>
      </c>
      <c r="F234" s="2">
        <v>0</v>
      </c>
      <c r="G234" s="2">
        <v>5</v>
      </c>
      <c r="H234" s="2">
        <v>0</v>
      </c>
      <c r="I234" s="2" t="inlineStr">
        <is>
          <t>400</t>
        </is>
      </c>
      <c r="J234" s="4"/>
      <c r="K234" s="2">
        <v>2</v>
      </c>
      <c r="L234" s="6"/>
      <c r="M234" s="2" t="str">
        <f>IF(J234="",ROUND(I234*(1-IF(ISBLANK(L234),K234,L234)/100),2),ROUND(J234*(1-IF(ISBLANK(L234),K234,L234)/100),2))</f>
      </c>
      <c r="N234" s="7" t="str">
        <f>IF(NOT(AND(J234="",L234="")),IF(OR(AND(L234&lt;&gt;"",NOT(ISNUMBER(L234))),IFERROR(MOD(L234,1),1)&gt;0,AND(ISNUMBER(L234),OR(L234&lt;0,L234&gt;95))),"Введите целое число от 0 до 95",IF(OR(AND(J234&lt;&gt;"",NOT(ISNUMBER(J234))),IFERROR(MOD(J234,1),1)&gt;0,AND(ISNUMBER(J234),OR(J234&lt;50,J234&gt;20000000))),"Введите целое число от 50 до 20000000",IF(NOT(ABS(IFERROR(VALUE(LEFT(M234,FIND("-",M234)-1)),M234)*100-(5000+2000000000)/2)&lt;=ABS(5000-2000000000)/2),"Цена со скидкой должна быть от 50 до 20000000",IF(IFERROR(VALUE(LEFT(M234,FIND("-",M234)-1)),M234)*210&lt;39200,"Вы уменьшили цену в несколько раз, товар попадет в карантин цен","")))),"")</f>
      </c>
    </row>
    <row r="235">
      <c r="A235" s="2" t="inlineStr">
        <is>
          <t>SUN</t>
        </is>
      </c>
      <c r="B235" s="2" t="inlineStr">
        <is>
          <t>Ремни приводные</t>
        </is>
      </c>
      <c r="C235" s="2">
        <v>85978687</v>
      </c>
      <c r="D235" s="2" t="inlineStr">
        <is>
          <t>4PK1170</t>
        </is>
      </c>
      <c r="E235" s="2" t="inlineStr">
        <is>
          <t>2033698164660</t>
        </is>
      </c>
      <c r="F235" s="2">
        <v>0</v>
      </c>
      <c r="G235" s="2">
        <v>1</v>
      </c>
      <c r="H235" s="2">
        <v>1</v>
      </c>
      <c r="I235" s="2" t="inlineStr">
        <is>
          <t>600</t>
        </is>
      </c>
      <c r="J235" s="4"/>
      <c r="K235" s="2">
        <v>2</v>
      </c>
      <c r="L235" s="6"/>
      <c r="M235" s="2" t="str">
        <f>IF(J235="",ROUND(I235*(1-IF(ISBLANK(L235),K235,L235)/100),2),ROUND(J235*(1-IF(ISBLANK(L235),K235,L235)/100),2))</f>
      </c>
      <c r="N235" s="7" t="str">
        <f>IF(NOT(AND(J235="",L235="")),IF(OR(AND(L235&lt;&gt;"",NOT(ISNUMBER(L235))),IFERROR(MOD(L235,1),1)&gt;0,AND(ISNUMBER(L235),OR(L235&lt;0,L235&gt;95))),"Введите целое число от 0 до 95",IF(OR(AND(J235&lt;&gt;"",NOT(ISNUMBER(J235))),IFERROR(MOD(J235,1),1)&gt;0,AND(ISNUMBER(J235),OR(J235&lt;50,J235&gt;20000000))),"Введите целое число от 50 до 20000000",IF(NOT(ABS(IFERROR(VALUE(LEFT(M235,FIND("-",M235)-1)),M235)*100-(5000+2000000000)/2)&lt;=ABS(5000-2000000000)/2),"Цена со скидкой должна быть от 50 до 20000000",IF(IFERROR(VALUE(LEFT(M235,FIND("-",M235)-1)),M235)*210&lt;58800,"Вы уменьшили цену в несколько раз, товар попадет в карантин цен","")))),"")</f>
      </c>
    </row>
    <row r="236">
      <c r="A236" s="2" t="inlineStr">
        <is>
          <t>SANGSIN</t>
        </is>
      </c>
      <c r="B236" s="2" t="inlineStr">
        <is>
          <t>Колодки автомобильные</t>
        </is>
      </c>
      <c r="C236" s="2">
        <v>111845936</v>
      </c>
      <c r="D236" s="2" t="inlineStr">
        <is>
          <t>RIR-SP1401</t>
        </is>
      </c>
      <c r="E236" s="2" t="inlineStr">
        <is>
          <t>2038405562623</t>
        </is>
      </c>
      <c r="F236" s="2">
        <v>0</v>
      </c>
      <c r="G236" s="2">
        <v>1</v>
      </c>
      <c r="H236" s="2">
        <v>1</v>
      </c>
      <c r="I236" s="2" t="inlineStr">
        <is>
          <t>1530</t>
        </is>
      </c>
      <c r="J236" s="4"/>
      <c r="K236" s="2">
        <v>0</v>
      </c>
      <c r="L236" s="6"/>
      <c r="M236" s="2" t="str">
        <f>IF(J236="",ROUND(I236*(1-IF(ISBLANK(L236),K236,L236)/100),2),ROUND(J236*(1-IF(ISBLANK(L236),K236,L236)/100),2))</f>
      </c>
      <c r="N236" s="7" t="str">
        <f>IF(NOT(AND(J236="",L236="")),IF(OR(AND(L236&lt;&gt;"",NOT(ISNUMBER(L236))),IFERROR(MOD(L236,1),1)&gt;0,AND(ISNUMBER(L236),OR(L236&lt;0,L236&gt;95))),"Введите целое число от 0 до 95",IF(OR(AND(J236&lt;&gt;"",NOT(ISNUMBER(J236))),IFERROR(MOD(J236,1),1)&gt;0,AND(ISNUMBER(J236),OR(J236&lt;50,J236&gt;20000000))),"Введите целое число от 50 до 20000000",IF(NOT(ABS(IFERROR(VALUE(LEFT(M236,FIND("-",M236)-1)),M236)*100-(5000+2000000000)/2)&lt;=ABS(5000-2000000000)/2),"Цена со скидкой должна быть от 50 до 20000000",IF(IFERROR(VALUE(LEFT(M236,FIND("-",M236)-1)),M236)*210&lt;153000,"Вы уменьшили цену в несколько раз, товар попадет в карантин цен","")))),"")</f>
      </c>
    </row>
    <row r="237">
      <c r="A237" s="2" t="inlineStr">
        <is>
          <t>BRISK</t>
        </is>
      </c>
      <c r="B237" s="2" t="inlineStr">
        <is>
          <t>Свечи зажигания</t>
        </is>
      </c>
      <c r="C237" s="2">
        <v>430977226</v>
      </c>
      <c r="D237" s="2" t="inlineStr">
        <is>
          <t>RIR-DR15LDC</t>
        </is>
      </c>
      <c r="E237" s="2" t="inlineStr">
        <is>
          <t>2044237556693</t>
        </is>
      </c>
      <c r="F237" s="2">
        <v>0</v>
      </c>
      <c r="G237" s="2">
        <v>1</v>
      </c>
      <c r="H237" s="2" t="inlineStr">
        <is>
          <t/>
        </is>
      </c>
      <c r="I237" s="2" t="inlineStr">
        <is>
          <t>1070</t>
        </is>
      </c>
      <c r="J237" s="4"/>
      <c r="K237" s="2">
        <v>0</v>
      </c>
      <c r="L237" s="6"/>
      <c r="M237" s="2" t="str">
        <f>IF(J237="",ROUND(I237*(1-IF(ISBLANK(L237),K237,L237)/100),2),ROUND(J237*(1-IF(ISBLANK(L237),K237,L237)/100),2))</f>
      </c>
      <c r="N237" s="7" t="str">
        <f>IF(NOT(AND(J237="",L237="")),IF(OR(AND(L237&lt;&gt;"",NOT(ISNUMBER(L237))),IFERROR(MOD(L237,1),1)&gt;0,AND(ISNUMBER(L237),OR(L237&lt;0,L237&gt;95))),"Введите целое число от 0 до 95",IF(OR(AND(J237&lt;&gt;"",NOT(ISNUMBER(J237))),IFERROR(MOD(J237,1),1)&gt;0,AND(ISNUMBER(J237),OR(J237&lt;50,J237&gt;20000000))),"Введите целое число от 50 до 20000000",IF(NOT(ABS(IFERROR(VALUE(LEFT(M237,FIND("-",M237)-1)),M237)*100-(5000+2000000000)/2)&lt;=ABS(5000-2000000000)/2),"Цена со скидкой должна быть от 50 до 20000000",IF(IFERROR(VALUE(LEFT(M237,FIND("-",M237)-1)),M237)*210&lt;107000,"Вы уменьшили цену в несколько раз, товар попадет в карантин цен","")))),"")</f>
      </c>
    </row>
    <row r="238">
      <c r="A238" s="2" t="inlineStr">
        <is>
          <t>NGK</t>
        </is>
      </c>
      <c r="B238" s="2" t="inlineStr">
        <is>
          <t>Свечи зажигания</t>
        </is>
      </c>
      <c r="C238" s="2">
        <v>150677032</v>
      </c>
      <c r="D238" s="2" t="inlineStr">
        <is>
          <t>LZKR6B-10Ex4-Kor</t>
        </is>
      </c>
      <c r="E238" s="2" t="inlineStr">
        <is>
          <t>2037580834976</t>
        </is>
      </c>
      <c r="F238" s="2">
        <v>0</v>
      </c>
      <c r="G238" s="2">
        <v>0</v>
      </c>
      <c r="H238" s="2">
        <v>1</v>
      </c>
      <c r="I238" s="2" t="inlineStr">
        <is>
          <t>1700</t>
        </is>
      </c>
      <c r="J238" s="4"/>
      <c r="K238" s="2">
        <v>10</v>
      </c>
      <c r="L238" s="6"/>
      <c r="M238" s="2" t="str">
        <f>IF(J238="",ROUND(I238*(1-IF(ISBLANK(L238),K238,L238)/100),2),ROUND(J238*(1-IF(ISBLANK(L238),K238,L238)/100),2))</f>
      </c>
      <c r="N238" s="7" t="str">
        <f>IF(NOT(AND(J238="",L238="")),IF(OR(AND(L238&lt;&gt;"",NOT(ISNUMBER(L238))),IFERROR(MOD(L238,1),1)&gt;0,AND(ISNUMBER(L238),OR(L238&lt;0,L238&gt;95))),"Введите целое число от 0 до 95",IF(OR(AND(J238&lt;&gt;"",NOT(ISNUMBER(J238))),IFERROR(MOD(J238,1),1)&gt;0,AND(ISNUMBER(J238),OR(J238&lt;50,J238&gt;20000000))),"Введите целое число от 50 до 20000000",IF(NOT(ABS(IFERROR(VALUE(LEFT(M238,FIND("-",M238)-1)),M238)*100-(5000+2000000000)/2)&lt;=ABS(5000-2000000000)/2),"Цена со скидкой должна быть от 50 до 20000000",IF(IFERROR(VALUE(LEFT(M238,FIND("-",M238)-1)),M238)*210&lt;153000,"Вы уменьшили цену в несколько раз, товар попадет в карантин цен","")))),"")</f>
      </c>
    </row>
    <row r="239">
      <c r="A239" s="2" t="inlineStr">
        <is>
          <t>SUN</t>
        </is>
      </c>
      <c r="B239" s="2" t="inlineStr">
        <is>
          <t>Ремни приводные</t>
        </is>
      </c>
      <c r="C239" s="2">
        <v>85978754</v>
      </c>
      <c r="D239" s="2" t="inlineStr">
        <is>
          <t>6PK1920</t>
        </is>
      </c>
      <c r="E239" s="2" t="inlineStr">
        <is>
          <t>2033698164776</t>
        </is>
      </c>
      <c r="F239" s="2">
        <v>0</v>
      </c>
      <c r="G239" s="2">
        <v>0</v>
      </c>
      <c r="H239" s="2">
        <v>0</v>
      </c>
      <c r="I239" s="2" t="inlineStr">
        <is>
          <t>1200</t>
        </is>
      </c>
      <c r="J239" s="4"/>
      <c r="K239" s="2">
        <v>0</v>
      </c>
      <c r="L239" s="6"/>
      <c r="M239" s="2" t="str">
        <f>IF(J239="",ROUND(I239*(1-IF(ISBLANK(L239),K239,L239)/100),2),ROUND(J239*(1-IF(ISBLANK(L239),K239,L239)/100),2))</f>
      </c>
      <c r="N239" s="7" t="str">
        <f>IF(NOT(AND(J239="",L239="")),IF(OR(AND(L239&lt;&gt;"",NOT(ISNUMBER(L239))),IFERROR(MOD(L239,1),1)&gt;0,AND(ISNUMBER(L239),OR(L239&lt;0,L239&gt;95))),"Введите целое число от 0 до 95",IF(OR(AND(J239&lt;&gt;"",NOT(ISNUMBER(J239))),IFERROR(MOD(J239,1),1)&gt;0,AND(ISNUMBER(J239),OR(J239&lt;50,J239&gt;20000000))),"Введите целое число от 50 до 20000000",IF(NOT(ABS(IFERROR(VALUE(LEFT(M239,FIND("-",M239)-1)),M239)*100-(5000+2000000000)/2)&lt;=ABS(5000-2000000000)/2),"Цена со скидкой должна быть от 50 до 20000000",IF(IFERROR(VALUE(LEFT(M239,FIND("-",M239)-1)),M239)*210&lt;120000,"Вы уменьшили цену в несколько раз, товар попадет в карантин цен","")))),"")</f>
      </c>
    </row>
    <row r="240">
      <c r="A240" s="2" t="inlineStr">
        <is>
          <t>AMD</t>
        </is>
      </c>
      <c r="B240" s="2" t="inlineStr">
        <is>
          <t>Катушки зажигания</t>
        </is>
      </c>
      <c r="C240" s="2">
        <v>100133337</v>
      </c>
      <c r="D240" s="2" t="inlineStr">
        <is>
          <t>RIR-AMDEL447</t>
        </is>
      </c>
      <c r="E240" s="2" t="inlineStr">
        <is>
          <t>2036808783881</t>
        </is>
      </c>
      <c r="F240" s="2">
        <v>0</v>
      </c>
      <c r="G240" s="2">
        <v>4</v>
      </c>
      <c r="H240" s="2" t="inlineStr">
        <is>
          <t/>
        </is>
      </c>
      <c r="I240" s="2" t="inlineStr">
        <is>
          <t>1530</t>
        </is>
      </c>
      <c r="J240" s="4"/>
      <c r="K240" s="2">
        <v>0</v>
      </c>
      <c r="L240" s="6"/>
      <c r="M240" s="2" t="str">
        <f>IF(J240="",ROUND(I240*(1-IF(ISBLANK(L240),K240,L240)/100),2),ROUND(J240*(1-IF(ISBLANK(L240),K240,L240)/100),2))</f>
      </c>
      <c r="N240" s="7" t="str">
        <f>IF(NOT(AND(J240="",L240="")),IF(OR(AND(L240&lt;&gt;"",NOT(ISNUMBER(L240))),IFERROR(MOD(L240,1),1)&gt;0,AND(ISNUMBER(L240),OR(L240&lt;0,L240&gt;95))),"Введите целое число от 0 до 95",IF(OR(AND(J240&lt;&gt;"",NOT(ISNUMBER(J240))),IFERROR(MOD(J240,1),1)&gt;0,AND(ISNUMBER(J240),OR(J240&lt;50,J240&gt;20000000))),"Введите целое число от 50 до 20000000",IF(NOT(ABS(IFERROR(VALUE(LEFT(M240,FIND("-",M240)-1)),M240)*100-(5000+2000000000)/2)&lt;=ABS(5000-2000000000)/2),"Цена со скидкой должна быть от 50 до 20000000",IF(IFERROR(VALUE(LEFT(M240,FIND("-",M240)-1)),M240)*210&lt;153000,"Вы уменьшили цену в несколько раз, товар попадет в карантин цен","")))),"")</f>
      </c>
    </row>
    <row r="241">
      <c r="A241" s="2" t="inlineStr">
        <is>
          <t>SANGSIN</t>
        </is>
      </c>
      <c r="B241" s="2" t="inlineStr">
        <is>
          <t>Колодки автомобильные</t>
        </is>
      </c>
      <c r="C241" s="2">
        <v>139090065</v>
      </c>
      <c r="D241" s="2" t="inlineStr">
        <is>
          <t>RIR-SP1401IN</t>
        </is>
      </c>
      <c r="E241" s="2" t="inlineStr">
        <is>
          <t>2037262387899</t>
        </is>
      </c>
      <c r="F241" s="2">
        <v>0</v>
      </c>
      <c r="G241" s="2">
        <v>1</v>
      </c>
      <c r="H241" s="2">
        <v>0</v>
      </c>
      <c r="I241" s="2" t="inlineStr">
        <is>
          <t>2000</t>
        </is>
      </c>
      <c r="J241" s="4"/>
      <c r="K241" s="2">
        <v>30</v>
      </c>
      <c r="L241" s="6"/>
      <c r="M241" s="2" t="str">
        <f>IF(J241="",ROUND(I241*(1-IF(ISBLANK(L241),K241,L241)/100),2),ROUND(J241*(1-IF(ISBLANK(L241),K241,L241)/100),2))</f>
      </c>
      <c r="N241" s="7" t="str">
        <f>IF(NOT(AND(J241="",L241="")),IF(OR(AND(L241&lt;&gt;"",NOT(ISNUMBER(L241))),IFERROR(MOD(L241,1),1)&gt;0,AND(ISNUMBER(L241),OR(L241&lt;0,L241&gt;95))),"Введите целое число от 0 до 95",IF(OR(AND(J241&lt;&gt;"",NOT(ISNUMBER(J241))),IFERROR(MOD(J241,1),1)&gt;0,AND(ISNUMBER(J241),OR(J241&lt;50,J241&gt;20000000))),"Введите целое число от 50 до 20000000",IF(NOT(ABS(IFERROR(VALUE(LEFT(M241,FIND("-",M241)-1)),M241)*100-(5000+2000000000)/2)&lt;=ABS(5000-2000000000)/2),"Цена со скидкой должна быть от 50 до 20000000",IF(IFERROR(VALUE(LEFT(M241,FIND("-",M241)-1)),M241)*210&lt;140000,"Вы уменьшили цену в несколько раз, товар попадет в карантин цен","")))),"")</f>
      </c>
    </row>
    <row r="242">
      <c r="A242" s="2" t="inlineStr">
        <is>
          <t>SANGSIN</t>
        </is>
      </c>
      <c r="B242" s="2" t="inlineStr">
        <is>
          <t>Колодки автомобильные</t>
        </is>
      </c>
      <c r="C242" s="2">
        <v>186070560</v>
      </c>
      <c r="D242" s="2" t="inlineStr">
        <is>
          <t>RIR-SP1401_2</t>
        </is>
      </c>
      <c r="E242" s="2" t="inlineStr">
        <is>
          <t>2038882106075</t>
        </is>
      </c>
      <c r="F242" s="2">
        <v>0</v>
      </c>
      <c r="G242" s="2">
        <v>0</v>
      </c>
      <c r="H242" s="2">
        <v>1</v>
      </c>
      <c r="I242" s="2" t="inlineStr">
        <is>
          <t>1500</t>
        </is>
      </c>
      <c r="J242" s="4"/>
      <c r="K242" s="2">
        <v>0</v>
      </c>
      <c r="L242" s="6"/>
      <c r="M242" s="2" t="str">
        <f>IF(J242="",ROUND(I242*(1-IF(ISBLANK(L242),K242,L242)/100),2),ROUND(J242*(1-IF(ISBLANK(L242),K242,L242)/100),2))</f>
      </c>
      <c r="N242" s="7" t="str">
        <f>IF(NOT(AND(J242="",L242="")),IF(OR(AND(L242&lt;&gt;"",NOT(ISNUMBER(L242))),IFERROR(MOD(L242,1),1)&gt;0,AND(ISNUMBER(L242),OR(L242&lt;0,L242&gt;95))),"Введите целое число от 0 до 95",IF(OR(AND(J242&lt;&gt;"",NOT(ISNUMBER(J242))),IFERROR(MOD(J242,1),1)&gt;0,AND(ISNUMBER(J242),OR(J242&lt;50,J242&gt;20000000))),"Введите целое число от 50 до 20000000",IF(NOT(ABS(IFERROR(VALUE(LEFT(M242,FIND("-",M242)-1)),M242)*100-(5000+2000000000)/2)&lt;=ABS(5000-2000000000)/2),"Цена со скидкой должна быть от 50 до 20000000",IF(IFERROR(VALUE(LEFT(M242,FIND("-",M242)-1)),M242)*210&lt;150000,"Вы уменьшили цену в несколько раз, товар попадет в карантин цен","")))),"")</f>
      </c>
    </row>
    <row r="243">
      <c r="A243" s="2" t="inlineStr">
        <is>
          <t>SUN</t>
        </is>
      </c>
      <c r="B243" s="2" t="inlineStr">
        <is>
          <t>Ремни приводные</t>
        </is>
      </c>
      <c r="C243" s="2">
        <v>85978744</v>
      </c>
      <c r="D243" s="2" t="inlineStr">
        <is>
          <t>3PK760</t>
        </is>
      </c>
      <c r="E243" s="2" t="inlineStr">
        <is>
          <t>2033698164646</t>
        </is>
      </c>
      <c r="F243" s="2">
        <v>0</v>
      </c>
      <c r="G243" s="2">
        <v>5</v>
      </c>
      <c r="H243" s="2">
        <v>0</v>
      </c>
      <c r="I243" s="2" t="inlineStr">
        <is>
          <t>400</t>
        </is>
      </c>
      <c r="J243" s="4"/>
      <c r="K243" s="2">
        <v>2</v>
      </c>
      <c r="L243" s="6"/>
      <c r="M243" s="2" t="str">
        <f>IF(J243="",ROUND(I243*(1-IF(ISBLANK(L243),K243,L243)/100),2),ROUND(J243*(1-IF(ISBLANK(L243),K243,L243)/100),2))</f>
      </c>
      <c r="N243" s="7" t="str">
        <f>IF(NOT(AND(J243="",L243="")),IF(OR(AND(L243&lt;&gt;"",NOT(ISNUMBER(L243))),IFERROR(MOD(L243,1),1)&gt;0,AND(ISNUMBER(L243),OR(L243&lt;0,L243&gt;95))),"Введите целое число от 0 до 95",IF(OR(AND(J243&lt;&gt;"",NOT(ISNUMBER(J243))),IFERROR(MOD(J243,1),1)&gt;0,AND(ISNUMBER(J243),OR(J243&lt;50,J243&gt;20000000))),"Введите целое число от 50 до 20000000",IF(NOT(ABS(IFERROR(VALUE(LEFT(M243,FIND("-",M243)-1)),M243)*100-(5000+2000000000)/2)&lt;=ABS(5000-2000000000)/2),"Цена со скидкой должна быть от 50 до 20000000",IF(IFERROR(VALUE(LEFT(M243,FIND("-",M243)-1)),M243)*210&lt;39200,"Вы уменьшили цену в несколько раз, товар попадет в карантин цен","")))),"")</f>
      </c>
    </row>
    <row r="244">
      <c r="A244" s="2" t="inlineStr">
        <is>
          <t>Kashiyama</t>
        </is>
      </c>
      <c r="B244" s="2" t="inlineStr">
        <is>
          <t>Колодки автомобильные</t>
        </is>
      </c>
      <c r="C244" s="2">
        <v>100217789</v>
      </c>
      <c r="D244" s="2" t="inlineStr">
        <is>
          <t>RIR-D11268MH</t>
        </is>
      </c>
      <c r="E244" s="2" t="inlineStr">
        <is>
          <t>2036809965781</t>
        </is>
      </c>
      <c r="F244" s="2">
        <v>0</v>
      </c>
      <c r="G244" s="2">
        <v>1</v>
      </c>
      <c r="H244" s="2">
        <v>0</v>
      </c>
      <c r="I244" s="2" t="inlineStr">
        <is>
          <t>2040</t>
        </is>
      </c>
      <c r="J244" s="4"/>
      <c r="K244" s="2">
        <v>4</v>
      </c>
      <c r="L244" s="6"/>
      <c r="M244" s="2" t="str">
        <f>IF(J244="",ROUND(I244*(1-IF(ISBLANK(L244),K244,L244)/100),2),ROUND(J244*(1-IF(ISBLANK(L244),K244,L244)/100),2))</f>
      </c>
      <c r="N244" s="7" t="str">
        <f>IF(NOT(AND(J244="",L244="")),IF(OR(AND(L244&lt;&gt;"",NOT(ISNUMBER(L244))),IFERROR(MOD(L244,1),1)&gt;0,AND(ISNUMBER(L244),OR(L244&lt;0,L244&gt;95))),"Введите целое число от 0 до 95",IF(OR(AND(J244&lt;&gt;"",NOT(ISNUMBER(J244))),IFERROR(MOD(J244,1),1)&gt;0,AND(ISNUMBER(J244),OR(J244&lt;50,J244&gt;20000000))),"Введите целое число от 50 до 20000000",IF(NOT(ABS(IFERROR(VALUE(LEFT(M244,FIND("-",M244)-1)),M244)*100-(5000+2000000000)/2)&lt;=ABS(5000-2000000000)/2),"Цена со скидкой должна быть от 50 до 20000000",IF(IFERROR(VALUE(LEFT(M244,FIND("-",M244)-1)),M244)*210&lt;195840,"Вы уменьшили цену в несколько раз, товар попадет в карантин цен","")))),"")</f>
      </c>
    </row>
    <row r="245">
      <c r="A245" s="2" t="inlineStr">
        <is>
          <t>FLEETGUARD</t>
        </is>
      </c>
      <c r="B245" s="2" t="inlineStr">
        <is>
          <t>Фильтры масляные</t>
        </is>
      </c>
      <c r="C245" s="2">
        <v>211346706</v>
      </c>
      <c r="D245" s="2" t="inlineStr">
        <is>
          <t>RIR-LF16352</t>
        </is>
      </c>
      <c r="E245" s="2" t="inlineStr">
        <is>
          <t>2039531308116</t>
        </is>
      </c>
      <c r="F245" s="2">
        <v>0</v>
      </c>
      <c r="G245" s="2">
        <v>1</v>
      </c>
      <c r="H245" s="2" t="inlineStr">
        <is>
          <t/>
        </is>
      </c>
      <c r="I245" s="2" t="inlineStr">
        <is>
          <t>1630</t>
        </is>
      </c>
      <c r="J245" s="4"/>
      <c r="K245" s="2">
        <v>2</v>
      </c>
      <c r="L245" s="6"/>
      <c r="M245" s="2" t="str">
        <f>IF(J245="",ROUND(I245*(1-IF(ISBLANK(L245),K245,L245)/100),2),ROUND(J245*(1-IF(ISBLANK(L245),K245,L245)/100),2))</f>
      </c>
      <c r="N245" s="7" t="str">
        <f>IF(NOT(AND(J245="",L245="")),IF(OR(AND(L245&lt;&gt;"",NOT(ISNUMBER(L245))),IFERROR(MOD(L245,1),1)&gt;0,AND(ISNUMBER(L245),OR(L245&lt;0,L245&gt;95))),"Введите целое число от 0 до 95",IF(OR(AND(J245&lt;&gt;"",NOT(ISNUMBER(J245))),IFERROR(MOD(J245,1),1)&gt;0,AND(ISNUMBER(J245),OR(J245&lt;50,J245&gt;20000000))),"Введите целое число от 50 до 20000000",IF(NOT(ABS(IFERROR(VALUE(LEFT(M245,FIND("-",M245)-1)),M245)*100-(5000+2000000000)/2)&lt;=ABS(5000-2000000000)/2),"Цена со скидкой должна быть от 50 до 20000000",IF(IFERROR(VALUE(LEFT(M245,FIND("-",M245)-1)),M245)*210&lt;159740,"Вы уменьшили цену в несколько раз, товар попадет в карантин цен","")))),"")</f>
      </c>
    </row>
    <row r="246">
      <c r="A246" s="2" t="inlineStr">
        <is>
          <t>Kashiyama</t>
        </is>
      </c>
      <c r="B246" s="2" t="inlineStr">
        <is>
          <t>Колодки автомобильные</t>
        </is>
      </c>
      <c r="C246" s="2">
        <v>192010154</v>
      </c>
      <c r="D246" s="2" t="inlineStr">
        <is>
          <t>RIR-D11124MH</t>
        </is>
      </c>
      <c r="E246" s="2" t="inlineStr">
        <is>
          <t>2039056822012</t>
        </is>
      </c>
      <c r="F246" s="2">
        <v>0</v>
      </c>
      <c r="G246" s="2">
        <v>1</v>
      </c>
      <c r="H246" s="2">
        <v>1</v>
      </c>
      <c r="I246" s="2" t="inlineStr">
        <is>
          <t>1800</t>
        </is>
      </c>
      <c r="J246" s="4"/>
      <c r="K246" s="2">
        <v>0</v>
      </c>
      <c r="L246" s="6"/>
      <c r="M246" s="2" t="str">
        <f>IF(J246="",ROUND(I246*(1-IF(ISBLANK(L246),K246,L246)/100),2),ROUND(J246*(1-IF(ISBLANK(L246),K246,L246)/100),2))</f>
      </c>
      <c r="N246" s="7" t="str">
        <f>IF(NOT(AND(J246="",L246="")),IF(OR(AND(L246&lt;&gt;"",NOT(ISNUMBER(L246))),IFERROR(MOD(L246,1),1)&gt;0,AND(ISNUMBER(L246),OR(L246&lt;0,L246&gt;95))),"Введите целое число от 0 до 95",IF(OR(AND(J246&lt;&gt;"",NOT(ISNUMBER(J246))),IFERROR(MOD(J246,1),1)&gt;0,AND(ISNUMBER(J246),OR(J246&lt;50,J246&gt;20000000))),"Введите целое число от 50 до 20000000",IF(NOT(ABS(IFERROR(VALUE(LEFT(M246,FIND("-",M246)-1)),M246)*100-(5000+2000000000)/2)&lt;=ABS(5000-2000000000)/2),"Цена со скидкой должна быть от 50 до 20000000",IF(IFERROR(VALUE(LEFT(M246,FIND("-",M246)-1)),M246)*210&lt;180000,"Вы уменьшили цену в несколько раз, товар попадет в карантин цен","")))),"")</f>
      </c>
    </row>
    <row r="247">
      <c r="A247" s="2" t="inlineStr">
        <is>
          <t>Kortex</t>
        </is>
      </c>
      <c r="B247" s="2" t="inlineStr">
        <is>
          <t>Катушки зажигания</t>
        </is>
      </c>
      <c r="C247" s="2">
        <v>100209789</v>
      </c>
      <c r="D247" s="2" t="inlineStr">
        <is>
          <t>RIR-KIC056</t>
        </is>
      </c>
      <c r="E247" s="2" t="inlineStr">
        <is>
          <t>2036809892322</t>
        </is>
      </c>
      <c r="F247" s="2">
        <v>0</v>
      </c>
      <c r="G247" s="2">
        <v>0</v>
      </c>
      <c r="H247" s="2" t="inlineStr">
        <is>
          <t/>
        </is>
      </c>
      <c r="I247" s="2" t="inlineStr">
        <is>
          <t>2011</t>
        </is>
      </c>
      <c r="J247" s="4"/>
      <c r="K247" s="2">
        <v>0</v>
      </c>
      <c r="L247" s="6"/>
      <c r="M247" s="2" t="str">
        <f>IF(J247="",ROUND(I247*(1-IF(ISBLANK(L247),K247,L247)/100),2),ROUND(J247*(1-IF(ISBLANK(L247),K247,L247)/100),2))</f>
      </c>
      <c r="N247" s="7" t="str">
        <f>IF(NOT(AND(J247="",L247="")),IF(OR(AND(L247&lt;&gt;"",NOT(ISNUMBER(L247))),IFERROR(MOD(L247,1),1)&gt;0,AND(ISNUMBER(L247),OR(L247&lt;0,L247&gt;95))),"Введите целое число от 0 до 95",IF(OR(AND(J247&lt;&gt;"",NOT(ISNUMBER(J247))),IFERROR(MOD(J247,1),1)&gt;0,AND(ISNUMBER(J247),OR(J247&lt;50,J247&gt;20000000))),"Введите целое число от 50 до 20000000",IF(NOT(ABS(IFERROR(VALUE(LEFT(M247,FIND("-",M247)-1)),M247)*100-(5000+2000000000)/2)&lt;=ABS(5000-2000000000)/2),"Цена со скидкой должна быть от 50 до 20000000",IF(IFERROR(VALUE(LEFT(M247,FIND("-",M247)-1)),M247)*210&lt;201100,"Вы уменьшили цену в несколько раз, товар попадет в карантин цен","")))),"")</f>
      </c>
    </row>
    <row r="248">
      <c r="A248" s="2" t="inlineStr">
        <is>
          <t>LYNXauto</t>
        </is>
      </c>
      <c r="B248" s="2" t="inlineStr">
        <is>
          <t>Колодки автомобильные</t>
        </is>
      </c>
      <c r="C248" s="2">
        <v>278270351</v>
      </c>
      <c r="D248" s="2" t="inlineStr">
        <is>
          <t>RIR-BD5711_2</t>
        </is>
      </c>
      <c r="E248" s="2" t="inlineStr">
        <is>
          <t>2041675084399</t>
        </is>
      </c>
      <c r="F248" s="2">
        <v>0</v>
      </c>
      <c r="G248" s="2">
        <v>1</v>
      </c>
      <c r="H248" s="2" t="inlineStr">
        <is>
          <t/>
        </is>
      </c>
      <c r="I248" s="2" t="inlineStr">
        <is>
          <t>2400</t>
        </is>
      </c>
      <c r="J248" s="4"/>
      <c r="K248" s="2">
        <v>0</v>
      </c>
      <c r="L248" s="6"/>
      <c r="M248" s="2" t="str">
        <f>IF(J248="",ROUND(I248*(1-IF(ISBLANK(L248),K248,L248)/100),2),ROUND(J248*(1-IF(ISBLANK(L248),K248,L248)/100),2))</f>
      </c>
      <c r="N248" s="7" t="str">
        <f>IF(NOT(AND(J248="",L248="")),IF(OR(AND(L248&lt;&gt;"",NOT(ISNUMBER(L248))),IFERROR(MOD(L248,1),1)&gt;0,AND(ISNUMBER(L248),OR(L248&lt;0,L248&gt;95))),"Введите целое число от 0 до 95",IF(OR(AND(J248&lt;&gt;"",NOT(ISNUMBER(J248))),IFERROR(MOD(J248,1),1)&gt;0,AND(ISNUMBER(J248),OR(J248&lt;50,J248&gt;20000000))),"Введите целое число от 50 до 20000000",IF(NOT(ABS(IFERROR(VALUE(LEFT(M248,FIND("-",M248)-1)),M248)*100-(5000+2000000000)/2)&lt;=ABS(5000-2000000000)/2),"Цена со скидкой должна быть от 50 до 20000000",IF(IFERROR(VALUE(LEFT(M248,FIND("-",M248)-1)),M248)*210&lt;240000,"Вы уменьшили цену в несколько раз, товар попадет в карантин цен","")))),"")</f>
      </c>
    </row>
    <row r="249">
      <c r="A249" s="2" t="inlineStr">
        <is>
          <t>Finwhale</t>
        </is>
      </c>
      <c r="B249" s="2" t="inlineStr">
        <is>
          <t>Свечи зажигания</t>
        </is>
      </c>
      <c r="C249" s="2">
        <v>116668165</v>
      </c>
      <c r="D249" s="2" t="inlineStr">
        <is>
          <t>RIR-FS21</t>
        </is>
      </c>
      <c r="E249" s="2" t="inlineStr">
        <is>
          <t>2041781796629</t>
        </is>
      </c>
      <c r="F249" s="2">
        <v>0</v>
      </c>
      <c r="G249" s="2">
        <v>1</v>
      </c>
      <c r="H249" s="2">
        <v>1</v>
      </c>
      <c r="I249" s="2" t="inlineStr">
        <is>
          <t>1100</t>
        </is>
      </c>
      <c r="J249" s="4"/>
      <c r="K249" s="2">
        <v>0</v>
      </c>
      <c r="L249" s="6"/>
      <c r="M249" s="2" t="str">
        <f>IF(J249="",ROUND(I249*(1-IF(ISBLANK(L249),K249,L249)/100),2),ROUND(J249*(1-IF(ISBLANK(L249),K249,L249)/100),2))</f>
      </c>
      <c r="N249" s="7" t="str">
        <f>IF(NOT(AND(J249="",L249="")),IF(OR(AND(L249&lt;&gt;"",NOT(ISNUMBER(L249))),IFERROR(MOD(L249,1),1)&gt;0,AND(ISNUMBER(L249),OR(L249&lt;0,L249&gt;95))),"Введите целое число от 0 до 95",IF(OR(AND(J249&lt;&gt;"",NOT(ISNUMBER(J249))),IFERROR(MOD(J249,1),1)&gt;0,AND(ISNUMBER(J249),OR(J249&lt;50,J249&gt;20000000))),"Введите целое число от 50 до 20000000",IF(NOT(ABS(IFERROR(VALUE(LEFT(M249,FIND("-",M249)-1)),M249)*100-(5000+2000000000)/2)&lt;=ABS(5000-2000000000)/2),"Цена со скидкой должна быть от 50 до 20000000",IF(IFERROR(VALUE(LEFT(M249,FIND("-",M249)-1)),M249)*210&lt;110000,"Вы уменьшили цену в несколько раз, товар попадет в карантин цен","")))),"")</f>
      </c>
    </row>
    <row r="250">
      <c r="A250" s="2" t="inlineStr">
        <is>
          <t>AMD</t>
        </is>
      </c>
      <c r="B250" s="2" t="inlineStr">
        <is>
          <t>Прокладки клапанной крышки</t>
        </is>
      </c>
      <c r="C250" s="2">
        <v>216419785</v>
      </c>
      <c r="D250" s="2" t="inlineStr">
        <is>
          <t>RIR-AMDGAS224</t>
        </is>
      </c>
      <c r="E250" s="2" t="inlineStr">
        <is>
          <t>2039640676281</t>
        </is>
      </c>
      <c r="F250" s="2">
        <v>0</v>
      </c>
      <c r="G250" s="2">
        <v>1</v>
      </c>
      <c r="H250" s="2">
        <v>1</v>
      </c>
      <c r="I250" s="2" t="inlineStr">
        <is>
          <t>600</t>
        </is>
      </c>
      <c r="J250" s="4"/>
      <c r="K250" s="2">
        <v>2</v>
      </c>
      <c r="L250" s="6"/>
      <c r="M250" s="2" t="str">
        <f>IF(J250="",ROUND(I250*(1-IF(ISBLANK(L250),K250,L250)/100),2),ROUND(J250*(1-IF(ISBLANK(L250),K250,L250)/100),2))</f>
      </c>
      <c r="N250" s="7" t="str">
        <f>IF(NOT(AND(J250="",L250="")),IF(OR(AND(L250&lt;&gt;"",NOT(ISNUMBER(L250))),IFERROR(MOD(L250,1),1)&gt;0,AND(ISNUMBER(L250),OR(L250&lt;0,L250&gt;95))),"Введите целое число от 0 до 95",IF(OR(AND(J250&lt;&gt;"",NOT(ISNUMBER(J250))),IFERROR(MOD(J250,1),1)&gt;0,AND(ISNUMBER(J250),OR(J250&lt;50,J250&gt;20000000))),"Введите целое число от 50 до 20000000",IF(NOT(ABS(IFERROR(VALUE(LEFT(M250,FIND("-",M250)-1)),M250)*100-(5000+2000000000)/2)&lt;=ABS(5000-2000000000)/2),"Цена со скидкой должна быть от 50 до 20000000",IF(IFERROR(VALUE(LEFT(M250,FIND("-",M250)-1)),M250)*210&lt;58800,"Вы уменьшили цену в несколько раз, товар попадет в карантин цен","")))),"")</f>
      </c>
    </row>
    <row r="251">
      <c r="A251" s="2" t="inlineStr">
        <is>
          <t>SANGSIN / HI-Q</t>
        </is>
      </c>
      <c r="B251" s="2" t="inlineStr">
        <is>
          <t>Колодки автомобильные</t>
        </is>
      </c>
      <c r="C251" s="2">
        <v>111852142</v>
      </c>
      <c r="D251" s="2" t="inlineStr">
        <is>
          <t>SP1399IN</t>
        </is>
      </c>
      <c r="E251" s="2" t="inlineStr">
        <is>
          <t>2038407754620</t>
        </is>
      </c>
      <c r="F251" s="2">
        <v>0</v>
      </c>
      <c r="G251" s="2">
        <v>96</v>
      </c>
      <c r="H251" s="2">
        <v>0</v>
      </c>
      <c r="I251" s="2" t="inlineStr">
        <is>
          <t>1790</t>
        </is>
      </c>
      <c r="J251" s="4"/>
      <c r="K251" s="2">
        <v>2</v>
      </c>
      <c r="L251" s="6"/>
      <c r="M251" s="2" t="str">
        <f>IF(J251="",ROUND(I251*(1-IF(ISBLANK(L251),K251,L251)/100),2),ROUND(J251*(1-IF(ISBLANK(L251),K251,L251)/100),2))</f>
      </c>
      <c r="N251" s="7" t="str">
        <f>IF(NOT(AND(J251="",L251="")),IF(OR(AND(L251&lt;&gt;"",NOT(ISNUMBER(L251))),IFERROR(MOD(L251,1),1)&gt;0,AND(ISNUMBER(L251),OR(L251&lt;0,L251&gt;95))),"Введите целое число от 0 до 95",IF(OR(AND(J251&lt;&gt;"",NOT(ISNUMBER(J251))),IFERROR(MOD(J251,1),1)&gt;0,AND(ISNUMBER(J251),OR(J251&lt;50,J251&gt;20000000))),"Введите целое число от 50 до 20000000",IF(NOT(ABS(IFERROR(VALUE(LEFT(M251,FIND("-",M251)-1)),M251)*100-(5000+2000000000)/2)&lt;=ABS(5000-2000000000)/2),"Цена со скидкой должна быть от 50 до 20000000",IF(IFERROR(VALUE(LEFT(M251,FIND("-",M251)-1)),M251)*210&lt;175420,"Вы уменьшили цену в несколько раз, товар попадет в карантин цен","")))),"")</f>
      </c>
    </row>
    <row r="252">
      <c r="A252" s="2" t="inlineStr">
        <is>
          <t>Zekkert</t>
        </is>
      </c>
      <c r="B252" s="2" t="inlineStr">
        <is>
          <t>Фильтры масляные</t>
        </is>
      </c>
      <c r="C252" s="2">
        <v>164133834</v>
      </c>
      <c r="D252" s="2" t="inlineStr">
        <is>
          <t>RIR-OF4009</t>
        </is>
      </c>
      <c r="E252" s="2" t="inlineStr">
        <is>
          <t>2037962803644</t>
        </is>
      </c>
      <c r="F252" s="2">
        <v>0</v>
      </c>
      <c r="G252" s="2">
        <v>1</v>
      </c>
      <c r="H252" s="2">
        <v>0</v>
      </c>
      <c r="I252" s="2" t="inlineStr">
        <is>
          <t>410</t>
        </is>
      </c>
      <c r="J252" s="4"/>
      <c r="K252" s="2">
        <v>2</v>
      </c>
      <c r="L252" s="6"/>
      <c r="M252" s="2" t="str">
        <f>IF(J252="",ROUND(I252*(1-IF(ISBLANK(L252),K252,L252)/100),2),ROUND(J252*(1-IF(ISBLANK(L252),K252,L252)/100),2))</f>
      </c>
      <c r="N252" s="7" t="str">
        <f>IF(NOT(AND(J252="",L252="")),IF(OR(AND(L252&lt;&gt;"",NOT(ISNUMBER(L252))),IFERROR(MOD(L252,1),1)&gt;0,AND(ISNUMBER(L252),OR(L252&lt;0,L252&gt;95))),"Введите целое число от 0 до 95",IF(OR(AND(J252&lt;&gt;"",NOT(ISNUMBER(J252))),IFERROR(MOD(J252,1),1)&gt;0,AND(ISNUMBER(J252),OR(J252&lt;50,J252&gt;20000000))),"Введите целое число от 50 до 20000000",IF(NOT(ABS(IFERROR(VALUE(LEFT(M252,FIND("-",M252)-1)),M252)*100-(5000+2000000000)/2)&lt;=ABS(5000-2000000000)/2),"Цена со скидкой должна быть от 50 до 20000000",IF(IFERROR(VALUE(LEFT(M252,FIND("-",M252)-1)),M252)*210&lt;40180,"Вы уменьшили цену в несколько раз, товар попадет в карантин цен","")))),"")</f>
      </c>
    </row>
    <row r="253">
      <c r="A253" s="2" t="inlineStr">
        <is>
          <t>GOODWILL</t>
        </is>
      </c>
      <c r="B253" s="2" t="inlineStr">
        <is>
          <t>Фильтры масляные</t>
        </is>
      </c>
      <c r="C253" s="2">
        <v>312828075</v>
      </c>
      <c r="D253" s="2" t="inlineStr">
        <is>
          <t>OG170HQ</t>
        </is>
      </c>
      <c r="E253" s="2" t="inlineStr">
        <is>
          <t>2042498572957</t>
        </is>
      </c>
      <c r="F253" s="2">
        <v>0</v>
      </c>
      <c r="G253" s="2">
        <v>0</v>
      </c>
      <c r="H253" s="2" t="inlineStr">
        <is>
          <t/>
        </is>
      </c>
      <c r="I253" s="2" t="inlineStr">
        <is>
          <t>600</t>
        </is>
      </c>
      <c r="J253" s="4"/>
      <c r="K253" s="2">
        <v>2</v>
      </c>
      <c r="L253" s="6"/>
      <c r="M253" s="2" t="str">
        <f>IF(J253="",ROUND(I253*(1-IF(ISBLANK(L253),K253,L253)/100),2),ROUND(J253*(1-IF(ISBLANK(L253),K253,L253)/100),2))</f>
      </c>
      <c r="N253" s="7" t="str">
        <f>IF(NOT(AND(J253="",L253="")),IF(OR(AND(L253&lt;&gt;"",NOT(ISNUMBER(L253))),IFERROR(MOD(L253,1),1)&gt;0,AND(ISNUMBER(L253),OR(L253&lt;0,L253&gt;95))),"Введите целое число от 0 до 95",IF(OR(AND(J253&lt;&gt;"",NOT(ISNUMBER(J253))),IFERROR(MOD(J253,1),1)&gt;0,AND(ISNUMBER(J253),OR(J253&lt;50,J253&gt;20000000))),"Введите целое число от 50 до 20000000",IF(NOT(ABS(IFERROR(VALUE(LEFT(M253,FIND("-",M253)-1)),M253)*100-(5000+2000000000)/2)&lt;=ABS(5000-2000000000)/2),"Цена со скидкой должна быть от 50 до 20000000",IF(IFERROR(VALUE(LEFT(M253,FIND("-",M253)-1)),M253)*210&lt;58800,"Вы уменьшили цену в несколько раз, товар попадет в карантин цен","")))),"")</f>
      </c>
    </row>
    <row r="254">
      <c r="A254" s="2" t="inlineStr">
        <is>
          <t>LYNXauto</t>
        </is>
      </c>
      <c r="B254" s="2" t="inlineStr">
        <is>
          <t>Комплекты ГРМ</t>
        </is>
      </c>
      <c r="C254" s="2">
        <v>147018009</v>
      </c>
      <c r="D254" s="2" t="inlineStr">
        <is>
          <t>RIR-PK1344</t>
        </is>
      </c>
      <c r="E254" s="2" t="inlineStr">
        <is>
          <t>2037480436676</t>
        </is>
      </c>
      <c r="F254" s="2">
        <v>0</v>
      </c>
      <c r="G254" s="2">
        <v>1</v>
      </c>
      <c r="H254" s="2">
        <v>0</v>
      </c>
      <c r="I254" s="2" t="inlineStr">
        <is>
          <t>4000</t>
        </is>
      </c>
      <c r="J254" s="4"/>
      <c r="K254" s="2">
        <v>17</v>
      </c>
      <c r="L254" s="6"/>
      <c r="M254" s="2" t="str">
        <f>IF(J254="",ROUND(I254*(1-IF(ISBLANK(L254),K254,L254)/100),2),ROUND(J254*(1-IF(ISBLANK(L254),K254,L254)/100),2))</f>
      </c>
      <c r="N254" s="7" t="str">
        <f>IF(NOT(AND(J254="",L254="")),IF(OR(AND(L254&lt;&gt;"",NOT(ISNUMBER(L254))),IFERROR(MOD(L254,1),1)&gt;0,AND(ISNUMBER(L254),OR(L254&lt;0,L254&gt;95))),"Введите целое число от 0 до 95",IF(OR(AND(J254&lt;&gt;"",NOT(ISNUMBER(J254))),IFERROR(MOD(J254,1),1)&gt;0,AND(ISNUMBER(J254),OR(J254&lt;50,J254&gt;20000000))),"Введите целое число от 50 до 20000000",IF(NOT(ABS(IFERROR(VALUE(LEFT(M254,FIND("-",M254)-1)),M254)*100-(5000+2000000000)/2)&lt;=ABS(5000-2000000000)/2),"Цена со скидкой должна быть от 50 до 20000000",IF(IFERROR(VALUE(LEFT(M254,FIND("-",M254)-1)),M254)*210&lt;332000,"Вы уменьшили цену в несколько раз, товар попадет в карантин цен","")))),"")</f>
      </c>
    </row>
    <row r="255">
      <c r="A255" s="2" t="inlineStr">
        <is>
          <t>LYNXauto</t>
        </is>
      </c>
      <c r="B255" s="2" t="inlineStr">
        <is>
          <t>Сайлентблоки</t>
        </is>
      </c>
      <c r="C255" s="2">
        <v>150269061</v>
      </c>
      <c r="D255" s="2" t="inlineStr">
        <is>
          <t>RIR-B8440</t>
        </is>
      </c>
      <c r="E255" s="2" t="inlineStr">
        <is>
          <t>2037569239037</t>
        </is>
      </c>
      <c r="F255" s="2">
        <v>0</v>
      </c>
      <c r="G255" s="2">
        <v>1</v>
      </c>
      <c r="H255" s="2">
        <v>1</v>
      </c>
      <c r="I255" s="2" t="inlineStr">
        <is>
          <t>2820</t>
        </is>
      </c>
      <c r="J255" s="4"/>
      <c r="K255" s="2">
        <v>11</v>
      </c>
      <c r="L255" s="6"/>
      <c r="M255" s="2" t="str">
        <f>IF(J255="",ROUND(I255*(1-IF(ISBLANK(L255),K255,L255)/100),2),ROUND(J255*(1-IF(ISBLANK(L255),K255,L255)/100),2))</f>
      </c>
      <c r="N255" s="7" t="str">
        <f>IF(NOT(AND(J255="",L255="")),IF(OR(AND(L255&lt;&gt;"",NOT(ISNUMBER(L255))),IFERROR(MOD(L255,1),1)&gt;0,AND(ISNUMBER(L255),OR(L255&lt;0,L255&gt;95))),"Введите целое число от 0 до 95",IF(OR(AND(J255&lt;&gt;"",NOT(ISNUMBER(J255))),IFERROR(MOD(J255,1),1)&gt;0,AND(ISNUMBER(J255),OR(J255&lt;50,J255&gt;20000000))),"Введите целое число от 50 до 20000000",IF(NOT(ABS(IFERROR(VALUE(LEFT(M255,FIND("-",M255)-1)),M255)*100-(5000+2000000000)/2)&lt;=ABS(5000-2000000000)/2),"Цена со скидкой должна быть от 50 до 20000000",IF(IFERROR(VALUE(LEFT(M255,FIND("-",M255)-1)),M255)*210&lt;250980,"Вы уменьшили цену в несколько раз, товар попадет в карантин цен","")))),"")</f>
      </c>
    </row>
    <row r="256">
      <c r="A256" s="2" t="inlineStr">
        <is>
          <t>AMD</t>
        </is>
      </c>
      <c r="B256" s="2" t="inlineStr">
        <is>
          <t>Сайлентблоки</t>
        </is>
      </c>
      <c r="C256" s="2">
        <v>150271572</v>
      </c>
      <c r="D256" s="2" t="inlineStr">
        <is>
          <t>RIR-AMDSB1617</t>
        </is>
      </c>
      <c r="E256" s="2" t="inlineStr">
        <is>
          <t>2037569296719</t>
        </is>
      </c>
      <c r="F256" s="2">
        <v>0</v>
      </c>
      <c r="G256" s="2">
        <v>1</v>
      </c>
      <c r="H256" s="2">
        <v>999</v>
      </c>
      <c r="I256" s="2" t="inlineStr">
        <is>
          <t>2300</t>
        </is>
      </c>
      <c r="J256" s="4"/>
      <c r="K256" s="2">
        <v>17</v>
      </c>
      <c r="L256" s="6"/>
      <c r="M256" s="2" t="str">
        <f>IF(J256="",ROUND(I256*(1-IF(ISBLANK(L256),K256,L256)/100),2),ROUND(J256*(1-IF(ISBLANK(L256),K256,L256)/100),2))</f>
      </c>
      <c r="N256" s="7" t="str">
        <f>IF(NOT(AND(J256="",L256="")),IF(OR(AND(L256&lt;&gt;"",NOT(ISNUMBER(L256))),IFERROR(MOD(L256,1),1)&gt;0,AND(ISNUMBER(L256),OR(L256&lt;0,L256&gt;95))),"Введите целое число от 0 до 95",IF(OR(AND(J256&lt;&gt;"",NOT(ISNUMBER(J256))),IFERROR(MOD(J256,1),1)&gt;0,AND(ISNUMBER(J256),OR(J256&lt;50,J256&gt;20000000))),"Введите целое число от 50 до 20000000",IF(NOT(ABS(IFERROR(VALUE(LEFT(M256,FIND("-",M256)-1)),M256)*100-(5000+2000000000)/2)&lt;=ABS(5000-2000000000)/2),"Цена со скидкой должна быть от 50 до 20000000",IF(IFERROR(VALUE(LEFT(M256,FIND("-",M256)-1)),M256)*210&lt;190900,"Вы уменьшили цену в несколько раз, товар попадет в карантин цен","")))),"")</f>
      </c>
    </row>
    <row r="257">
      <c r="A257" s="2" t="inlineStr">
        <is>
          <t>LivCar</t>
        </is>
      </c>
      <c r="B257" s="2" t="inlineStr">
        <is>
          <t>Фильтры салонные</t>
        </is>
      </c>
      <c r="C257" s="2">
        <v>171823066</v>
      </c>
      <c r="D257" s="2" t="inlineStr">
        <is>
          <t>RIR-LCY00021008S</t>
        </is>
      </c>
      <c r="E257" s="2" t="inlineStr">
        <is>
          <t>2038279720136</t>
        </is>
      </c>
      <c r="F257" s="2">
        <v>0</v>
      </c>
      <c r="G257" s="2">
        <v>1</v>
      </c>
      <c r="H257" s="2">
        <v>0</v>
      </c>
      <c r="I257" s="2" t="inlineStr">
        <is>
          <t>540</t>
        </is>
      </c>
      <c r="J257" s="4"/>
      <c r="K257" s="2">
        <v>2</v>
      </c>
      <c r="L257" s="6"/>
      <c r="M257" s="2" t="str">
        <f>IF(J257="",ROUND(I257*(1-IF(ISBLANK(L257),K257,L257)/100),2),ROUND(J257*(1-IF(ISBLANK(L257),K257,L257)/100),2))</f>
      </c>
      <c r="N257" s="7" t="str">
        <f>IF(NOT(AND(J257="",L257="")),IF(OR(AND(L257&lt;&gt;"",NOT(ISNUMBER(L257))),IFERROR(MOD(L257,1),1)&gt;0,AND(ISNUMBER(L257),OR(L257&lt;0,L257&gt;95))),"Введите целое число от 0 до 95",IF(OR(AND(J257&lt;&gt;"",NOT(ISNUMBER(J257))),IFERROR(MOD(J257,1),1)&gt;0,AND(ISNUMBER(J257),OR(J257&lt;50,J257&gt;20000000))),"Введите целое число от 50 до 20000000",IF(NOT(ABS(IFERROR(VALUE(LEFT(M257,FIND("-",M257)-1)),M257)*100-(5000+2000000000)/2)&lt;=ABS(5000-2000000000)/2),"Цена со скидкой должна быть от 50 до 20000000",IF(IFERROR(VALUE(LEFT(M257,FIND("-",M257)-1)),M257)*210&lt;52920,"Вы уменьшили цену в несколько раз, товар попадет в карантин цен","")))),"")</f>
      </c>
    </row>
    <row r="258">
      <c r="A258" s="2" t="inlineStr">
        <is>
          <t>LYNXAuto</t>
        </is>
      </c>
      <c r="B258" s="2" t="inlineStr">
        <is>
          <t>Фильтры масляные</t>
        </is>
      </c>
      <c r="C258" s="2">
        <v>164136612</v>
      </c>
      <c r="D258" s="2" t="inlineStr">
        <is>
          <t>RIR-LC1400</t>
        </is>
      </c>
      <c r="E258" s="2" t="inlineStr">
        <is>
          <t>2037962933877</t>
        </is>
      </c>
      <c r="F258" s="2">
        <v>0</v>
      </c>
      <c r="G258" s="2">
        <v>1</v>
      </c>
      <c r="H258" s="2">
        <v>1</v>
      </c>
      <c r="I258" s="2" t="inlineStr">
        <is>
          <t>610</t>
        </is>
      </c>
      <c r="J258" s="4"/>
      <c r="K258" s="2">
        <v>2</v>
      </c>
      <c r="L258" s="6"/>
      <c r="M258" s="2" t="str">
        <f>IF(J258="",ROUND(I258*(1-IF(ISBLANK(L258),K258,L258)/100),2),ROUND(J258*(1-IF(ISBLANK(L258),K258,L258)/100),2))</f>
      </c>
      <c r="N258" s="7" t="str">
        <f>IF(NOT(AND(J258="",L258="")),IF(OR(AND(L258&lt;&gt;"",NOT(ISNUMBER(L258))),IFERROR(MOD(L258,1),1)&gt;0,AND(ISNUMBER(L258),OR(L258&lt;0,L258&gt;95))),"Введите целое число от 0 до 95",IF(OR(AND(J258&lt;&gt;"",NOT(ISNUMBER(J258))),IFERROR(MOD(J258,1),1)&gt;0,AND(ISNUMBER(J258),OR(J258&lt;50,J258&gt;20000000))),"Введите целое число от 50 до 20000000",IF(NOT(ABS(IFERROR(VALUE(LEFT(M258,FIND("-",M258)-1)),M258)*100-(5000+2000000000)/2)&lt;=ABS(5000-2000000000)/2),"Цена со скидкой должна быть от 50 до 20000000",IF(IFERROR(VALUE(LEFT(M258,FIND("-",M258)-1)),M258)*210&lt;59779,"Вы уменьшили цену в несколько раз, товар попадет в карантин цен","")))),"")</f>
      </c>
    </row>
    <row r="259">
      <c r="A259" s="2" t="inlineStr">
        <is>
          <t>LYNXAuto</t>
        </is>
      </c>
      <c r="B259" s="2" t="inlineStr">
        <is>
          <t>Колодки автомобильные</t>
        </is>
      </c>
      <c r="C259" s="2">
        <v>192214629</v>
      </c>
      <c r="D259" s="2" t="inlineStr">
        <is>
          <t>RIR-BD1814</t>
        </is>
      </c>
      <c r="E259" s="2" t="inlineStr">
        <is>
          <t>2039065120369</t>
        </is>
      </c>
      <c r="F259" s="2">
        <v>0</v>
      </c>
      <c r="G259" s="2">
        <v>1</v>
      </c>
      <c r="H259" s="2" t="inlineStr">
        <is>
          <t/>
        </is>
      </c>
      <c r="I259" s="2" t="inlineStr">
        <is>
          <t>1900</t>
        </is>
      </c>
      <c r="J259" s="4"/>
      <c r="K259" s="2">
        <v>0</v>
      </c>
      <c r="L259" s="6"/>
      <c r="M259" s="2" t="str">
        <f>IF(J259="",ROUND(I259*(1-IF(ISBLANK(L259),K259,L259)/100),2),ROUND(J259*(1-IF(ISBLANK(L259),K259,L259)/100),2))</f>
      </c>
      <c r="N259" s="7" t="str">
        <f>IF(NOT(AND(J259="",L259="")),IF(OR(AND(L259&lt;&gt;"",NOT(ISNUMBER(L259))),IFERROR(MOD(L259,1),1)&gt;0,AND(ISNUMBER(L259),OR(L259&lt;0,L259&gt;95))),"Введите целое число от 0 до 95",IF(OR(AND(J259&lt;&gt;"",NOT(ISNUMBER(J259))),IFERROR(MOD(J259,1),1)&gt;0,AND(ISNUMBER(J259),OR(J259&lt;50,J259&gt;20000000))),"Введите целое число от 50 до 20000000",IF(NOT(ABS(IFERROR(VALUE(LEFT(M259,FIND("-",M259)-1)),M259)*100-(5000+2000000000)/2)&lt;=ABS(5000-2000000000)/2),"Цена со скидкой должна быть от 50 до 20000000",IF(IFERROR(VALUE(LEFT(M259,FIND("-",M259)-1)),M259)*210&lt;190000,"Вы уменьшили цену в несколько раз, товар попадет в карантин цен","")))),"")</f>
      </c>
    </row>
    <row r="260">
      <c r="A260" s="2" t="inlineStr">
        <is>
          <t>SUN</t>
        </is>
      </c>
      <c r="B260" s="2" t="inlineStr">
        <is>
          <t>Ремни приводные</t>
        </is>
      </c>
      <c r="C260" s="2">
        <v>85978689</v>
      </c>
      <c r="D260" s="2" t="inlineStr">
        <is>
          <t>4PK855</t>
        </is>
      </c>
      <c r="E260" s="2" t="inlineStr">
        <is>
          <t>2033698164738</t>
        </is>
      </c>
      <c r="F260" s="2">
        <v>0</v>
      </c>
      <c r="G260" s="2">
        <v>0</v>
      </c>
      <c r="H260" s="2">
        <v>0</v>
      </c>
      <c r="I260" s="2" t="inlineStr">
        <is>
          <t>550</t>
        </is>
      </c>
      <c r="J260" s="4"/>
      <c r="K260" s="2">
        <v>0</v>
      </c>
      <c r="L260" s="6"/>
      <c r="M260" s="2" t="str">
        <f>IF(J260="",ROUND(I260*(1-IF(ISBLANK(L260),K260,L260)/100),2),ROUND(J260*(1-IF(ISBLANK(L260),K260,L260)/100),2))</f>
      </c>
      <c r="N260" s="7" t="str">
        <f>IF(NOT(AND(J260="",L260="")),IF(OR(AND(L260&lt;&gt;"",NOT(ISNUMBER(L260))),IFERROR(MOD(L260,1),1)&gt;0,AND(ISNUMBER(L260),OR(L260&lt;0,L260&gt;95))),"Введите целое число от 0 до 95",IF(OR(AND(J260&lt;&gt;"",NOT(ISNUMBER(J260))),IFERROR(MOD(J260,1),1)&gt;0,AND(ISNUMBER(J260),OR(J260&lt;50,J260&gt;20000000))),"Введите целое число от 50 до 20000000",IF(NOT(ABS(IFERROR(VALUE(LEFT(M260,FIND("-",M260)-1)),M260)*100-(5000+2000000000)/2)&lt;=ABS(5000-2000000000)/2),"Цена со скидкой должна быть от 50 до 20000000",IF(IFERROR(VALUE(LEFT(M260,FIND("-",M260)-1)),M260)*210&lt;55000,"Вы уменьшили цену в несколько раз, товар попадет в карантин цен","")))),"")</f>
      </c>
    </row>
    <row r="261">
      <c r="A261" s="2" t="inlineStr">
        <is>
          <t>NORDFIL</t>
        </is>
      </c>
      <c r="B261" s="2" t="inlineStr">
        <is>
          <t>Фильтры салонные</t>
        </is>
      </c>
      <c r="C261" s="2">
        <v>87407893</v>
      </c>
      <c r="D261" s="2" t="inlineStr">
        <is>
          <t>CN-1006</t>
        </is>
      </c>
      <c r="E261" s="2" t="inlineStr">
        <is>
          <t>2034767548626</t>
        </is>
      </c>
      <c r="F261" s="2">
        <v>0</v>
      </c>
      <c r="G261" s="2">
        <v>1</v>
      </c>
      <c r="H261" s="2">
        <v>1</v>
      </c>
      <c r="I261" s="2" t="inlineStr">
        <is>
          <t>470</t>
        </is>
      </c>
      <c r="J261" s="4"/>
      <c r="K261" s="2">
        <v>0</v>
      </c>
      <c r="L261" s="6"/>
      <c r="M261" s="2" t="str">
        <f>IF(J261="",ROUND(I261*(1-IF(ISBLANK(L261),K261,L261)/100),2),ROUND(J261*(1-IF(ISBLANK(L261),K261,L261)/100),2))</f>
      </c>
      <c r="N261" s="7" t="str">
        <f>IF(NOT(AND(J261="",L261="")),IF(OR(AND(L261&lt;&gt;"",NOT(ISNUMBER(L261))),IFERROR(MOD(L261,1),1)&gt;0,AND(ISNUMBER(L261),OR(L261&lt;0,L261&gt;95))),"Введите целое число от 0 до 95",IF(OR(AND(J261&lt;&gt;"",NOT(ISNUMBER(J261))),IFERROR(MOD(J261,1),1)&gt;0,AND(ISNUMBER(J261),OR(J261&lt;50,J261&gt;20000000))),"Введите целое число от 50 до 20000000",IF(NOT(ABS(IFERROR(VALUE(LEFT(M261,FIND("-",M261)-1)),M261)*100-(5000+2000000000)/2)&lt;=ABS(5000-2000000000)/2),"Цена со скидкой должна быть от 50 до 20000000",IF(IFERROR(VALUE(LEFT(M261,FIND("-",M261)-1)),M261)*210&lt;47000,"Вы уменьшили цену в несколько раз, товар попадет в карантин цен","")))),"")</f>
      </c>
    </row>
    <row r="262">
      <c r="A262" s="2" t="inlineStr">
        <is>
          <t>FENOX</t>
        </is>
      </c>
      <c r="B262" s="2" t="inlineStr">
        <is>
          <t>Катушки зажигания</t>
        </is>
      </c>
      <c r="C262" s="2">
        <v>145471220</v>
      </c>
      <c r="D262" s="2" t="inlineStr">
        <is>
          <t>RIR-IC16017</t>
        </is>
      </c>
      <c r="E262" s="2" t="inlineStr">
        <is>
          <t>2037441050132</t>
        </is>
      </c>
      <c r="F262" s="2">
        <v>0</v>
      </c>
      <c r="G262" s="2">
        <v>0</v>
      </c>
      <c r="H262" s="2">
        <v>0</v>
      </c>
      <c r="I262" s="2" t="inlineStr">
        <is>
          <t>1950</t>
        </is>
      </c>
      <c r="J262" s="4"/>
      <c r="K262" s="2">
        <v>0</v>
      </c>
      <c r="L262" s="6"/>
      <c r="M262" s="2" t="str">
        <f>IF(J262="",ROUND(I262*(1-IF(ISBLANK(L262),K262,L262)/100),2),ROUND(J262*(1-IF(ISBLANK(L262),K262,L262)/100),2))</f>
      </c>
      <c r="N262" s="7" t="str">
        <f>IF(NOT(AND(J262="",L262="")),IF(OR(AND(L262&lt;&gt;"",NOT(ISNUMBER(L262))),IFERROR(MOD(L262,1),1)&gt;0,AND(ISNUMBER(L262),OR(L262&lt;0,L262&gt;95))),"Введите целое число от 0 до 95",IF(OR(AND(J262&lt;&gt;"",NOT(ISNUMBER(J262))),IFERROR(MOD(J262,1),1)&gt;0,AND(ISNUMBER(J262),OR(J262&lt;50,J262&gt;20000000))),"Введите целое число от 50 до 20000000",IF(NOT(ABS(IFERROR(VALUE(LEFT(M262,FIND("-",M262)-1)),M262)*100-(5000+2000000000)/2)&lt;=ABS(5000-2000000000)/2),"Цена со скидкой должна быть от 50 до 20000000",IF(IFERROR(VALUE(LEFT(M262,FIND("-",M262)-1)),M262)*210&lt;195000,"Вы уменьшили цену в несколько раз, товар попадет в карантин цен","")))),"")</f>
      </c>
    </row>
    <row r="263">
      <c r="A263" s="2" t="inlineStr">
        <is>
          <t>SUN</t>
        </is>
      </c>
      <c r="B263" s="2" t="inlineStr">
        <is>
          <t>Ремни приводные</t>
        </is>
      </c>
      <c r="C263" s="2">
        <v>188290793</v>
      </c>
      <c r="D263" s="2" t="inlineStr">
        <is>
          <t>5PK1305</t>
        </is>
      </c>
      <c r="E263" s="2" t="inlineStr">
        <is>
          <t>2038935246505</t>
        </is>
      </c>
      <c r="F263" s="2">
        <v>0</v>
      </c>
      <c r="G263" s="2">
        <v>0</v>
      </c>
      <c r="H263" s="2" t="inlineStr">
        <is>
          <t/>
        </is>
      </c>
      <c r="I263" s="2" t="inlineStr">
        <is>
          <t>400</t>
        </is>
      </c>
      <c r="J263" s="4"/>
      <c r="K263" s="2">
        <v>0</v>
      </c>
      <c r="L263" s="6"/>
      <c r="M263" s="2" t="str">
        <f>IF(J263="",ROUND(I263*(1-IF(ISBLANK(L263),K263,L263)/100),2),ROUND(J263*(1-IF(ISBLANK(L263),K263,L263)/100),2))</f>
      </c>
      <c r="N263" s="7" t="str">
        <f>IF(NOT(AND(J263="",L263="")),IF(OR(AND(L263&lt;&gt;"",NOT(ISNUMBER(L263))),IFERROR(MOD(L263,1),1)&gt;0,AND(ISNUMBER(L263),OR(L263&lt;0,L263&gt;95))),"Введите целое число от 0 до 95",IF(OR(AND(J263&lt;&gt;"",NOT(ISNUMBER(J263))),IFERROR(MOD(J263,1),1)&gt;0,AND(ISNUMBER(J263),OR(J263&lt;50,J263&gt;20000000))),"Введите целое число от 50 до 20000000",IF(NOT(ABS(IFERROR(VALUE(LEFT(M263,FIND("-",M263)-1)),M263)*100-(5000+2000000000)/2)&lt;=ABS(5000-2000000000)/2),"Цена со скидкой должна быть от 50 до 20000000",IF(IFERROR(VALUE(LEFT(M263,FIND("-",M263)-1)),M263)*210&lt;40000,"Вы уменьшили цену в несколько раз, товар попадет в карантин цен","")))),"")</f>
      </c>
    </row>
    <row r="264">
      <c r="A264" s="2" t="inlineStr">
        <is>
          <t>Finwhale</t>
        </is>
      </c>
      <c r="B264" s="2" t="inlineStr">
        <is>
          <t>Фильтры масляные</t>
        </is>
      </c>
      <c r="C264" s="2">
        <v>110566991</v>
      </c>
      <c r="D264" s="2" t="inlineStr">
        <is>
          <t>RIR-LF325</t>
        </is>
      </c>
      <c r="E264" s="2" t="inlineStr">
        <is>
          <t>2036806405624</t>
        </is>
      </c>
      <c r="F264" s="2">
        <v>0</v>
      </c>
      <c r="G264" s="2">
        <v>1</v>
      </c>
      <c r="H264" s="2">
        <v>0</v>
      </c>
      <c r="I264" s="2" t="inlineStr">
        <is>
          <t>510</t>
        </is>
      </c>
      <c r="J264" s="4"/>
      <c r="K264" s="2">
        <v>2</v>
      </c>
      <c r="L264" s="6"/>
      <c r="M264" s="2" t="str">
        <f>IF(J264="",ROUND(I264*(1-IF(ISBLANK(L264),K264,L264)/100),2),ROUND(J264*(1-IF(ISBLANK(L264),K264,L264)/100),2))</f>
      </c>
      <c r="N264" s="7" t="str">
        <f>IF(NOT(AND(J264="",L264="")),IF(OR(AND(L264&lt;&gt;"",NOT(ISNUMBER(L264))),IFERROR(MOD(L264,1),1)&gt;0,AND(ISNUMBER(L264),OR(L264&lt;0,L264&gt;95))),"Введите целое число от 0 до 95",IF(OR(AND(J264&lt;&gt;"",NOT(ISNUMBER(J264))),IFERROR(MOD(J264,1),1)&gt;0,AND(ISNUMBER(J264),OR(J264&lt;50,J264&gt;20000000))),"Введите целое число от 50 до 20000000",IF(NOT(ABS(IFERROR(VALUE(LEFT(M264,FIND("-",M264)-1)),M264)*100-(5000+2000000000)/2)&lt;=ABS(5000-2000000000)/2),"Цена со скидкой должна быть от 50 до 20000000",IF(IFERROR(VALUE(LEFT(M264,FIND("-",M264)-1)),M264)*210&lt;49980,"Вы уменьшили цену в несколько раз, товар попадет в карантин цен","")))),"")</f>
      </c>
    </row>
    <row r="265">
      <c r="A265" s="2" t="inlineStr">
        <is>
          <t>Bosch</t>
        </is>
      </c>
      <c r="B265" s="2" t="inlineStr">
        <is>
          <t>Свечи зажигания</t>
        </is>
      </c>
      <c r="C265" s="2">
        <v>149195181</v>
      </c>
      <c r="D265" s="2" t="inlineStr">
        <is>
          <t>RIR-0242129515</t>
        </is>
      </c>
      <c r="E265" s="2" t="inlineStr">
        <is>
          <t>2037540700709</t>
        </is>
      </c>
      <c r="F265" s="2">
        <v>0</v>
      </c>
      <c r="G265" s="2">
        <v>0</v>
      </c>
      <c r="H265" s="2">
        <v>0</v>
      </c>
      <c r="I265" s="2" t="inlineStr">
        <is>
          <t>2270</t>
        </is>
      </c>
      <c r="J265" s="4"/>
      <c r="K265" s="2">
        <v>0</v>
      </c>
      <c r="L265" s="6"/>
      <c r="M265" s="2" t="str">
        <f>IF(J265="",ROUND(I265*(1-IF(ISBLANK(L265),K265,L265)/100),2),ROUND(J265*(1-IF(ISBLANK(L265),K265,L265)/100),2))</f>
      </c>
      <c r="N265" s="7" t="str">
        <f>IF(NOT(AND(J265="",L265="")),IF(OR(AND(L265&lt;&gt;"",NOT(ISNUMBER(L265))),IFERROR(MOD(L265,1),1)&gt;0,AND(ISNUMBER(L265),OR(L265&lt;0,L265&gt;95))),"Введите целое число от 0 до 95",IF(OR(AND(J265&lt;&gt;"",NOT(ISNUMBER(J265))),IFERROR(MOD(J265,1),1)&gt;0,AND(ISNUMBER(J265),OR(J265&lt;50,J265&gt;20000000))),"Введите целое число от 50 до 20000000",IF(NOT(ABS(IFERROR(VALUE(LEFT(M265,FIND("-",M265)-1)),M265)*100-(5000+2000000000)/2)&lt;=ABS(5000-2000000000)/2),"Цена со скидкой должна быть от 50 до 20000000",IF(IFERROR(VALUE(LEFT(M265,FIND("-",M265)-1)),M265)*210&lt;227000,"Вы уменьшили цену в несколько раз, товар попадет в карантин цен","")))),"")</f>
      </c>
    </row>
    <row r="266">
      <c r="A266" s="2" t="inlineStr">
        <is>
          <t>filtron</t>
        </is>
      </c>
      <c r="B266" s="2" t="inlineStr">
        <is>
          <t>Фильтры масляные</t>
        </is>
      </c>
      <c r="C266" s="2">
        <v>87424160</v>
      </c>
      <c r="D266" s="2" t="inlineStr">
        <is>
          <t>RIR-OP6433</t>
        </is>
      </c>
      <c r="E266" s="2" t="inlineStr">
        <is>
          <t>2034775680622</t>
        </is>
      </c>
      <c r="F266" s="2">
        <v>0</v>
      </c>
      <c r="G266" s="2">
        <v>1</v>
      </c>
      <c r="H266" s="2">
        <v>1</v>
      </c>
      <c r="I266" s="2" t="inlineStr">
        <is>
          <t>630</t>
        </is>
      </c>
      <c r="J266" s="4"/>
      <c r="K266" s="2">
        <v>2</v>
      </c>
      <c r="L266" s="6"/>
      <c r="M266" s="2" t="str">
        <f>IF(J266="",ROUND(I266*(1-IF(ISBLANK(L266),K266,L266)/100),2),ROUND(J266*(1-IF(ISBLANK(L266),K266,L266)/100),2))</f>
      </c>
      <c r="N266" s="7" t="str">
        <f>IF(NOT(AND(J266="",L266="")),IF(OR(AND(L266&lt;&gt;"",NOT(ISNUMBER(L266))),IFERROR(MOD(L266,1),1)&gt;0,AND(ISNUMBER(L266),OR(L266&lt;0,L266&gt;95))),"Введите целое число от 0 до 95",IF(OR(AND(J266&lt;&gt;"",NOT(ISNUMBER(J266))),IFERROR(MOD(J266,1),1)&gt;0,AND(ISNUMBER(J266),OR(J266&lt;50,J266&gt;20000000))),"Введите целое число от 50 до 20000000",IF(NOT(ABS(IFERROR(VALUE(LEFT(M266,FIND("-",M266)-1)),M266)*100-(5000+2000000000)/2)&lt;=ABS(5000-2000000000)/2),"Цена со скидкой должна быть от 50 до 20000000",IF(IFERROR(VALUE(LEFT(M266,FIND("-",M266)-1)),M266)*210&lt;61740,"Вы уменьшили цену в несколько раз, товар попадет в карантин цен","")))),"")</f>
      </c>
    </row>
    <row r="267">
      <c r="A267" s="2" t="inlineStr">
        <is>
          <t>SUN</t>
        </is>
      </c>
      <c r="B267" s="2" t="inlineStr">
        <is>
          <t>Ремни приводные</t>
        </is>
      </c>
      <c r="C267" s="2">
        <v>188289465</v>
      </c>
      <c r="D267" s="2" t="inlineStr">
        <is>
          <t>6PK1065</t>
        </is>
      </c>
      <c r="E267" s="2" t="inlineStr">
        <is>
          <t>2038935195025</t>
        </is>
      </c>
      <c r="F267" s="2">
        <v>0</v>
      </c>
      <c r="G267" s="2">
        <v>0</v>
      </c>
      <c r="H267" s="2" t="inlineStr">
        <is>
          <t/>
        </is>
      </c>
      <c r="I267" s="2" t="inlineStr">
        <is>
          <t>450</t>
        </is>
      </c>
      <c r="J267" s="4"/>
      <c r="K267" s="2">
        <v>0</v>
      </c>
      <c r="L267" s="6"/>
      <c r="M267" s="2" t="str">
        <f>IF(J267="",ROUND(I267*(1-IF(ISBLANK(L267),K267,L267)/100),2),ROUND(J267*(1-IF(ISBLANK(L267),K267,L267)/100),2))</f>
      </c>
      <c r="N267" s="7" t="str">
        <f>IF(NOT(AND(J267="",L267="")),IF(OR(AND(L267&lt;&gt;"",NOT(ISNUMBER(L267))),IFERROR(MOD(L267,1),1)&gt;0,AND(ISNUMBER(L267),OR(L267&lt;0,L267&gt;95))),"Введите целое число от 0 до 95",IF(OR(AND(J267&lt;&gt;"",NOT(ISNUMBER(J267))),IFERROR(MOD(J267,1),1)&gt;0,AND(ISNUMBER(J267),OR(J267&lt;50,J267&gt;20000000))),"Введите целое число от 50 до 20000000",IF(NOT(ABS(IFERROR(VALUE(LEFT(M267,FIND("-",M267)-1)),M267)*100-(5000+2000000000)/2)&lt;=ABS(5000-2000000000)/2),"Цена со скидкой должна быть от 50 до 20000000",IF(IFERROR(VALUE(LEFT(M267,FIND("-",M267)-1)),M267)*210&lt;45000,"Вы уменьшили цену в несколько раз, товар попадет в карантин цен","")))),"")</f>
      </c>
    </row>
    <row r="268">
      <c r="A268" s="2" t="inlineStr">
        <is>
          <t>SangSin</t>
        </is>
      </c>
      <c r="B268" s="2" t="inlineStr">
        <is>
          <t>Колодки автомобильные</t>
        </is>
      </c>
      <c r="C268" s="2">
        <v>191994054</v>
      </c>
      <c r="D268" s="2" t="inlineStr">
        <is>
          <t>RIR-SP1159</t>
        </is>
      </c>
      <c r="E268" s="2" t="inlineStr">
        <is>
          <t>2039056553343</t>
        </is>
      </c>
      <c r="F268" s="2">
        <v>0</v>
      </c>
      <c r="G268" s="2">
        <v>1</v>
      </c>
      <c r="H268" s="2" t="inlineStr">
        <is>
          <t/>
        </is>
      </c>
      <c r="I268" s="2" t="inlineStr">
        <is>
          <t>1600</t>
        </is>
      </c>
      <c r="J268" s="4"/>
      <c r="K268" s="2">
        <v>0</v>
      </c>
      <c r="L268" s="6"/>
      <c r="M268" s="2" t="str">
        <f>IF(J268="",ROUND(I268*(1-IF(ISBLANK(L268),K268,L268)/100),2),ROUND(J268*(1-IF(ISBLANK(L268),K268,L268)/100),2))</f>
      </c>
      <c r="N268" s="7" t="str">
        <f>IF(NOT(AND(J268="",L268="")),IF(OR(AND(L268&lt;&gt;"",NOT(ISNUMBER(L268))),IFERROR(MOD(L268,1),1)&gt;0,AND(ISNUMBER(L268),OR(L268&lt;0,L268&gt;95))),"Введите целое число от 0 до 95",IF(OR(AND(J268&lt;&gt;"",NOT(ISNUMBER(J268))),IFERROR(MOD(J268,1),1)&gt;0,AND(ISNUMBER(J268),OR(J268&lt;50,J268&gt;20000000))),"Введите целое число от 50 до 20000000",IF(NOT(ABS(IFERROR(VALUE(LEFT(M268,FIND("-",M268)-1)),M268)*100-(5000+2000000000)/2)&lt;=ABS(5000-2000000000)/2),"Цена со скидкой должна быть от 50 до 20000000",IF(IFERROR(VALUE(LEFT(M268,FIND("-",M268)-1)),M268)*210&lt;160000,"Вы уменьшили цену в несколько раз, товар попадет в карантин цен","")))),"")</f>
      </c>
    </row>
    <row r="269">
      <c r="A269" s="2" t="inlineStr">
        <is>
          <t>SUN</t>
        </is>
      </c>
      <c r="B269" s="2" t="inlineStr">
        <is>
          <t>Ремни приводные</t>
        </is>
      </c>
      <c r="C269" s="2">
        <v>85978752</v>
      </c>
      <c r="D269" s="2" t="inlineStr">
        <is>
          <t>5PK875</t>
        </is>
      </c>
      <c r="E269" s="2" t="inlineStr">
        <is>
          <t>2033698164684</t>
        </is>
      </c>
      <c r="F269" s="2">
        <v>0</v>
      </c>
      <c r="G269" s="2">
        <v>0</v>
      </c>
      <c r="H269" s="2">
        <v>0</v>
      </c>
      <c r="I269" s="2" t="inlineStr">
        <is>
          <t>570</t>
        </is>
      </c>
      <c r="J269" s="4"/>
      <c r="K269" s="2">
        <v>0</v>
      </c>
      <c r="L269" s="6"/>
      <c r="M269" s="2" t="str">
        <f>IF(J269="",ROUND(I269*(1-IF(ISBLANK(L269),K269,L269)/100),2),ROUND(J269*(1-IF(ISBLANK(L269),K269,L269)/100),2))</f>
      </c>
      <c r="N269" s="7" t="str">
        <f>IF(NOT(AND(J269="",L269="")),IF(OR(AND(L269&lt;&gt;"",NOT(ISNUMBER(L269))),IFERROR(MOD(L269,1),1)&gt;0,AND(ISNUMBER(L269),OR(L269&lt;0,L269&gt;95))),"Введите целое число от 0 до 95",IF(OR(AND(J269&lt;&gt;"",NOT(ISNUMBER(J269))),IFERROR(MOD(J269,1),1)&gt;0,AND(ISNUMBER(J269),OR(J269&lt;50,J269&gt;20000000))),"Введите целое число от 50 до 20000000",IF(NOT(ABS(IFERROR(VALUE(LEFT(M269,FIND("-",M269)-1)),M269)*100-(5000+2000000000)/2)&lt;=ABS(5000-2000000000)/2),"Цена со скидкой должна быть от 50 до 20000000",IF(IFERROR(VALUE(LEFT(M269,FIND("-",M269)-1)),M269)*210&lt;57000,"Вы уменьшили цену в несколько раз, товар попадет в карантин цен","")))),"")</f>
      </c>
    </row>
    <row r="270">
      <c r="A270" s="2" t="inlineStr">
        <is>
          <t>CTR</t>
        </is>
      </c>
      <c r="B270" s="2" t="inlineStr">
        <is>
          <t>Шаровые опоры</t>
        </is>
      </c>
      <c r="C270" s="2">
        <v>191980213</v>
      </c>
      <c r="D270" s="2" t="inlineStr">
        <is>
          <t>RIR-CB0162</t>
        </is>
      </c>
      <c r="E270" s="2" t="inlineStr">
        <is>
          <t>2039056291962</t>
        </is>
      </c>
      <c r="F270" s="2">
        <v>0</v>
      </c>
      <c r="G270" s="2">
        <v>2</v>
      </c>
      <c r="H270" s="2" t="inlineStr">
        <is>
          <t/>
        </is>
      </c>
      <c r="I270" s="2" t="inlineStr">
        <is>
          <t>1420</t>
        </is>
      </c>
      <c r="J270" s="4"/>
      <c r="K270" s="2">
        <v>2</v>
      </c>
      <c r="L270" s="6"/>
      <c r="M270" s="2" t="str">
        <f>IF(J270="",ROUND(I270*(1-IF(ISBLANK(L270),K270,L270)/100),2),ROUND(J270*(1-IF(ISBLANK(L270),K270,L270)/100),2))</f>
      </c>
      <c r="N270" s="7" t="str">
        <f>IF(NOT(AND(J270="",L270="")),IF(OR(AND(L270&lt;&gt;"",NOT(ISNUMBER(L270))),IFERROR(MOD(L270,1),1)&gt;0,AND(ISNUMBER(L270),OR(L270&lt;0,L270&gt;95))),"Введите целое число от 0 до 95",IF(OR(AND(J270&lt;&gt;"",NOT(ISNUMBER(J270))),IFERROR(MOD(J270,1),1)&gt;0,AND(ISNUMBER(J270),OR(J270&lt;50,J270&gt;20000000))),"Введите целое число от 50 до 20000000",IF(NOT(ABS(IFERROR(VALUE(LEFT(M270,FIND("-",M270)-1)),M270)*100-(5000+2000000000)/2)&lt;=ABS(5000-2000000000)/2),"Цена со скидкой должна быть от 50 до 20000000",IF(IFERROR(VALUE(LEFT(M270,FIND("-",M270)-1)),M270)*210&lt;139160,"Вы уменьшили цену в несколько раз, товар попадет в карантин цен","")))),"")</f>
      </c>
    </row>
    <row r="271">
      <c r="A271" s="2" t="inlineStr">
        <is>
          <t>AMD</t>
        </is>
      </c>
      <c r="B271" s="2" t="inlineStr">
        <is>
          <t>Фильтры воздушные</t>
        </is>
      </c>
      <c r="C271" s="2">
        <v>123363489</v>
      </c>
      <c r="D271" s="2" t="inlineStr">
        <is>
          <t>RIR-AMDFA773</t>
        </is>
      </c>
      <c r="E271" s="2" t="inlineStr">
        <is>
          <t>2036968956354</t>
        </is>
      </c>
      <c r="F271" s="2">
        <v>0</v>
      </c>
      <c r="G271" s="2">
        <v>1</v>
      </c>
      <c r="H271" s="2">
        <v>0</v>
      </c>
      <c r="I271" s="2" t="inlineStr">
        <is>
          <t>560</t>
        </is>
      </c>
      <c r="J271" s="4"/>
      <c r="K271" s="2">
        <v>0</v>
      </c>
      <c r="L271" s="6"/>
      <c r="M271" s="2" t="str">
        <f>IF(J271="",ROUND(I271*(1-IF(ISBLANK(L271),K271,L271)/100),2),ROUND(J271*(1-IF(ISBLANK(L271),K271,L271)/100),2))</f>
      </c>
      <c r="N271" s="7" t="str">
        <f>IF(NOT(AND(J271="",L271="")),IF(OR(AND(L271&lt;&gt;"",NOT(ISNUMBER(L271))),IFERROR(MOD(L271,1),1)&gt;0,AND(ISNUMBER(L271),OR(L271&lt;0,L271&gt;95))),"Введите целое число от 0 до 95",IF(OR(AND(J271&lt;&gt;"",NOT(ISNUMBER(J271))),IFERROR(MOD(J271,1),1)&gt;0,AND(ISNUMBER(J271),OR(J271&lt;50,J271&gt;20000000))),"Введите целое число от 50 до 20000000",IF(NOT(ABS(IFERROR(VALUE(LEFT(M271,FIND("-",M271)-1)),M271)*100-(5000+2000000000)/2)&lt;=ABS(5000-2000000000)/2),"Цена со скидкой должна быть от 50 до 20000000",IF(IFERROR(VALUE(LEFT(M271,FIND("-",M271)-1)),M271)*210&lt;56000,"Вы уменьшили цену в несколько раз, товар попадет в карантин цен","")))),"")</f>
      </c>
    </row>
    <row r="272">
      <c r="A272" s="2" t="inlineStr">
        <is>
          <t>filtron</t>
        </is>
      </c>
      <c r="B272" s="2" t="inlineStr">
        <is>
          <t>Фильтры масляные</t>
        </is>
      </c>
      <c r="C272" s="2">
        <v>110565128</v>
      </c>
      <c r="D272" s="2" t="inlineStr">
        <is>
          <t>RIR-OP6291</t>
        </is>
      </c>
      <c r="E272" s="2" t="inlineStr">
        <is>
          <t>2036806068621</t>
        </is>
      </c>
      <c r="F272" s="2">
        <v>0</v>
      </c>
      <c r="G272" s="2">
        <v>1</v>
      </c>
      <c r="H272" s="2">
        <v>1</v>
      </c>
      <c r="I272" s="2" t="inlineStr">
        <is>
          <t>710</t>
        </is>
      </c>
      <c r="J272" s="4"/>
      <c r="K272" s="2">
        <v>3</v>
      </c>
      <c r="L272" s="6"/>
      <c r="M272" s="2" t="str">
        <f>IF(J272="",ROUND(I272*(1-IF(ISBLANK(L272),K272,L272)/100),2),ROUND(J272*(1-IF(ISBLANK(L272),K272,L272)/100),2))</f>
      </c>
      <c r="N272" s="7" t="str">
        <f>IF(NOT(AND(J272="",L272="")),IF(OR(AND(L272&lt;&gt;"",NOT(ISNUMBER(L272))),IFERROR(MOD(L272,1),1)&gt;0,AND(ISNUMBER(L272),OR(L272&lt;0,L272&gt;95))),"Введите целое число от 0 до 95",IF(OR(AND(J272&lt;&gt;"",NOT(ISNUMBER(J272))),IFERROR(MOD(J272,1),1)&gt;0,AND(ISNUMBER(J272),OR(J272&lt;50,J272&gt;20000000))),"Введите целое число от 50 до 20000000",IF(NOT(ABS(IFERROR(VALUE(LEFT(M272,FIND("-",M272)-1)),M272)*100-(5000+2000000000)/2)&lt;=ABS(5000-2000000000)/2),"Цена со скидкой должна быть от 50 до 20000000",IF(IFERROR(VALUE(LEFT(M272,FIND("-",M272)-1)),M272)*210&lt;68870,"Вы уменьшили цену в несколько раз, товар попадет в карантин цен","")))),"")</f>
      </c>
    </row>
    <row r="273">
      <c r="A273" s="2" t="inlineStr">
        <is>
          <t>Filtron</t>
        </is>
      </c>
      <c r="B273" s="2" t="inlineStr">
        <is>
          <t>Фильтры масляные</t>
        </is>
      </c>
      <c r="C273" s="2">
        <v>175895082</v>
      </c>
      <c r="D273" s="2" t="inlineStr">
        <is>
          <t>RIR-OP570</t>
        </is>
      </c>
      <c r="E273" s="2" t="inlineStr">
        <is>
          <t>2038571708269</t>
        </is>
      </c>
      <c r="F273" s="2">
        <v>0</v>
      </c>
      <c r="G273" s="2">
        <v>0</v>
      </c>
      <c r="H273" s="2">
        <v>1</v>
      </c>
      <c r="I273" s="2" t="inlineStr">
        <is>
          <t>700</t>
        </is>
      </c>
      <c r="J273" s="4"/>
      <c r="K273" s="2">
        <v>27</v>
      </c>
      <c r="L273" s="6"/>
      <c r="M273" s="2" t="str">
        <f>IF(J273="",ROUND(I273*(1-IF(ISBLANK(L273),K273,L273)/100),2),ROUND(J273*(1-IF(ISBLANK(L273),K273,L273)/100),2))</f>
      </c>
      <c r="N273" s="7" t="str">
        <f>IF(NOT(AND(J273="",L273="")),IF(OR(AND(L273&lt;&gt;"",NOT(ISNUMBER(L273))),IFERROR(MOD(L273,1),1)&gt;0,AND(ISNUMBER(L273),OR(L273&lt;0,L273&gt;95))),"Введите целое число от 0 до 95",IF(OR(AND(J273&lt;&gt;"",NOT(ISNUMBER(J273))),IFERROR(MOD(J273,1),1)&gt;0,AND(ISNUMBER(J273),OR(J273&lt;50,J273&gt;20000000))),"Введите целое число от 50 до 20000000",IF(NOT(ABS(IFERROR(VALUE(LEFT(M273,FIND("-",M273)-1)),M273)*100-(5000+2000000000)/2)&lt;=ABS(5000-2000000000)/2),"Цена со скидкой должна быть от 50 до 20000000",IF(IFERROR(VALUE(LEFT(M273,FIND("-",M273)-1)),M273)*210&lt;51100,"Вы уменьшили цену в несколько раз, товар попадет в карантин цен","")))),"")</f>
      </c>
    </row>
    <row r="274">
      <c r="A274" s="2" t="inlineStr">
        <is>
          <t>AMD</t>
        </is>
      </c>
      <c r="B274" s="2" t="inlineStr">
        <is>
          <t>Фильтры салонные</t>
        </is>
      </c>
      <c r="C274" s="2">
        <v>149939645</v>
      </c>
      <c r="D274" s="2" t="inlineStr">
        <is>
          <t>RIR-AMDFC167new</t>
        </is>
      </c>
      <c r="E274" s="2" t="inlineStr">
        <is>
          <t>2037558512356</t>
        </is>
      </c>
      <c r="F274" s="2">
        <v>0</v>
      </c>
      <c r="G274" s="2">
        <v>1</v>
      </c>
      <c r="H274" s="2">
        <v>0</v>
      </c>
      <c r="I274" s="2" t="inlineStr">
        <is>
          <t>420</t>
        </is>
      </c>
      <c r="J274" s="4"/>
      <c r="K274" s="2">
        <v>2</v>
      </c>
      <c r="L274" s="6"/>
      <c r="M274" s="2" t="str">
        <f>IF(J274="",ROUND(I274*(1-IF(ISBLANK(L274),K274,L274)/100),2),ROUND(J274*(1-IF(ISBLANK(L274),K274,L274)/100),2))</f>
      </c>
      <c r="N274" s="7" t="str">
        <f>IF(NOT(AND(J274="",L274="")),IF(OR(AND(L274&lt;&gt;"",NOT(ISNUMBER(L274))),IFERROR(MOD(L274,1),1)&gt;0,AND(ISNUMBER(L274),OR(L274&lt;0,L274&gt;95))),"Введите целое число от 0 до 95",IF(OR(AND(J274&lt;&gt;"",NOT(ISNUMBER(J274))),IFERROR(MOD(J274,1),1)&gt;0,AND(ISNUMBER(J274),OR(J274&lt;50,J274&gt;20000000))),"Введите целое число от 50 до 20000000",IF(NOT(ABS(IFERROR(VALUE(LEFT(M274,FIND("-",M274)-1)),M274)*100-(5000+2000000000)/2)&lt;=ABS(5000-2000000000)/2),"Цена со скидкой должна быть от 50 до 20000000",IF(IFERROR(VALUE(LEFT(M274,FIND("-",M274)-1)),M274)*210&lt;41160,"Вы уменьшили цену в несколько раз, товар попадет в карантин цен","")))),"")</f>
      </c>
    </row>
    <row r="275">
      <c r="A275" s="2" t="inlineStr">
        <is>
          <t>ROSTECO</t>
        </is>
      </c>
      <c r="B275" s="2" t="inlineStr">
        <is>
          <t>Прокладки клапанной крышки</t>
        </is>
      </c>
      <c r="C275" s="2">
        <v>216413095</v>
      </c>
      <c r="D275" s="2" t="inlineStr">
        <is>
          <t>RIR-20414</t>
        </is>
      </c>
      <c r="E275" s="2" t="inlineStr">
        <is>
          <t>2039640570343</t>
        </is>
      </c>
      <c r="F275" s="2">
        <v>0</v>
      </c>
      <c r="G275" s="2">
        <v>0</v>
      </c>
      <c r="H275" s="2">
        <v>1</v>
      </c>
      <c r="I275" s="2" t="inlineStr">
        <is>
          <t>1200</t>
        </is>
      </c>
      <c r="J275" s="4"/>
      <c r="K275" s="2">
        <v>2</v>
      </c>
      <c r="L275" s="6"/>
      <c r="M275" s="2" t="str">
        <f>IF(J275="",ROUND(I275*(1-IF(ISBLANK(L275),K275,L275)/100),2),ROUND(J275*(1-IF(ISBLANK(L275),K275,L275)/100),2))</f>
      </c>
      <c r="N275" s="7" t="str">
        <f>IF(NOT(AND(J275="",L275="")),IF(OR(AND(L275&lt;&gt;"",NOT(ISNUMBER(L275))),IFERROR(MOD(L275,1),1)&gt;0,AND(ISNUMBER(L275),OR(L275&lt;0,L275&gt;95))),"Введите целое число от 0 до 95",IF(OR(AND(J275&lt;&gt;"",NOT(ISNUMBER(J275))),IFERROR(MOD(J275,1),1)&gt;0,AND(ISNUMBER(J275),OR(J275&lt;50,J275&gt;20000000))),"Введите целое число от 50 до 20000000",IF(NOT(ABS(IFERROR(VALUE(LEFT(M275,FIND("-",M275)-1)),M275)*100-(5000+2000000000)/2)&lt;=ABS(5000-2000000000)/2),"Цена со скидкой должна быть от 50 до 20000000",IF(IFERROR(VALUE(LEFT(M275,FIND("-",M275)-1)),M275)*210&lt;117600,"Вы уменьшили цену в несколько раз, товар попадет в карантин цен","")))),"")</f>
      </c>
    </row>
    <row r="276">
      <c r="A276" s="2" t="inlineStr">
        <is>
          <t>OLYMP</t>
        </is>
      </c>
      <c r="B276" s="2" t="inlineStr">
        <is>
          <t>Фильтры салонные</t>
        </is>
      </c>
      <c r="C276" s="2">
        <v>89154557</v>
      </c>
      <c r="D276" s="2" t="inlineStr">
        <is>
          <t>FS205</t>
        </is>
      </c>
      <c r="E276" s="2" t="inlineStr">
        <is>
          <t>2035830618628</t>
        </is>
      </c>
      <c r="F276" s="2">
        <v>0</v>
      </c>
      <c r="G276" s="2">
        <v>0</v>
      </c>
      <c r="H276" s="2">
        <v>0</v>
      </c>
      <c r="I276" s="2" t="inlineStr">
        <is>
          <t>440</t>
        </is>
      </c>
      <c r="J276" s="4"/>
      <c r="K276" s="2">
        <v>0</v>
      </c>
      <c r="L276" s="6"/>
      <c r="M276" s="2" t="str">
        <f>IF(J276="",ROUND(I276*(1-IF(ISBLANK(L276),K276,L276)/100),2),ROUND(J276*(1-IF(ISBLANK(L276),K276,L276)/100),2))</f>
      </c>
      <c r="N276" s="7" t="str">
        <f>IF(NOT(AND(J276="",L276="")),IF(OR(AND(L276&lt;&gt;"",NOT(ISNUMBER(L276))),IFERROR(MOD(L276,1),1)&gt;0,AND(ISNUMBER(L276),OR(L276&lt;0,L276&gt;95))),"Введите целое число от 0 до 95",IF(OR(AND(J276&lt;&gt;"",NOT(ISNUMBER(J276))),IFERROR(MOD(J276,1),1)&gt;0,AND(ISNUMBER(J276),OR(J276&lt;50,J276&gt;20000000))),"Введите целое число от 50 до 20000000",IF(NOT(ABS(IFERROR(VALUE(LEFT(M276,FIND("-",M276)-1)),M276)*100-(5000+2000000000)/2)&lt;=ABS(5000-2000000000)/2),"Цена со скидкой должна быть от 50 до 20000000",IF(IFERROR(VALUE(LEFT(M276,FIND("-",M276)-1)),M276)*210&lt;44000,"Вы уменьшили цену в несколько раз, товар попадет в карантин цен","")))),"")</f>
      </c>
    </row>
    <row r="277">
      <c r="A277" s="2" t="inlineStr">
        <is>
          <t>SANGSIN / HI-Q</t>
        </is>
      </c>
      <c r="B277" s="2" t="inlineStr">
        <is>
          <t>Колодки автомобильные</t>
        </is>
      </c>
      <c r="C277" s="2">
        <v>149948244</v>
      </c>
      <c r="D277" s="2" t="inlineStr">
        <is>
          <t>RIR-	SP1399INnew</t>
        </is>
      </c>
      <c r="E277" s="2" t="inlineStr">
        <is>
          <t>2037558708971</t>
        </is>
      </c>
      <c r="F277" s="2">
        <v>0</v>
      </c>
      <c r="G277" s="2">
        <v>1</v>
      </c>
      <c r="H277" s="2">
        <v>1</v>
      </c>
      <c r="I277" s="2" t="inlineStr">
        <is>
          <t>1630</t>
        </is>
      </c>
      <c r="J277" s="4"/>
      <c r="K277" s="2">
        <v>2</v>
      </c>
      <c r="L277" s="6"/>
      <c r="M277" s="2" t="str">
        <f>IF(J277="",ROUND(I277*(1-IF(ISBLANK(L277),K277,L277)/100),2),ROUND(J277*(1-IF(ISBLANK(L277),K277,L277)/100),2))</f>
      </c>
      <c r="N277" s="7" t="str">
        <f>IF(NOT(AND(J277="",L277="")),IF(OR(AND(L277&lt;&gt;"",NOT(ISNUMBER(L277))),IFERROR(MOD(L277,1),1)&gt;0,AND(ISNUMBER(L277),OR(L277&lt;0,L277&gt;95))),"Введите целое число от 0 до 95",IF(OR(AND(J277&lt;&gt;"",NOT(ISNUMBER(J277))),IFERROR(MOD(J277,1),1)&gt;0,AND(ISNUMBER(J277),OR(J277&lt;50,J277&gt;20000000))),"Введите целое число от 50 до 20000000",IF(NOT(ABS(IFERROR(VALUE(LEFT(M277,FIND("-",M277)-1)),M277)*100-(5000+2000000000)/2)&lt;=ABS(5000-2000000000)/2),"Цена со скидкой должна быть от 50 до 20000000",IF(IFERROR(VALUE(LEFT(M277,FIND("-",M277)-1)),M277)*210&lt;159740,"Вы уменьшили цену в несколько раз, товар попадет в карантин цен","")))),"")</f>
      </c>
    </row>
    <row r="278">
      <c r="A278" s="2" t="inlineStr">
        <is>
          <t>CTR</t>
        </is>
      </c>
      <c r="B278" s="2" t="inlineStr">
        <is>
          <t>Тяги рулевые</t>
        </is>
      </c>
      <c r="C278" s="2">
        <v>117250271</v>
      </c>
      <c r="D278" s="2" t="inlineStr">
        <is>
          <t>RIR-CRKH41L</t>
        </is>
      </c>
      <c r="E278" s="2" t="inlineStr">
        <is>
          <t>2041939952624</t>
        </is>
      </c>
      <c r="F278" s="2">
        <v>0</v>
      </c>
      <c r="G278" s="2">
        <v>0</v>
      </c>
      <c r="H278" s="2">
        <v>1</v>
      </c>
      <c r="I278" s="2" t="inlineStr">
        <is>
          <t>1870</t>
        </is>
      </c>
      <c r="J278" s="4"/>
      <c r="K278" s="2">
        <v>0</v>
      </c>
      <c r="L278" s="6"/>
      <c r="M278" s="2" t="str">
        <f>IF(J278="",ROUND(I278*(1-IF(ISBLANK(L278),K278,L278)/100),2),ROUND(J278*(1-IF(ISBLANK(L278),K278,L278)/100),2))</f>
      </c>
      <c r="N278" s="7" t="str">
        <f>IF(NOT(AND(J278="",L278="")),IF(OR(AND(L278&lt;&gt;"",NOT(ISNUMBER(L278))),IFERROR(MOD(L278,1),1)&gt;0,AND(ISNUMBER(L278),OR(L278&lt;0,L278&gt;95))),"Введите целое число от 0 до 95",IF(OR(AND(J278&lt;&gt;"",NOT(ISNUMBER(J278))),IFERROR(MOD(J278,1),1)&gt;0,AND(ISNUMBER(J278),OR(J278&lt;50,J278&gt;20000000))),"Введите целое число от 50 до 20000000",IF(NOT(ABS(IFERROR(VALUE(LEFT(M278,FIND("-",M278)-1)),M278)*100-(5000+2000000000)/2)&lt;=ABS(5000-2000000000)/2),"Цена со скидкой должна быть от 50 до 20000000",IF(IFERROR(VALUE(LEFT(M278,FIND("-",M278)-1)),M278)*210&lt;187000,"Вы уменьшили цену в несколько раз, товар попадет в карантин цен","")))),"")</f>
      </c>
    </row>
    <row r="279">
      <c r="A279" s="2" t="inlineStr">
        <is>
          <t>AMD</t>
        </is>
      </c>
      <c r="B279" s="2" t="inlineStr">
        <is>
          <t>Фильтры воздушные</t>
        </is>
      </c>
      <c r="C279" s="2">
        <v>172983163</v>
      </c>
      <c r="D279" s="2" t="inlineStr">
        <is>
          <t>RIR-AMDFA788</t>
        </is>
      </c>
      <c r="E279" s="2" t="inlineStr">
        <is>
          <t>2038351689665</t>
        </is>
      </c>
      <c r="F279" s="2">
        <v>0</v>
      </c>
      <c r="G279" s="2">
        <v>1</v>
      </c>
      <c r="H279" s="2">
        <v>1</v>
      </c>
      <c r="I279" s="2" t="inlineStr">
        <is>
          <t>550</t>
        </is>
      </c>
      <c r="J279" s="4"/>
      <c r="K279" s="2">
        <v>9</v>
      </c>
      <c r="L279" s="6"/>
      <c r="M279" s="2" t="str">
        <f>IF(J279="",ROUND(I279*(1-IF(ISBLANK(L279),K279,L279)/100),2),ROUND(J279*(1-IF(ISBLANK(L279),K279,L279)/100),2))</f>
      </c>
      <c r="N279" s="7" t="str">
        <f>IF(NOT(AND(J279="",L279="")),IF(OR(AND(L279&lt;&gt;"",NOT(ISNUMBER(L279))),IFERROR(MOD(L279,1),1)&gt;0,AND(ISNUMBER(L279),OR(L279&lt;0,L279&gt;95))),"Введите целое число от 0 до 95",IF(OR(AND(J279&lt;&gt;"",NOT(ISNUMBER(J279))),IFERROR(MOD(J279,1),1)&gt;0,AND(ISNUMBER(J279),OR(J279&lt;50,J279&gt;20000000))),"Введите целое число от 50 до 20000000",IF(NOT(ABS(IFERROR(VALUE(LEFT(M279,FIND("-",M279)-1)),M279)*100-(5000+2000000000)/2)&lt;=ABS(5000-2000000000)/2),"Цена со скидкой должна быть от 50 до 20000000",IF(IFERROR(VALUE(LEFT(M279,FIND("-",M279)-1)),M279)*210&lt;50050,"Вы уменьшили цену в несколько раз, товар попадет в карантин цен","")))),"")</f>
      </c>
    </row>
    <row r="280">
      <c r="A280" s="2" t="inlineStr">
        <is>
          <t>SANGSIN</t>
        </is>
      </c>
      <c r="B280" s="2" t="inlineStr">
        <is>
          <t>Колодки автомобильные</t>
        </is>
      </c>
      <c r="C280" s="2">
        <v>162881600</v>
      </c>
      <c r="D280" s="2" t="inlineStr">
        <is>
          <t>RIR-SP1564</t>
        </is>
      </c>
      <c r="E280" s="2" t="inlineStr">
        <is>
          <t>2037903085863</t>
        </is>
      </c>
      <c r="F280" s="2">
        <v>0</v>
      </c>
      <c r="G280" s="2">
        <v>0</v>
      </c>
      <c r="H280" s="2">
        <v>1</v>
      </c>
      <c r="I280" s="2" t="inlineStr">
        <is>
          <t>1840</t>
        </is>
      </c>
      <c r="J280" s="4"/>
      <c r="K280" s="2">
        <v>0</v>
      </c>
      <c r="L280" s="6"/>
      <c r="M280" s="2" t="str">
        <f>IF(J280="",ROUND(I280*(1-IF(ISBLANK(L280),K280,L280)/100),2),ROUND(J280*(1-IF(ISBLANK(L280),K280,L280)/100),2))</f>
      </c>
      <c r="N280" s="7" t="str">
        <f>IF(NOT(AND(J280="",L280="")),IF(OR(AND(L280&lt;&gt;"",NOT(ISNUMBER(L280))),IFERROR(MOD(L280,1),1)&gt;0,AND(ISNUMBER(L280),OR(L280&lt;0,L280&gt;95))),"Введите целое число от 0 до 95",IF(OR(AND(J280&lt;&gt;"",NOT(ISNUMBER(J280))),IFERROR(MOD(J280,1),1)&gt;0,AND(ISNUMBER(J280),OR(J280&lt;50,J280&gt;20000000))),"Введите целое число от 50 до 20000000",IF(NOT(ABS(IFERROR(VALUE(LEFT(M280,FIND("-",M280)-1)),M280)*100-(5000+2000000000)/2)&lt;=ABS(5000-2000000000)/2),"Цена со скидкой должна быть от 50 до 20000000",IF(IFERROR(VALUE(LEFT(M280,FIND("-",M280)-1)),M280)*210&lt;184000,"Вы уменьшили цену в несколько раз, товар попадет в карантин цен","")))),"")</f>
      </c>
    </row>
    <row r="281">
      <c r="A281" s="2" t="inlineStr">
        <is>
          <t>Masuma</t>
        </is>
      </c>
      <c r="B281" s="2" t="inlineStr">
        <is>
          <t>Фильтры масляные</t>
        </is>
      </c>
      <c r="C281" s="2">
        <v>162790071</v>
      </c>
      <c r="D281" s="2" t="inlineStr">
        <is>
          <t>RIR-MFT2005</t>
        </is>
      </c>
      <c r="E281" s="2" t="inlineStr">
        <is>
          <t>2037900429868</t>
        </is>
      </c>
      <c r="F281" s="2">
        <v>0</v>
      </c>
      <c r="G281" s="2">
        <v>1</v>
      </c>
      <c r="H281" s="2">
        <v>1</v>
      </c>
      <c r="I281" s="2" t="inlineStr">
        <is>
          <t>1270</t>
        </is>
      </c>
      <c r="J281" s="4"/>
      <c r="K281" s="2">
        <v>0</v>
      </c>
      <c r="L281" s="6"/>
      <c r="M281" s="2" t="str">
        <f>IF(J281="",ROUND(I281*(1-IF(ISBLANK(L281),K281,L281)/100),2),ROUND(J281*(1-IF(ISBLANK(L281),K281,L281)/100),2))</f>
      </c>
      <c r="N281" s="7" t="str">
        <f>IF(NOT(AND(J281="",L281="")),IF(OR(AND(L281&lt;&gt;"",NOT(ISNUMBER(L281))),IFERROR(MOD(L281,1),1)&gt;0,AND(ISNUMBER(L281),OR(L281&lt;0,L281&gt;95))),"Введите целое число от 0 до 95",IF(OR(AND(J281&lt;&gt;"",NOT(ISNUMBER(J281))),IFERROR(MOD(J281,1),1)&gt;0,AND(ISNUMBER(J281),OR(J281&lt;50,J281&gt;20000000))),"Введите целое число от 50 до 20000000",IF(NOT(ABS(IFERROR(VALUE(LEFT(M281,FIND("-",M281)-1)),M281)*100-(5000+2000000000)/2)&lt;=ABS(5000-2000000000)/2),"Цена со скидкой должна быть от 50 до 20000000",IF(IFERROR(VALUE(LEFT(M281,FIND("-",M281)-1)),M281)*210&lt;127000,"Вы уменьшили цену в несколько раз, товар попадет в карантин цен","")))),"")</f>
      </c>
    </row>
    <row r="282">
      <c r="A282" s="2" t="inlineStr">
        <is>
          <t>AMD</t>
        </is>
      </c>
      <c r="B282" s="2" t="inlineStr">
        <is>
          <t>Колодки автомобильные</t>
        </is>
      </c>
      <c r="C282" s="2">
        <v>226658820</v>
      </c>
      <c r="D282" s="2" t="inlineStr">
        <is>
          <t>RIR-AMDBF452</t>
        </is>
      </c>
      <c r="E282" s="2" t="inlineStr">
        <is>
          <t>2039887074741</t>
        </is>
      </c>
      <c r="F282" s="2">
        <v>0</v>
      </c>
      <c r="G282" s="2">
        <v>1</v>
      </c>
      <c r="H282" s="2" t="inlineStr">
        <is>
          <t/>
        </is>
      </c>
      <c r="I282" s="2" t="inlineStr">
        <is>
          <t>2025</t>
        </is>
      </c>
      <c r="J282" s="4"/>
      <c r="K282" s="2">
        <v>14</v>
      </c>
      <c r="L282" s="6"/>
      <c r="M282" s="2" t="str">
        <f>IF(J282="",ROUND(I282*(1-IF(ISBLANK(L282),K282,L282)/100),2),ROUND(J282*(1-IF(ISBLANK(L282),K282,L282)/100),2))</f>
      </c>
      <c r="N282" s="7" t="str">
        <f>IF(NOT(AND(J282="",L282="")),IF(OR(AND(L282&lt;&gt;"",NOT(ISNUMBER(L282))),IFERROR(MOD(L282,1),1)&gt;0,AND(ISNUMBER(L282),OR(L282&lt;0,L282&gt;95))),"Введите целое число от 0 до 95",IF(OR(AND(J282&lt;&gt;"",NOT(ISNUMBER(J282))),IFERROR(MOD(J282,1),1)&gt;0,AND(ISNUMBER(J282),OR(J282&lt;50,J282&gt;20000000))),"Введите целое число от 50 до 20000000",IF(NOT(ABS(IFERROR(VALUE(LEFT(M282,FIND("-",M282)-1)),M282)*100-(5000+2000000000)/2)&lt;=ABS(5000-2000000000)/2),"Цена со скидкой должна быть от 50 до 20000000",IF(IFERROR(VALUE(LEFT(M282,FIND("-",M282)-1)),M282)*210&lt;174150,"Вы уменьшили цену в несколько раз, товар попадет в карантин цен","")))),"")</f>
      </c>
    </row>
    <row r="283">
      <c r="A283" s="2" t="inlineStr">
        <is>
          <t>Masuma</t>
        </is>
      </c>
      <c r="B283" s="2" t="inlineStr">
        <is>
          <t>Фильтры масляные</t>
        </is>
      </c>
      <c r="C283" s="2">
        <v>177173115</v>
      </c>
      <c r="D283" s="2" t="inlineStr">
        <is>
          <t>RIR-MFT1032</t>
        </is>
      </c>
      <c r="E283" s="2" t="inlineStr">
        <is>
          <t>2038621084817</t>
        </is>
      </c>
      <c r="F283" s="2">
        <v>0</v>
      </c>
      <c r="G283" s="2">
        <v>0</v>
      </c>
      <c r="H283" s="2">
        <v>1</v>
      </c>
      <c r="I283" s="2" t="inlineStr">
        <is>
          <t>1600</t>
        </is>
      </c>
      <c r="J283" s="4"/>
      <c r="K283" s="2">
        <v>25</v>
      </c>
      <c r="L283" s="6"/>
      <c r="M283" s="2" t="str">
        <f>IF(J283="",ROUND(I283*(1-IF(ISBLANK(L283),K283,L283)/100),2),ROUND(J283*(1-IF(ISBLANK(L283),K283,L283)/100),2))</f>
      </c>
      <c r="N283" s="7" t="str">
        <f>IF(NOT(AND(J283="",L283="")),IF(OR(AND(L283&lt;&gt;"",NOT(ISNUMBER(L283))),IFERROR(MOD(L283,1),1)&gt;0,AND(ISNUMBER(L283),OR(L283&lt;0,L283&gt;95))),"Введите целое число от 0 до 95",IF(OR(AND(J283&lt;&gt;"",NOT(ISNUMBER(J283))),IFERROR(MOD(J283,1),1)&gt;0,AND(ISNUMBER(J283),OR(J283&lt;50,J283&gt;20000000))),"Введите целое число от 50 до 20000000",IF(NOT(ABS(IFERROR(VALUE(LEFT(M283,FIND("-",M283)-1)),M283)*100-(5000+2000000000)/2)&lt;=ABS(5000-2000000000)/2),"Цена со скидкой должна быть от 50 до 20000000",IF(IFERROR(VALUE(LEFT(M283,FIND("-",M283)-1)),M283)*210&lt;120000,"Вы уменьшили цену в несколько раз, товар попадет в карантин цен","")))),"")</f>
      </c>
    </row>
    <row r="284">
      <c r="A284" s="2" t="inlineStr">
        <is>
          <t>CTR</t>
        </is>
      </c>
      <c r="B284" s="2" t="inlineStr">
        <is>
          <t>Рулевое управление</t>
        </is>
      </c>
      <c r="C284" s="2">
        <v>228901997</v>
      </c>
      <c r="D284" s="2" t="inlineStr">
        <is>
          <t>RIR-CE0732R</t>
        </is>
      </c>
      <c r="E284" s="2" t="inlineStr">
        <is>
          <t>2039927524649</t>
        </is>
      </c>
      <c r="F284" s="2">
        <v>0</v>
      </c>
      <c r="G284" s="2">
        <v>0</v>
      </c>
      <c r="H284" s="2" t="inlineStr">
        <is>
          <t/>
        </is>
      </c>
      <c r="I284" s="2" t="inlineStr">
        <is>
          <t>1530</t>
        </is>
      </c>
      <c r="J284" s="4"/>
      <c r="K284" s="2">
        <v>0</v>
      </c>
      <c r="L284" s="6"/>
      <c r="M284" s="2" t="str">
        <f>IF(J284="",ROUND(I284*(1-IF(ISBLANK(L284),K284,L284)/100),2),ROUND(J284*(1-IF(ISBLANK(L284),K284,L284)/100),2))</f>
      </c>
      <c r="N284" s="7" t="str">
        <f>IF(NOT(AND(J284="",L284="")),IF(OR(AND(L284&lt;&gt;"",NOT(ISNUMBER(L284))),IFERROR(MOD(L284,1),1)&gt;0,AND(ISNUMBER(L284),OR(L284&lt;0,L284&gt;95))),"Введите целое число от 0 до 95",IF(OR(AND(J284&lt;&gt;"",NOT(ISNUMBER(J284))),IFERROR(MOD(J284,1),1)&gt;0,AND(ISNUMBER(J284),OR(J284&lt;50,J284&gt;20000000))),"Введите целое число от 50 до 20000000",IF(NOT(ABS(IFERROR(VALUE(LEFT(M284,FIND("-",M284)-1)),M284)*100-(5000+2000000000)/2)&lt;=ABS(5000-2000000000)/2),"Цена со скидкой должна быть от 50 до 20000000",IF(IFERROR(VALUE(LEFT(M284,FIND("-",M284)-1)),M284)*210&lt;153000,"Вы уменьшили цену в несколько раз, товар попадет в карантин цен","")))),"")</f>
      </c>
    </row>
    <row r="285">
      <c r="A285" s="2" t="inlineStr">
        <is>
          <t>LYNXAuto</t>
        </is>
      </c>
      <c r="B285" s="2" t="inlineStr">
        <is>
          <t>Фильтры масляные</t>
        </is>
      </c>
      <c r="C285" s="2">
        <v>166499206</v>
      </c>
      <c r="D285" s="2" t="inlineStr">
        <is>
          <t>RIR-LC170</t>
        </is>
      </c>
      <c r="E285" s="2" t="inlineStr">
        <is>
          <t>2038078144959</t>
        </is>
      </c>
      <c r="F285" s="2">
        <v>0</v>
      </c>
      <c r="G285" s="2">
        <v>1</v>
      </c>
      <c r="H285" s="2">
        <v>1</v>
      </c>
      <c r="I285" s="2" t="inlineStr">
        <is>
          <t>600</t>
        </is>
      </c>
      <c r="J285" s="4"/>
      <c r="K285" s="2">
        <v>2</v>
      </c>
      <c r="L285" s="6"/>
      <c r="M285" s="2" t="str">
        <f>IF(J285="",ROUND(I285*(1-IF(ISBLANK(L285),K285,L285)/100),2),ROUND(J285*(1-IF(ISBLANK(L285),K285,L285)/100),2))</f>
      </c>
      <c r="N285" s="7" t="str">
        <f>IF(NOT(AND(J285="",L285="")),IF(OR(AND(L285&lt;&gt;"",NOT(ISNUMBER(L285))),IFERROR(MOD(L285,1),1)&gt;0,AND(ISNUMBER(L285),OR(L285&lt;0,L285&gt;95))),"Введите целое число от 0 до 95",IF(OR(AND(J285&lt;&gt;"",NOT(ISNUMBER(J285))),IFERROR(MOD(J285,1),1)&gt;0,AND(ISNUMBER(J285),OR(J285&lt;50,J285&gt;20000000))),"Введите целое число от 50 до 20000000",IF(NOT(ABS(IFERROR(VALUE(LEFT(M285,FIND("-",M285)-1)),M285)*100-(5000+2000000000)/2)&lt;=ABS(5000-2000000000)/2),"Цена со скидкой должна быть от 50 до 20000000",IF(IFERROR(VALUE(LEFT(M285,FIND("-",M285)-1)),M285)*210&lt;58800,"Вы уменьшили цену в несколько раз, товар попадет в карантин цен","")))),"")</f>
      </c>
    </row>
    <row r="286">
      <c r="A286" s="2" t="inlineStr">
        <is>
          <t>SANGSIN</t>
        </is>
      </c>
      <c r="B286" s="2" t="inlineStr">
        <is>
          <t>Колодки автомобильные</t>
        </is>
      </c>
      <c r="C286" s="2">
        <v>278268789</v>
      </c>
      <c r="D286" s="2" t="inlineStr">
        <is>
          <t>RIR-SP1451_2</t>
        </is>
      </c>
      <c r="E286" s="2" t="inlineStr">
        <is>
          <t>2041675048957</t>
        </is>
      </c>
      <c r="F286" s="2">
        <v>0</v>
      </c>
      <c r="G286" s="2">
        <v>1</v>
      </c>
      <c r="H286" s="2" t="inlineStr">
        <is>
          <t/>
        </is>
      </c>
      <c r="I286" s="2" t="inlineStr">
        <is>
          <t>2330</t>
        </is>
      </c>
      <c r="J286" s="4"/>
      <c r="K286" s="2">
        <v>0</v>
      </c>
      <c r="L286" s="6"/>
      <c r="M286" s="2" t="str">
        <f>IF(J286="",ROUND(I286*(1-IF(ISBLANK(L286),K286,L286)/100),2),ROUND(J286*(1-IF(ISBLANK(L286),K286,L286)/100),2))</f>
      </c>
      <c r="N286" s="7" t="str">
        <f>IF(NOT(AND(J286="",L286="")),IF(OR(AND(L286&lt;&gt;"",NOT(ISNUMBER(L286))),IFERROR(MOD(L286,1),1)&gt;0,AND(ISNUMBER(L286),OR(L286&lt;0,L286&gt;95))),"Введите целое число от 0 до 95",IF(OR(AND(J286&lt;&gt;"",NOT(ISNUMBER(J286))),IFERROR(MOD(J286,1),1)&gt;0,AND(ISNUMBER(J286),OR(J286&lt;50,J286&gt;20000000))),"Введите целое число от 50 до 20000000",IF(NOT(ABS(IFERROR(VALUE(LEFT(M286,FIND("-",M286)-1)),M286)*100-(5000+2000000000)/2)&lt;=ABS(5000-2000000000)/2),"Цена со скидкой должна быть от 50 до 20000000",IF(IFERROR(VALUE(LEFT(M286,FIND("-",M286)-1)),M286)*210&lt;233000,"Вы уменьшили цену в несколько раз, товар попадет в карантин цен","")))),"")</f>
      </c>
    </row>
    <row r="287">
      <c r="A287" s="2" t="inlineStr">
        <is>
          <t>Bosch</t>
        </is>
      </c>
      <c r="B287" s="2" t="inlineStr">
        <is>
          <t>Свечи зажигания</t>
        </is>
      </c>
      <c r="C287" s="2">
        <v>142516816</v>
      </c>
      <c r="D287" s="2" t="inlineStr">
        <is>
          <t>RIR-0242235666</t>
        </is>
      </c>
      <c r="E287" s="2" t="inlineStr">
        <is>
          <t>2037359066232</t>
        </is>
      </c>
      <c r="F287" s="2">
        <v>0</v>
      </c>
      <c r="G287" s="2">
        <v>1</v>
      </c>
      <c r="H287" s="2">
        <v>1</v>
      </c>
      <c r="I287" s="2" t="inlineStr">
        <is>
          <t>1020</t>
        </is>
      </c>
      <c r="J287" s="4"/>
      <c r="K287" s="2">
        <v>2</v>
      </c>
      <c r="L287" s="6"/>
      <c r="M287" s="2" t="str">
        <f>IF(J287="",ROUND(I287*(1-IF(ISBLANK(L287),K287,L287)/100),2),ROUND(J287*(1-IF(ISBLANK(L287),K287,L287)/100),2))</f>
      </c>
      <c r="N287" s="7" t="str">
        <f>IF(NOT(AND(J287="",L287="")),IF(OR(AND(L287&lt;&gt;"",NOT(ISNUMBER(L287))),IFERROR(MOD(L287,1),1)&gt;0,AND(ISNUMBER(L287),OR(L287&lt;0,L287&gt;95))),"Введите целое число от 0 до 95",IF(OR(AND(J287&lt;&gt;"",NOT(ISNUMBER(J287))),IFERROR(MOD(J287,1),1)&gt;0,AND(ISNUMBER(J287),OR(J287&lt;50,J287&gt;20000000))),"Введите целое число от 50 до 20000000",IF(NOT(ABS(IFERROR(VALUE(LEFT(M287,FIND("-",M287)-1)),M287)*100-(5000+2000000000)/2)&lt;=ABS(5000-2000000000)/2),"Цена со скидкой должна быть от 50 до 20000000",IF(IFERROR(VALUE(LEFT(M287,FIND("-",M287)-1)),M287)*210&lt;99960,"Вы уменьшили цену в несколько раз, товар попадет в карантин цен","")))),"")</f>
      </c>
    </row>
    <row r="288">
      <c r="A288" s="2" t="inlineStr">
        <is>
          <t>Rosteco</t>
        </is>
      </c>
      <c r="B288" s="2" t="inlineStr">
        <is>
          <t>Прокладки клапанной крышки</t>
        </is>
      </c>
      <c r="C288" s="2">
        <v>232871458</v>
      </c>
      <c r="D288" s="2" t="inlineStr">
        <is>
          <t>RIR-21216</t>
        </is>
      </c>
      <c r="E288" s="2" t="inlineStr">
        <is>
          <t>2040074216066</t>
        </is>
      </c>
      <c r="F288" s="2">
        <v>0</v>
      </c>
      <c r="G288" s="2">
        <v>1</v>
      </c>
      <c r="H288" s="2" t="inlineStr">
        <is>
          <t/>
        </is>
      </c>
      <c r="I288" s="2" t="inlineStr">
        <is>
          <t>1090</t>
        </is>
      </c>
      <c r="J288" s="4"/>
      <c r="K288" s="2">
        <v>2</v>
      </c>
      <c r="L288" s="6"/>
      <c r="M288" s="2" t="str">
        <f>IF(J288="",ROUND(I288*(1-IF(ISBLANK(L288),K288,L288)/100),2),ROUND(J288*(1-IF(ISBLANK(L288),K288,L288)/100),2))</f>
      </c>
      <c r="N288" s="7" t="str">
        <f>IF(NOT(AND(J288="",L288="")),IF(OR(AND(L288&lt;&gt;"",NOT(ISNUMBER(L288))),IFERROR(MOD(L288,1),1)&gt;0,AND(ISNUMBER(L288),OR(L288&lt;0,L288&gt;95))),"Введите целое число от 0 до 95",IF(OR(AND(J288&lt;&gt;"",NOT(ISNUMBER(J288))),IFERROR(MOD(J288,1),1)&gt;0,AND(ISNUMBER(J288),OR(J288&lt;50,J288&gt;20000000))),"Введите целое число от 50 до 20000000",IF(NOT(ABS(IFERROR(VALUE(LEFT(M288,FIND("-",M288)-1)),M288)*100-(5000+2000000000)/2)&lt;=ABS(5000-2000000000)/2),"Цена со скидкой должна быть от 50 до 20000000",IF(IFERROR(VALUE(LEFT(M288,FIND("-",M288)-1)),M288)*210&lt;106820,"Вы уменьшили цену в несколько раз, товар попадет в карантин цен","")))),"")</f>
      </c>
    </row>
    <row r="289">
      <c r="A289" s="2" t="inlineStr">
        <is>
          <t>LYNXAUTO</t>
        </is>
      </c>
      <c r="B289" s="2" t="inlineStr">
        <is>
          <t>Колодки автомобильные</t>
        </is>
      </c>
      <c r="C289" s="2">
        <v>393822063</v>
      </c>
      <c r="D289" s="2" t="inlineStr">
        <is>
          <t>RIR-BD2843</t>
        </is>
      </c>
      <c r="E289" s="2" t="inlineStr">
        <is>
          <t>2043712561115</t>
        </is>
      </c>
      <c r="F289" s="2">
        <v>0</v>
      </c>
      <c r="G289" s="2">
        <v>1</v>
      </c>
      <c r="H289" s="2" t="inlineStr">
        <is>
          <t/>
        </is>
      </c>
      <c r="I289" s="2" t="inlineStr">
        <is>
          <t>2800</t>
        </is>
      </c>
      <c r="J289" s="4"/>
      <c r="K289" s="2">
        <v>24</v>
      </c>
      <c r="L289" s="6"/>
      <c r="M289" s="2" t="str">
        <f>IF(J289="",ROUND(I289*(1-IF(ISBLANK(L289),K289,L289)/100),2),ROUND(J289*(1-IF(ISBLANK(L289),K289,L289)/100),2))</f>
      </c>
      <c r="N289" s="7" t="str">
        <f>IF(NOT(AND(J289="",L289="")),IF(OR(AND(L289&lt;&gt;"",NOT(ISNUMBER(L289))),IFERROR(MOD(L289,1),1)&gt;0,AND(ISNUMBER(L289),OR(L289&lt;0,L289&gt;95))),"Введите целое число от 0 до 95",IF(OR(AND(J289&lt;&gt;"",NOT(ISNUMBER(J289))),IFERROR(MOD(J289,1),1)&gt;0,AND(ISNUMBER(J289),OR(J289&lt;50,J289&gt;20000000))),"Введите целое число от 50 до 20000000",IF(NOT(ABS(IFERROR(VALUE(LEFT(M289,FIND("-",M289)-1)),M289)*100-(5000+2000000000)/2)&lt;=ABS(5000-2000000000)/2),"Цена со скидкой должна быть от 50 до 20000000",IF(IFERROR(VALUE(LEFT(M289,FIND("-",M289)-1)),M289)*210&lt;212800,"Вы уменьшили цену в несколько раз, товар попадет в карантин цен","")))),"")</f>
      </c>
    </row>
    <row r="290">
      <c r="A290" s="2" t="inlineStr">
        <is>
          <t>LYNXAuto</t>
        </is>
      </c>
      <c r="B290" s="2" t="inlineStr">
        <is>
          <t>Фильтры масляные</t>
        </is>
      </c>
      <c r="C290" s="2">
        <v>252621506</v>
      </c>
      <c r="D290" s="2" t="inlineStr">
        <is>
          <t>RIR-LO239</t>
        </is>
      </c>
      <c r="E290" s="2" t="inlineStr">
        <is>
          <t>2040931573295</t>
        </is>
      </c>
      <c r="F290" s="2">
        <v>0</v>
      </c>
      <c r="G290" s="2">
        <v>1</v>
      </c>
      <c r="H290" s="2" t="inlineStr">
        <is>
          <t/>
        </is>
      </c>
      <c r="I290" s="2" t="inlineStr">
        <is>
          <t>1100</t>
        </is>
      </c>
      <c r="J290" s="4"/>
      <c r="K290" s="2">
        <v>10</v>
      </c>
      <c r="L290" s="6"/>
      <c r="M290" s="2" t="str">
        <f>IF(J290="",ROUND(I290*(1-IF(ISBLANK(L290),K290,L290)/100),2),ROUND(J290*(1-IF(ISBLANK(L290),K290,L290)/100),2))</f>
      </c>
      <c r="N290" s="7" t="str">
        <f>IF(NOT(AND(J290="",L290="")),IF(OR(AND(L290&lt;&gt;"",NOT(ISNUMBER(L290))),IFERROR(MOD(L290,1),1)&gt;0,AND(ISNUMBER(L290),OR(L290&lt;0,L290&gt;95))),"Введите целое число от 0 до 95",IF(OR(AND(J290&lt;&gt;"",NOT(ISNUMBER(J290))),IFERROR(MOD(J290,1),1)&gt;0,AND(ISNUMBER(J290),OR(J290&lt;50,J290&gt;20000000))),"Введите целое число от 50 до 20000000",IF(NOT(ABS(IFERROR(VALUE(LEFT(M290,FIND("-",M290)-1)),M290)*100-(5000+2000000000)/2)&lt;=ABS(5000-2000000000)/2),"Цена со скидкой должна быть от 50 до 20000000",IF(IFERROR(VALUE(LEFT(M290,FIND("-",M290)-1)),M290)*210&lt;99000,"Вы уменьшили цену в несколько раз, товар попадет в карантин цен","")))),"")</f>
      </c>
    </row>
    <row r="291">
      <c r="A291" s="2" t="inlineStr">
        <is>
          <t>SUN</t>
        </is>
      </c>
      <c r="B291" s="2" t="inlineStr">
        <is>
          <t>Ремни приводные</t>
        </is>
      </c>
      <c r="C291" s="2">
        <v>85978706</v>
      </c>
      <c r="D291" s="2" t="inlineStr">
        <is>
          <t>5PK980</t>
        </is>
      </c>
      <c r="E291" s="2" t="inlineStr">
        <is>
          <t>2033698164691</t>
        </is>
      </c>
      <c r="F291" s="2">
        <v>0</v>
      </c>
      <c r="G291" s="2">
        <v>0</v>
      </c>
      <c r="H291" s="2" t="inlineStr">
        <is>
          <t/>
        </is>
      </c>
      <c r="I291" s="2" t="inlineStr">
        <is>
          <t>600</t>
        </is>
      </c>
      <c r="J291" s="4"/>
      <c r="K291" s="2">
        <v>2</v>
      </c>
      <c r="L291" s="6"/>
      <c r="M291" s="2" t="str">
        <f>IF(J291="",ROUND(I291*(1-IF(ISBLANK(L291),K291,L291)/100),2),ROUND(J291*(1-IF(ISBLANK(L291),K291,L291)/100),2))</f>
      </c>
      <c r="N291" s="7" t="str">
        <f>IF(NOT(AND(J291="",L291="")),IF(OR(AND(L291&lt;&gt;"",NOT(ISNUMBER(L291))),IFERROR(MOD(L291,1),1)&gt;0,AND(ISNUMBER(L291),OR(L291&lt;0,L291&gt;95))),"Введите целое число от 0 до 95",IF(OR(AND(J291&lt;&gt;"",NOT(ISNUMBER(J291))),IFERROR(MOD(J291,1),1)&gt;0,AND(ISNUMBER(J291),OR(J291&lt;50,J291&gt;20000000))),"Введите целое число от 50 до 20000000",IF(NOT(ABS(IFERROR(VALUE(LEFT(M291,FIND("-",M291)-1)),M291)*100-(5000+2000000000)/2)&lt;=ABS(5000-2000000000)/2),"Цена со скидкой должна быть от 50 до 20000000",IF(IFERROR(VALUE(LEFT(M291,FIND("-",M291)-1)),M291)*210&lt;58800,"Вы уменьшили цену в несколько раз, товар попадет в карантин цен","")))),"")</f>
      </c>
    </row>
    <row r="292">
      <c r="A292" s="2" t="inlineStr">
        <is>
          <t>LYNXAuto</t>
        </is>
      </c>
      <c r="B292" s="2" t="inlineStr">
        <is>
          <t>Фильтры масляные</t>
        </is>
      </c>
      <c r="C292" s="2">
        <v>178418397</v>
      </c>
      <c r="D292" s="2" t="inlineStr">
        <is>
          <t>RIR-LC1902</t>
        </is>
      </c>
      <c r="E292" s="2" t="inlineStr">
        <is>
          <t>2038668347838</t>
        </is>
      </c>
      <c r="F292" s="2">
        <v>0</v>
      </c>
      <c r="G292" s="2">
        <v>1</v>
      </c>
      <c r="H292" s="2">
        <v>0</v>
      </c>
      <c r="I292" s="2" t="inlineStr">
        <is>
          <t>860</t>
        </is>
      </c>
      <c r="J292" s="4"/>
      <c r="K292" s="2">
        <v>0</v>
      </c>
      <c r="L292" s="6"/>
      <c r="M292" s="2" t="str">
        <f>IF(J292="",ROUND(I292*(1-IF(ISBLANK(L292),K292,L292)/100),2),ROUND(J292*(1-IF(ISBLANK(L292),K292,L292)/100),2))</f>
      </c>
      <c r="N292" s="7" t="str">
        <f>IF(NOT(AND(J292="",L292="")),IF(OR(AND(L292&lt;&gt;"",NOT(ISNUMBER(L292))),IFERROR(MOD(L292,1),1)&gt;0,AND(ISNUMBER(L292),OR(L292&lt;0,L292&gt;95))),"Введите целое число от 0 до 95",IF(OR(AND(J292&lt;&gt;"",NOT(ISNUMBER(J292))),IFERROR(MOD(J292,1),1)&gt;0,AND(ISNUMBER(J292),OR(J292&lt;50,J292&gt;20000000))),"Введите целое число от 50 до 20000000",IF(NOT(ABS(IFERROR(VALUE(LEFT(M292,FIND("-",M292)-1)),M292)*100-(5000+2000000000)/2)&lt;=ABS(5000-2000000000)/2),"Цена со скидкой должна быть от 50 до 20000000",IF(IFERROR(VALUE(LEFT(M292,FIND("-",M292)-1)),M292)*210&lt;86000,"Вы уменьшили цену в несколько раз, товар попадет в карантин цен","")))),"")</f>
      </c>
    </row>
    <row r="293">
      <c r="A293" s="2" t="inlineStr">
        <is>
          <t>Brisk</t>
        </is>
      </c>
      <c r="B293" s="2" t="inlineStr">
        <is>
          <t>Свечи зажигания</t>
        </is>
      </c>
      <c r="C293" s="2">
        <v>175302296</v>
      </c>
      <c r="D293" s="2" t="inlineStr">
        <is>
          <t>RIR-DR15YC1</t>
        </is>
      </c>
      <c r="E293" s="2" t="inlineStr">
        <is>
          <t>2038536251984</t>
        </is>
      </c>
      <c r="F293" s="2">
        <v>0</v>
      </c>
      <c r="G293" s="2">
        <v>0</v>
      </c>
      <c r="H293" s="2">
        <v>6</v>
      </c>
      <c r="I293" s="2" t="inlineStr">
        <is>
          <t>850</t>
        </is>
      </c>
      <c r="J293" s="4"/>
      <c r="K293" s="2">
        <v>0</v>
      </c>
      <c r="L293" s="6"/>
      <c r="M293" s="2" t="str">
        <f>IF(J293="",ROUND(I293*(1-IF(ISBLANK(L293),K293,L293)/100),2),ROUND(J293*(1-IF(ISBLANK(L293),K293,L293)/100),2))</f>
      </c>
      <c r="N293" s="7" t="str">
        <f>IF(NOT(AND(J293="",L293="")),IF(OR(AND(L293&lt;&gt;"",NOT(ISNUMBER(L293))),IFERROR(MOD(L293,1),1)&gt;0,AND(ISNUMBER(L293),OR(L293&lt;0,L293&gt;95))),"Введите целое число от 0 до 95",IF(OR(AND(J293&lt;&gt;"",NOT(ISNUMBER(J293))),IFERROR(MOD(J293,1),1)&gt;0,AND(ISNUMBER(J293),OR(J293&lt;50,J293&gt;20000000))),"Введите целое число от 50 до 20000000",IF(NOT(ABS(IFERROR(VALUE(LEFT(M293,FIND("-",M293)-1)),M293)*100-(5000+2000000000)/2)&lt;=ABS(5000-2000000000)/2),"Цена со скидкой должна быть от 50 до 20000000",IF(IFERROR(VALUE(LEFT(M293,FIND("-",M293)-1)),M293)*210&lt;85000,"Вы уменьшили цену в несколько раз, товар попадет в карантин цен","")))),"")</f>
      </c>
    </row>
    <row r="294">
      <c r="A294" s="2" t="inlineStr">
        <is>
          <t>AMD</t>
        </is>
      </c>
      <c r="B294" s="2" t="inlineStr">
        <is>
          <t>Фильтры салонные</t>
        </is>
      </c>
      <c r="C294" s="2">
        <v>88030070</v>
      </c>
      <c r="D294" s="2" t="inlineStr">
        <is>
          <t>RIR-AMDFC167C</t>
        </is>
      </c>
      <c r="E294" s="2" t="inlineStr">
        <is>
          <t>2034979600624</t>
        </is>
      </c>
      <c r="F294" s="2">
        <v>0</v>
      </c>
      <c r="G294" s="2">
        <v>1</v>
      </c>
      <c r="H294" s="2">
        <v>0</v>
      </c>
      <c r="I294" s="2" t="inlineStr">
        <is>
          <t>620</t>
        </is>
      </c>
      <c r="J294" s="4"/>
      <c r="K294" s="2">
        <v>2</v>
      </c>
      <c r="L294" s="6"/>
      <c r="M294" s="2" t="str">
        <f>IF(J294="",ROUND(I294*(1-IF(ISBLANK(L294),K294,L294)/100),2),ROUND(J294*(1-IF(ISBLANK(L294),K294,L294)/100),2))</f>
      </c>
      <c r="N294" s="7" t="str">
        <f>IF(NOT(AND(J294="",L294="")),IF(OR(AND(L294&lt;&gt;"",NOT(ISNUMBER(L294))),IFERROR(MOD(L294,1),1)&gt;0,AND(ISNUMBER(L294),OR(L294&lt;0,L294&gt;95))),"Введите целое число от 0 до 95",IF(OR(AND(J294&lt;&gt;"",NOT(ISNUMBER(J294))),IFERROR(MOD(J294,1),1)&gt;0,AND(ISNUMBER(J294),OR(J294&lt;50,J294&gt;20000000))),"Введите целое число от 50 до 20000000",IF(NOT(ABS(IFERROR(VALUE(LEFT(M294,FIND("-",M294)-1)),M294)*100-(5000+2000000000)/2)&lt;=ABS(5000-2000000000)/2),"Цена со скидкой должна быть от 50 до 20000000",IF(IFERROR(VALUE(LEFT(M294,FIND("-",M294)-1)),M294)*210&lt;60760,"Вы уменьшили цену в несколько раз, товар попадет в карантин цен","")))),"")</f>
      </c>
    </row>
    <row r="295">
      <c r="A295" s="2" t="inlineStr">
        <is>
          <t>AMD</t>
        </is>
      </c>
      <c r="B295" s="2" t="inlineStr">
        <is>
          <t>Прокладки клапанной крышки</t>
        </is>
      </c>
      <c r="C295" s="2">
        <v>232985083</v>
      </c>
      <c r="D295" s="2" t="inlineStr">
        <is>
          <t>RIR-AMDAC111</t>
        </is>
      </c>
      <c r="E295" s="2" t="inlineStr">
        <is>
          <t>2040079273453</t>
        </is>
      </c>
      <c r="F295" s="2">
        <v>0</v>
      </c>
      <c r="G295" s="2">
        <v>1</v>
      </c>
      <c r="H295" s="2">
        <v>999</v>
      </c>
      <c r="I295" s="2" t="inlineStr">
        <is>
          <t>650</t>
        </is>
      </c>
      <c r="J295" s="4"/>
      <c r="K295" s="2">
        <v>0</v>
      </c>
      <c r="L295" s="6"/>
      <c r="M295" s="2" t="str">
        <f>IF(J295="",ROUND(I295*(1-IF(ISBLANK(L295),K295,L295)/100),2),ROUND(J295*(1-IF(ISBLANK(L295),K295,L295)/100),2))</f>
      </c>
      <c r="N295" s="7" t="str">
        <f>IF(NOT(AND(J295="",L295="")),IF(OR(AND(L295&lt;&gt;"",NOT(ISNUMBER(L295))),IFERROR(MOD(L295,1),1)&gt;0,AND(ISNUMBER(L295),OR(L295&lt;0,L295&gt;95))),"Введите целое число от 0 до 95",IF(OR(AND(J295&lt;&gt;"",NOT(ISNUMBER(J295))),IFERROR(MOD(J295,1),1)&gt;0,AND(ISNUMBER(J295),OR(J295&lt;50,J295&gt;20000000))),"Введите целое число от 50 до 20000000",IF(NOT(ABS(IFERROR(VALUE(LEFT(M295,FIND("-",M295)-1)),M295)*100-(5000+2000000000)/2)&lt;=ABS(5000-2000000000)/2),"Цена со скидкой должна быть от 50 до 20000000",IF(IFERROR(VALUE(LEFT(M295,FIND("-",M295)-1)),M295)*210&lt;65000,"Вы уменьшили цену в несколько раз, товар попадет в карантин цен","")))),"")</f>
      </c>
    </row>
    <row r="296">
      <c r="A296" s="2" t="inlineStr">
        <is>
          <t>AMD</t>
        </is>
      </c>
      <c r="B296" s="2" t="inlineStr">
        <is>
          <t>Фильтры салонные</t>
        </is>
      </c>
      <c r="C296" s="2">
        <v>89154205</v>
      </c>
      <c r="D296" s="2" t="inlineStr">
        <is>
          <t>AMDFC753</t>
        </is>
      </c>
      <c r="E296" s="2" t="inlineStr">
        <is>
          <t>2035830412622</t>
        </is>
      </c>
      <c r="F296" s="2">
        <v>0</v>
      </c>
      <c r="G296" s="2">
        <v>0</v>
      </c>
      <c r="H296" s="2">
        <v>0</v>
      </c>
      <c r="I296" s="2" t="inlineStr">
        <is>
          <t>480</t>
        </is>
      </c>
      <c r="J296" s="4"/>
      <c r="K296" s="2">
        <v>0</v>
      </c>
      <c r="L296" s="6"/>
      <c r="M296" s="2" t="str">
        <f>IF(J296="",ROUND(I296*(1-IF(ISBLANK(L296),K296,L296)/100),2),ROUND(J296*(1-IF(ISBLANK(L296),K296,L296)/100),2))</f>
      </c>
      <c r="N296" s="7" t="str">
        <f>IF(NOT(AND(J296="",L296="")),IF(OR(AND(L296&lt;&gt;"",NOT(ISNUMBER(L296))),IFERROR(MOD(L296,1),1)&gt;0,AND(ISNUMBER(L296),OR(L296&lt;0,L296&gt;95))),"Введите целое число от 0 до 95",IF(OR(AND(J296&lt;&gt;"",NOT(ISNUMBER(J296))),IFERROR(MOD(J296,1),1)&gt;0,AND(ISNUMBER(J296),OR(J296&lt;50,J296&gt;20000000))),"Введите целое число от 50 до 20000000",IF(NOT(ABS(IFERROR(VALUE(LEFT(M296,FIND("-",M296)-1)),M296)*100-(5000+2000000000)/2)&lt;=ABS(5000-2000000000)/2),"Цена со скидкой должна быть от 50 до 20000000",IF(IFERROR(VALUE(LEFT(M296,FIND("-",M296)-1)),M296)*210&lt;48000,"Вы уменьшили цену в несколько раз, товар попадет в карантин цен","")))),"")</f>
      </c>
    </row>
    <row r="297">
      <c r="A297" s="2" t="inlineStr">
        <is>
          <t>Brisk</t>
        </is>
      </c>
      <c r="B297" s="2" t="inlineStr">
        <is>
          <t>Свечи зажигания</t>
        </is>
      </c>
      <c r="C297" s="2">
        <v>138899382</v>
      </c>
      <c r="D297" s="2" t="inlineStr">
        <is>
          <t>RIR-QR15LC1</t>
        </is>
      </c>
      <c r="E297" s="2" t="inlineStr">
        <is>
          <t>2037254848308</t>
        </is>
      </c>
      <c r="F297" s="2">
        <v>0</v>
      </c>
      <c r="G297" s="2">
        <v>1</v>
      </c>
      <c r="H297" s="2">
        <v>1</v>
      </c>
      <c r="I297" s="2" t="inlineStr">
        <is>
          <t>1500</t>
        </is>
      </c>
      <c r="J297" s="4"/>
      <c r="K297" s="2">
        <v>19</v>
      </c>
      <c r="L297" s="6"/>
      <c r="M297" s="2" t="str">
        <f>IF(J297="",ROUND(I297*(1-IF(ISBLANK(L297),K297,L297)/100),2),ROUND(J297*(1-IF(ISBLANK(L297),K297,L297)/100),2))</f>
      </c>
      <c r="N297" s="7" t="str">
        <f>IF(NOT(AND(J297="",L297="")),IF(OR(AND(L297&lt;&gt;"",NOT(ISNUMBER(L297))),IFERROR(MOD(L297,1),1)&gt;0,AND(ISNUMBER(L297),OR(L297&lt;0,L297&gt;95))),"Введите целое число от 0 до 95",IF(OR(AND(J297&lt;&gt;"",NOT(ISNUMBER(J297))),IFERROR(MOD(J297,1),1)&gt;0,AND(ISNUMBER(J297),OR(J297&lt;50,J297&gt;20000000))),"Введите целое число от 50 до 20000000",IF(NOT(ABS(IFERROR(VALUE(LEFT(M297,FIND("-",M297)-1)),M297)*100-(5000+2000000000)/2)&lt;=ABS(5000-2000000000)/2),"Цена со скидкой должна быть от 50 до 20000000",IF(IFERROR(VALUE(LEFT(M297,FIND("-",M297)-1)),M297)*210&lt;121500,"Вы уменьшили цену в несколько раз, товар попадет в карантин цен","")))),"")</f>
      </c>
    </row>
    <row r="298">
      <c r="A298" s="2" t="inlineStr">
        <is>
          <t>SUN</t>
        </is>
      </c>
      <c r="B298" s="2" t="inlineStr">
        <is>
          <t>Ремни приводные</t>
        </is>
      </c>
      <c r="C298" s="2">
        <v>85978688</v>
      </c>
      <c r="D298" s="2" t="inlineStr">
        <is>
          <t>5PK1110</t>
        </is>
      </c>
      <c r="E298" s="2" t="inlineStr">
        <is>
          <t>2033698164769</t>
        </is>
      </c>
      <c r="F298" s="2">
        <v>0</v>
      </c>
      <c r="G298" s="2">
        <v>0</v>
      </c>
      <c r="H298" s="2">
        <v>0</v>
      </c>
      <c r="I298" s="2" t="inlineStr">
        <is>
          <t>800</t>
        </is>
      </c>
      <c r="J298" s="4"/>
      <c r="K298" s="2">
        <v>0</v>
      </c>
      <c r="L298" s="6"/>
      <c r="M298" s="2" t="str">
        <f>IF(J298="",ROUND(I298*(1-IF(ISBLANK(L298),K298,L298)/100),2),ROUND(J298*(1-IF(ISBLANK(L298),K298,L298)/100),2))</f>
      </c>
      <c r="N298" s="7" t="str">
        <f>IF(NOT(AND(J298="",L298="")),IF(OR(AND(L298&lt;&gt;"",NOT(ISNUMBER(L298))),IFERROR(MOD(L298,1),1)&gt;0,AND(ISNUMBER(L298),OR(L298&lt;0,L298&gt;95))),"Введите целое число от 0 до 95",IF(OR(AND(J298&lt;&gt;"",NOT(ISNUMBER(J298))),IFERROR(MOD(J298,1),1)&gt;0,AND(ISNUMBER(J298),OR(J298&lt;50,J298&gt;20000000))),"Введите целое число от 50 до 20000000",IF(NOT(ABS(IFERROR(VALUE(LEFT(M298,FIND("-",M298)-1)),M298)*100-(5000+2000000000)/2)&lt;=ABS(5000-2000000000)/2),"Цена со скидкой должна быть от 50 до 20000000",IF(IFERROR(VALUE(LEFT(M298,FIND("-",M298)-1)),M298)*210&lt;80000,"Вы уменьшили цену в несколько раз, товар попадет в карантин цен","")))),"")</f>
      </c>
    </row>
    <row r="299">
      <c r="A299" s="2" t="inlineStr">
        <is>
          <t>STARTVOLT</t>
        </is>
      </c>
      <c r="B299" s="2" t="inlineStr">
        <is>
          <t>Катушки зажигания</t>
        </is>
      </c>
      <c r="C299" s="2">
        <v>100204450</v>
      </c>
      <c r="D299" s="2" t="inlineStr">
        <is>
          <t>RIR-SC08L4</t>
        </is>
      </c>
      <c r="E299" s="2" t="inlineStr">
        <is>
          <t>2036809842686</t>
        </is>
      </c>
      <c r="F299" s="2">
        <v>0</v>
      </c>
      <c r="G299" s="2">
        <v>0</v>
      </c>
      <c r="H299" s="2">
        <v>0</v>
      </c>
      <c r="I299" s="2" t="inlineStr">
        <is>
          <t>1190</t>
        </is>
      </c>
      <c r="J299" s="4"/>
      <c r="K299" s="2">
        <v>0</v>
      </c>
      <c r="L299" s="6"/>
      <c r="M299" s="2" t="str">
        <f>IF(J299="",ROUND(I299*(1-IF(ISBLANK(L299),K299,L299)/100),2),ROUND(J299*(1-IF(ISBLANK(L299),K299,L299)/100),2))</f>
      </c>
      <c r="N299" s="7" t="str">
        <f>IF(NOT(AND(J299="",L299="")),IF(OR(AND(L299&lt;&gt;"",NOT(ISNUMBER(L299))),IFERROR(MOD(L299,1),1)&gt;0,AND(ISNUMBER(L299),OR(L299&lt;0,L299&gt;95))),"Введите целое число от 0 до 95",IF(OR(AND(J299&lt;&gt;"",NOT(ISNUMBER(J299))),IFERROR(MOD(J299,1),1)&gt;0,AND(ISNUMBER(J299),OR(J299&lt;50,J299&gt;20000000))),"Введите целое число от 50 до 20000000",IF(NOT(ABS(IFERROR(VALUE(LEFT(M299,FIND("-",M299)-1)),M299)*100-(5000+2000000000)/2)&lt;=ABS(5000-2000000000)/2),"Цена со скидкой должна быть от 50 до 20000000",IF(IFERROR(VALUE(LEFT(M299,FIND("-",M299)-1)),M299)*210&lt;119000,"Вы уменьшили цену в несколько раз, товар попадет в карантин цен","")))),"")</f>
      </c>
    </row>
    <row r="300">
      <c r="A300" s="2" t="inlineStr">
        <is>
          <t>filtron</t>
        </is>
      </c>
      <c r="B300" s="2" t="inlineStr">
        <is>
          <t>Фильтры масляные</t>
        </is>
      </c>
      <c r="C300" s="2">
        <v>166407825</v>
      </c>
      <c r="D300" s="2" t="inlineStr">
        <is>
          <t>RIR-OP621</t>
        </is>
      </c>
      <c r="E300" s="2" t="inlineStr">
        <is>
          <t>2038074413929</t>
        </is>
      </c>
      <c r="F300" s="2">
        <v>0</v>
      </c>
      <c r="G300" s="2">
        <v>0</v>
      </c>
      <c r="H300" s="2">
        <v>1</v>
      </c>
      <c r="I300" s="2" t="inlineStr">
        <is>
          <t>740</t>
        </is>
      </c>
      <c r="J300" s="4"/>
      <c r="K300" s="2">
        <v>2</v>
      </c>
      <c r="L300" s="6"/>
      <c r="M300" s="2" t="str">
        <f>IF(J300="",ROUND(I300*(1-IF(ISBLANK(L300),K300,L300)/100),2),ROUND(J300*(1-IF(ISBLANK(L300),K300,L300)/100),2))</f>
      </c>
      <c r="N300" s="7" t="str">
        <f>IF(NOT(AND(J300="",L300="")),IF(OR(AND(L300&lt;&gt;"",NOT(ISNUMBER(L300))),IFERROR(MOD(L300,1),1)&gt;0,AND(ISNUMBER(L300),OR(L300&lt;0,L300&gt;95))),"Введите целое число от 0 до 95",IF(OR(AND(J300&lt;&gt;"",NOT(ISNUMBER(J300))),IFERROR(MOD(J300,1),1)&gt;0,AND(ISNUMBER(J300),OR(J300&lt;50,J300&gt;20000000))),"Введите целое число от 50 до 20000000",IF(NOT(ABS(IFERROR(VALUE(LEFT(M300,FIND("-",M300)-1)),M300)*100-(5000+2000000000)/2)&lt;=ABS(5000-2000000000)/2),"Цена со скидкой должна быть от 50 до 20000000",IF(IFERROR(VALUE(LEFT(M300,FIND("-",M300)-1)),M300)*210&lt;72520,"Вы уменьшили цену в несколько раз, товар попадет в карантин цен","")))),"")</f>
      </c>
    </row>
    <row r="301">
      <c r="A301" s="2" t="inlineStr">
        <is>
          <t>LYNXauto</t>
        </is>
      </c>
      <c r="B301" s="2" t="inlineStr">
        <is>
          <t>Колодки автомобильные</t>
        </is>
      </c>
      <c r="C301" s="2">
        <v>162876480</v>
      </c>
      <c r="D301" s="2" t="inlineStr">
        <is>
          <t>RIR-BD5706</t>
        </is>
      </c>
      <c r="E301" s="2" t="inlineStr">
        <is>
          <t>2037902978067</t>
        </is>
      </c>
      <c r="F301" s="2">
        <v>0</v>
      </c>
      <c r="G301" s="2">
        <v>0</v>
      </c>
      <c r="H301" s="2">
        <v>0</v>
      </c>
      <c r="I301" s="2" t="inlineStr">
        <is>
          <t>1810</t>
        </is>
      </c>
      <c r="J301" s="4"/>
      <c r="K301" s="2">
        <v>3</v>
      </c>
      <c r="L301" s="6"/>
      <c r="M301" s="2" t="str">
        <f>IF(J301="",ROUND(I301*(1-IF(ISBLANK(L301),K301,L301)/100),2),ROUND(J301*(1-IF(ISBLANK(L301),K301,L301)/100),2))</f>
      </c>
      <c r="N301" s="7" t="str">
        <f>IF(NOT(AND(J301="",L301="")),IF(OR(AND(L301&lt;&gt;"",NOT(ISNUMBER(L301))),IFERROR(MOD(L301,1),1)&gt;0,AND(ISNUMBER(L301),OR(L301&lt;0,L301&gt;95))),"Введите целое число от 0 до 95",IF(OR(AND(J301&lt;&gt;"",NOT(ISNUMBER(J301))),IFERROR(MOD(J301,1),1)&gt;0,AND(ISNUMBER(J301),OR(J301&lt;50,J301&gt;20000000))),"Введите целое число от 50 до 20000000",IF(NOT(ABS(IFERROR(VALUE(LEFT(M301,FIND("-",M301)-1)),M301)*100-(5000+2000000000)/2)&lt;=ABS(5000-2000000000)/2),"Цена со скидкой должна быть от 50 до 20000000",IF(IFERROR(VALUE(LEFT(M301,FIND("-",M301)-1)),M301)*210&lt;175570,"Вы уменьшили цену в несколько раз, товар попадет в карантин цен","")))),"")</f>
      </c>
    </row>
    <row r="302">
      <c r="A302" s="2" t="inlineStr">
        <is>
          <t>SUN</t>
        </is>
      </c>
      <c r="B302" s="2" t="inlineStr">
        <is>
          <t>Ремни приводные</t>
        </is>
      </c>
      <c r="C302" s="2">
        <v>85978684</v>
      </c>
      <c r="D302" s="2" t="inlineStr">
        <is>
          <t>7PK2275</t>
        </is>
      </c>
      <c r="E302" s="2" t="inlineStr">
        <is>
          <t>2033698164868</t>
        </is>
      </c>
      <c r="F302" s="2">
        <v>0</v>
      </c>
      <c r="G302" s="2">
        <v>4</v>
      </c>
      <c r="H302" s="2">
        <v>1</v>
      </c>
      <c r="I302" s="2" t="inlineStr">
        <is>
          <t>1360</t>
        </is>
      </c>
      <c r="J302" s="4"/>
      <c r="K302" s="2">
        <v>2</v>
      </c>
      <c r="L302" s="6"/>
      <c r="M302" s="2" t="str">
        <f>IF(J302="",ROUND(I302*(1-IF(ISBLANK(L302),K302,L302)/100),2),ROUND(J302*(1-IF(ISBLANK(L302),K302,L302)/100),2))</f>
      </c>
      <c r="N302" s="7" t="str">
        <f>IF(NOT(AND(J302="",L302="")),IF(OR(AND(L302&lt;&gt;"",NOT(ISNUMBER(L302))),IFERROR(MOD(L302,1),1)&gt;0,AND(ISNUMBER(L302),OR(L302&lt;0,L302&gt;95))),"Введите целое число от 0 до 95",IF(OR(AND(J302&lt;&gt;"",NOT(ISNUMBER(J302))),IFERROR(MOD(J302,1),1)&gt;0,AND(ISNUMBER(J302),OR(J302&lt;50,J302&gt;20000000))),"Введите целое число от 50 до 20000000",IF(NOT(ABS(IFERROR(VALUE(LEFT(M302,FIND("-",M302)-1)),M302)*100-(5000+2000000000)/2)&lt;=ABS(5000-2000000000)/2),"Цена со скидкой должна быть от 50 до 20000000",IF(IFERROR(VALUE(LEFT(M302,FIND("-",M302)-1)),M302)*210&lt;133280,"Вы уменьшили цену в несколько раз, товар попадет в карантин цен","")))),"")</f>
      </c>
    </row>
    <row r="303">
      <c r="A303" s="2" t="inlineStr">
        <is>
          <t>TADASHISA</t>
        </is>
      </c>
      <c r="B303" s="2" t="inlineStr">
        <is>
          <t>Фильтры масляные</t>
        </is>
      </c>
      <c r="C303" s="2">
        <v>388200462</v>
      </c>
      <c r="D303" s="2" t="inlineStr">
        <is>
          <t>RIR-TOF528</t>
        </is>
      </c>
      <c r="E303" s="2" t="inlineStr">
        <is>
          <t>2043613703898</t>
        </is>
      </c>
      <c r="F303" s="2">
        <v>0</v>
      </c>
      <c r="G303" s="2">
        <v>1</v>
      </c>
      <c r="H303" s="2" t="inlineStr">
        <is>
          <t/>
        </is>
      </c>
      <c r="I303" s="2" t="inlineStr">
        <is>
          <t>650</t>
        </is>
      </c>
      <c r="J303" s="4"/>
      <c r="K303" s="2">
        <v>39</v>
      </c>
      <c r="L303" s="6"/>
      <c r="M303" s="2" t="str">
        <f>IF(J303="",ROUND(I303*(1-IF(ISBLANK(L303),K303,L303)/100),2),ROUND(J303*(1-IF(ISBLANK(L303),K303,L303)/100),2))</f>
      </c>
      <c r="N303" s="7" t="str">
        <f>IF(NOT(AND(J303="",L303="")),IF(OR(AND(L303&lt;&gt;"",NOT(ISNUMBER(L303))),IFERROR(MOD(L303,1),1)&gt;0,AND(ISNUMBER(L303),OR(L303&lt;0,L303&gt;95))),"Введите целое число от 0 до 95",IF(OR(AND(J303&lt;&gt;"",NOT(ISNUMBER(J303))),IFERROR(MOD(J303,1),1)&gt;0,AND(ISNUMBER(J303),OR(J303&lt;50,J303&gt;20000000))),"Введите целое число от 50 до 20000000",IF(NOT(ABS(IFERROR(VALUE(LEFT(M303,FIND("-",M303)-1)),M303)*100-(5000+2000000000)/2)&lt;=ABS(5000-2000000000)/2),"Цена со скидкой должна быть от 50 до 20000000",IF(IFERROR(VALUE(LEFT(M303,FIND("-",M303)-1)),M303)*210&lt;39650,"Вы уменьшили цену в несколько раз, товар попадет в карантин цен","")))),"")</f>
      </c>
    </row>
    <row r="304">
      <c r="A304" s="2" t="inlineStr">
        <is>
          <t>HOLA</t>
        </is>
      </c>
      <c r="B304" s="2" t="inlineStr">
        <is>
          <t>Фильтры масляные</t>
        </is>
      </c>
      <c r="C304" s="2">
        <v>85488579</v>
      </c>
      <c r="D304" s="2" t="inlineStr">
        <is>
          <t>RIR-SL209</t>
        </is>
      </c>
      <c r="E304" s="2" t="inlineStr">
        <is>
          <t>2033418699625</t>
        </is>
      </c>
      <c r="F304" s="2">
        <v>0</v>
      </c>
      <c r="G304" s="2">
        <v>1</v>
      </c>
      <c r="H304" s="2">
        <v>0</v>
      </c>
      <c r="I304" s="2" t="inlineStr">
        <is>
          <t>450</t>
        </is>
      </c>
      <c r="J304" s="4"/>
      <c r="K304" s="2">
        <v>0</v>
      </c>
      <c r="L304" s="6"/>
      <c r="M304" s="2" t="str">
        <f>IF(J304="",ROUND(I304*(1-IF(ISBLANK(L304),K304,L304)/100),2),ROUND(J304*(1-IF(ISBLANK(L304),K304,L304)/100),2))</f>
      </c>
      <c r="N304" s="7" t="str">
        <f>IF(NOT(AND(J304="",L304="")),IF(OR(AND(L304&lt;&gt;"",NOT(ISNUMBER(L304))),IFERROR(MOD(L304,1),1)&gt;0,AND(ISNUMBER(L304),OR(L304&lt;0,L304&gt;95))),"Введите целое число от 0 до 95",IF(OR(AND(J304&lt;&gt;"",NOT(ISNUMBER(J304))),IFERROR(MOD(J304,1),1)&gt;0,AND(ISNUMBER(J304),OR(J304&lt;50,J304&gt;20000000))),"Введите целое число от 50 до 20000000",IF(NOT(ABS(IFERROR(VALUE(LEFT(M304,FIND("-",M304)-1)),M304)*100-(5000+2000000000)/2)&lt;=ABS(5000-2000000000)/2),"Цена со скидкой должна быть от 50 до 20000000",IF(IFERROR(VALUE(LEFT(M304,FIND("-",M304)-1)),M304)*210&lt;45000,"Вы уменьшили цену в несколько раз, товар попадет в карантин цен","")))),"")</f>
      </c>
    </row>
    <row r="305">
      <c r="A305" s="2" t="inlineStr">
        <is>
          <t>filtron</t>
        </is>
      </c>
      <c r="B305" s="2" t="inlineStr">
        <is>
          <t>Фильтры масляные</t>
        </is>
      </c>
      <c r="C305" s="2">
        <v>110578969</v>
      </c>
      <c r="D305" s="2" t="inlineStr">
        <is>
          <t>RIR-OP595</t>
        </is>
      </c>
      <c r="E305" s="2" t="inlineStr">
        <is>
          <t>2036814196620</t>
        </is>
      </c>
      <c r="F305" s="2">
        <v>0</v>
      </c>
      <c r="G305" s="2">
        <v>1</v>
      </c>
      <c r="H305" s="2">
        <v>1</v>
      </c>
      <c r="I305" s="2" t="inlineStr">
        <is>
          <t>720</t>
        </is>
      </c>
      <c r="J305" s="4"/>
      <c r="K305" s="2">
        <v>7</v>
      </c>
      <c r="L305" s="6"/>
      <c r="M305" s="2" t="str">
        <f>IF(J305="",ROUND(I305*(1-IF(ISBLANK(L305),K305,L305)/100),2),ROUND(J305*(1-IF(ISBLANK(L305),K305,L305)/100),2))</f>
      </c>
      <c r="N305" s="7" t="str">
        <f>IF(NOT(AND(J305="",L305="")),IF(OR(AND(L305&lt;&gt;"",NOT(ISNUMBER(L305))),IFERROR(MOD(L305,1),1)&gt;0,AND(ISNUMBER(L305),OR(L305&lt;0,L305&gt;95))),"Введите целое число от 0 до 95",IF(OR(AND(J305&lt;&gt;"",NOT(ISNUMBER(J305))),IFERROR(MOD(J305,1),1)&gt;0,AND(ISNUMBER(J305),OR(J305&lt;50,J305&gt;20000000))),"Введите целое число от 50 до 20000000",IF(NOT(ABS(IFERROR(VALUE(LEFT(M305,FIND("-",M305)-1)),M305)*100-(5000+2000000000)/2)&lt;=ABS(5000-2000000000)/2),"Цена со скидкой должна быть от 50 до 20000000",IF(IFERROR(VALUE(LEFT(M305,FIND("-",M305)-1)),M305)*210&lt;66959,"Вы уменьшили цену в несколько раз, товар попадет в карантин цен","")))),"")</f>
      </c>
    </row>
    <row r="306">
      <c r="A306" s="2" t="inlineStr">
        <is>
          <t>GMB</t>
        </is>
      </c>
      <c r="B306" s="2" t="inlineStr">
        <is>
          <t>Подшипники ступицы</t>
        </is>
      </c>
      <c r="C306" s="2">
        <v>118072508</v>
      </c>
      <c r="D306" s="2" t="inlineStr">
        <is>
          <t>GH040030</t>
        </is>
      </c>
      <c r="E306" s="2" t="inlineStr">
        <is>
          <t>2042633167628</t>
        </is>
      </c>
      <c r="F306" s="2">
        <v>0</v>
      </c>
      <c r="G306" s="2">
        <v>0</v>
      </c>
      <c r="H306" s="2">
        <v>0</v>
      </c>
      <c r="I306" s="2" t="inlineStr">
        <is>
          <t>1547</t>
        </is>
      </c>
      <c r="J306" s="4"/>
      <c r="K306" s="2">
        <v>0</v>
      </c>
      <c r="L306" s="6"/>
      <c r="M306" s="2" t="str">
        <f>IF(J306="",ROUND(I306*(1-IF(ISBLANK(L306),K306,L306)/100),2),ROUND(J306*(1-IF(ISBLANK(L306),K306,L306)/100),2))</f>
      </c>
      <c r="N306" s="7" t="str">
        <f>IF(NOT(AND(J306="",L306="")),IF(OR(AND(L306&lt;&gt;"",NOT(ISNUMBER(L306))),IFERROR(MOD(L306,1),1)&gt;0,AND(ISNUMBER(L306),OR(L306&lt;0,L306&gt;95))),"Введите целое число от 0 до 95",IF(OR(AND(J306&lt;&gt;"",NOT(ISNUMBER(J306))),IFERROR(MOD(J306,1),1)&gt;0,AND(ISNUMBER(J306),OR(J306&lt;50,J306&gt;20000000))),"Введите целое число от 50 до 20000000",IF(NOT(ABS(IFERROR(VALUE(LEFT(M306,FIND("-",M306)-1)),M306)*100-(5000+2000000000)/2)&lt;=ABS(5000-2000000000)/2),"Цена со скидкой должна быть от 50 до 20000000",IF(IFERROR(VALUE(LEFT(M306,FIND("-",M306)-1)),M306)*210&lt;154700,"Вы уменьшили цену в несколько раз, товар попадет в карантин цен","")))),"")</f>
      </c>
    </row>
    <row r="307">
      <c r="A307" s="2" t="inlineStr">
        <is>
          <t>LYNXauto</t>
        </is>
      </c>
      <c r="B307" s="2" t="inlineStr">
        <is>
          <t>Колодки автомобильные</t>
        </is>
      </c>
      <c r="C307" s="2">
        <v>144826567</v>
      </c>
      <c r="D307" s="2" t="inlineStr">
        <is>
          <t>RIR-BD-3636</t>
        </is>
      </c>
      <c r="E307" s="2" t="inlineStr">
        <is>
          <t>2037424591492</t>
        </is>
      </c>
      <c r="F307" s="2">
        <v>0</v>
      </c>
      <c r="G307" s="2">
        <v>1</v>
      </c>
      <c r="H307" s="2">
        <v>0</v>
      </c>
      <c r="I307" s="2" t="inlineStr">
        <is>
          <t>2300</t>
        </is>
      </c>
      <c r="J307" s="4"/>
      <c r="K307" s="2">
        <v>7</v>
      </c>
      <c r="L307" s="6"/>
      <c r="M307" s="2" t="str">
        <f>IF(J307="",ROUND(I307*(1-IF(ISBLANK(L307),K307,L307)/100),2),ROUND(J307*(1-IF(ISBLANK(L307),K307,L307)/100),2))</f>
      </c>
      <c r="N307" s="7" t="str">
        <f>IF(NOT(AND(J307="",L307="")),IF(OR(AND(L307&lt;&gt;"",NOT(ISNUMBER(L307))),IFERROR(MOD(L307,1),1)&gt;0,AND(ISNUMBER(L307),OR(L307&lt;0,L307&gt;95))),"Введите целое число от 0 до 95",IF(OR(AND(J307&lt;&gt;"",NOT(ISNUMBER(J307))),IFERROR(MOD(J307,1),1)&gt;0,AND(ISNUMBER(J307),OR(J307&lt;50,J307&gt;20000000))),"Введите целое число от 50 до 20000000",IF(NOT(ABS(IFERROR(VALUE(LEFT(M307,FIND("-",M307)-1)),M307)*100-(5000+2000000000)/2)&lt;=ABS(5000-2000000000)/2),"Цена со скидкой должна быть от 50 до 20000000",IF(IFERROR(VALUE(LEFT(M307,FIND("-",M307)-1)),M307)*210&lt;213900,"Вы уменьшили цену в несколько раз, товар попадет в карантин цен","")))),"")</f>
      </c>
    </row>
    <row r="308">
      <c r="A308" s="2" t="inlineStr">
        <is>
          <t>ASVA</t>
        </is>
      </c>
      <c r="B308" s="2" t="inlineStr">
        <is>
          <t>Шарниры карданные</t>
        </is>
      </c>
      <c r="C308" s="2">
        <v>88049845</v>
      </c>
      <c r="D308" s="2" t="inlineStr">
        <is>
          <t>RIR-SZ29A42</t>
        </is>
      </c>
      <c r="E308" s="2" t="inlineStr">
        <is>
          <t>2034988421623</t>
        </is>
      </c>
      <c r="F308" s="2">
        <v>0</v>
      </c>
      <c r="G308" s="2">
        <v>1</v>
      </c>
      <c r="H308" s="2" t="inlineStr">
        <is>
          <t/>
        </is>
      </c>
      <c r="I308" s="2" t="inlineStr">
        <is>
          <t>3350</t>
        </is>
      </c>
      <c r="J308" s="4"/>
      <c r="K308" s="2">
        <v>2</v>
      </c>
      <c r="L308" s="6"/>
      <c r="M308" s="2" t="str">
        <f>IF(J308="",ROUND(I308*(1-IF(ISBLANK(L308),K308,L308)/100),2),ROUND(J308*(1-IF(ISBLANK(L308),K308,L308)/100),2))</f>
      </c>
      <c r="N308" s="7" t="str">
        <f>IF(NOT(AND(J308="",L308="")),IF(OR(AND(L308&lt;&gt;"",NOT(ISNUMBER(L308))),IFERROR(MOD(L308,1),1)&gt;0,AND(ISNUMBER(L308),OR(L308&lt;0,L308&gt;95))),"Введите целое число от 0 до 95",IF(OR(AND(J308&lt;&gt;"",NOT(ISNUMBER(J308))),IFERROR(MOD(J308,1),1)&gt;0,AND(ISNUMBER(J308),OR(J308&lt;50,J308&gt;20000000))),"Введите целое число от 50 до 20000000",IF(NOT(ABS(IFERROR(VALUE(LEFT(M308,FIND("-",M308)-1)),M308)*100-(5000+2000000000)/2)&lt;=ABS(5000-2000000000)/2),"Цена со скидкой должна быть от 50 до 20000000",IF(IFERROR(VALUE(LEFT(M308,FIND("-",M308)-1)),M308)*210&lt;328300,"Вы уменьшили цену в несколько раз, товар попадет в карантин цен","")))),"")</f>
      </c>
    </row>
    <row r="309">
      <c r="A309" s="2" t="inlineStr">
        <is>
          <t>JS ASAKASHI</t>
        </is>
      </c>
      <c r="B309" s="2" t="inlineStr">
        <is>
          <t>Фильтры масляные</t>
        </is>
      </c>
      <c r="C309" s="2">
        <v>162869940</v>
      </c>
      <c r="D309" s="2" t="inlineStr">
        <is>
          <t>RIR-JT406K</t>
        </is>
      </c>
      <c r="E309" s="2" t="inlineStr">
        <is>
          <t>2037902821899</t>
        </is>
      </c>
      <c r="F309" s="2">
        <v>0</v>
      </c>
      <c r="G309" s="2">
        <v>0</v>
      </c>
      <c r="H309" s="2">
        <v>0</v>
      </c>
      <c r="I309" s="2" t="inlineStr">
        <is>
          <t>1900</t>
        </is>
      </c>
      <c r="J309" s="4"/>
      <c r="K309" s="2">
        <v>0</v>
      </c>
      <c r="L309" s="6"/>
      <c r="M309" s="2" t="str">
        <f>IF(J309="",ROUND(I309*(1-IF(ISBLANK(L309),K309,L309)/100),2),ROUND(J309*(1-IF(ISBLANK(L309),K309,L309)/100),2))</f>
      </c>
      <c r="N309" s="7" t="str">
        <f>IF(NOT(AND(J309="",L309="")),IF(OR(AND(L309&lt;&gt;"",NOT(ISNUMBER(L309))),IFERROR(MOD(L309,1),1)&gt;0,AND(ISNUMBER(L309),OR(L309&lt;0,L309&gt;95))),"Введите целое число от 0 до 95",IF(OR(AND(J309&lt;&gt;"",NOT(ISNUMBER(J309))),IFERROR(MOD(J309,1),1)&gt;0,AND(ISNUMBER(J309),OR(J309&lt;50,J309&gt;20000000))),"Введите целое число от 50 до 20000000",IF(NOT(ABS(IFERROR(VALUE(LEFT(M309,FIND("-",M309)-1)),M309)*100-(5000+2000000000)/2)&lt;=ABS(5000-2000000000)/2),"Цена со скидкой должна быть от 50 до 20000000",IF(IFERROR(VALUE(LEFT(M309,FIND("-",M309)-1)),M309)*210&lt;190000,"Вы уменьшили цену в несколько раз, товар попадет в карантин цен","")))),"")</f>
      </c>
    </row>
    <row r="310">
      <c r="A310" s="2" t="inlineStr">
        <is>
          <t>SUN</t>
        </is>
      </c>
      <c r="B310" s="2" t="inlineStr">
        <is>
          <t>Ремни приводные</t>
        </is>
      </c>
      <c r="C310" s="2">
        <v>85978692</v>
      </c>
      <c r="D310" s="2" t="inlineStr">
        <is>
          <t>3PK600</t>
        </is>
      </c>
      <c r="E310" s="2" t="inlineStr">
        <is>
          <t>2033698164622</t>
        </is>
      </c>
      <c r="F310" s="2">
        <v>0</v>
      </c>
      <c r="G310" s="2">
        <v>5</v>
      </c>
      <c r="H310" s="2">
        <v>1</v>
      </c>
      <c r="I310" s="2" t="inlineStr">
        <is>
          <t>380</t>
        </is>
      </c>
      <c r="J310" s="4"/>
      <c r="K310" s="2">
        <v>2</v>
      </c>
      <c r="L310" s="6"/>
      <c r="M310" s="2" t="str">
        <f>IF(J310="",ROUND(I310*(1-IF(ISBLANK(L310),K310,L310)/100),2),ROUND(J310*(1-IF(ISBLANK(L310),K310,L310)/100),2))</f>
      </c>
      <c r="N310" s="7" t="str">
        <f>IF(NOT(AND(J310="",L310="")),IF(OR(AND(L310&lt;&gt;"",NOT(ISNUMBER(L310))),IFERROR(MOD(L310,1),1)&gt;0,AND(ISNUMBER(L310),OR(L310&lt;0,L310&gt;95))),"Введите целое число от 0 до 95",IF(OR(AND(J310&lt;&gt;"",NOT(ISNUMBER(J310))),IFERROR(MOD(J310,1),1)&gt;0,AND(ISNUMBER(J310),OR(J310&lt;50,J310&gt;20000000))),"Введите целое число от 50 до 20000000",IF(NOT(ABS(IFERROR(VALUE(LEFT(M310,FIND("-",M310)-1)),M310)*100-(5000+2000000000)/2)&lt;=ABS(5000-2000000000)/2),"Цена со скидкой должна быть от 50 до 20000000",IF(IFERROR(VALUE(LEFT(M310,FIND("-",M310)-1)),M310)*210&lt;37240,"Вы уменьшили цену в несколько раз, товар попадет в карантин цен","")))),"")</f>
      </c>
    </row>
    <row r="311">
      <c r="A311" s="2" t="inlineStr">
        <is>
          <t>Goodwill</t>
        </is>
      </c>
      <c r="B311" s="2" t="inlineStr">
        <is>
          <t>Фильтры масляные</t>
        </is>
      </c>
      <c r="C311" s="2">
        <v>88812344</v>
      </c>
      <c r="D311" s="2" t="inlineStr">
        <is>
          <t>RIR-OG222HQ</t>
        </is>
      </c>
      <c r="E311" s="2" t="inlineStr">
        <is>
          <t>2035411081629</t>
        </is>
      </c>
      <c r="F311" s="2">
        <v>0</v>
      </c>
      <c r="G311" s="2">
        <v>1</v>
      </c>
      <c r="H311" s="2">
        <v>0</v>
      </c>
      <c r="I311" s="2" t="inlineStr">
        <is>
          <t>650</t>
        </is>
      </c>
      <c r="J311" s="4"/>
      <c r="K311" s="2">
        <v>0</v>
      </c>
      <c r="L311" s="6"/>
      <c r="M311" s="2" t="str">
        <f>IF(J311="",ROUND(I311*(1-IF(ISBLANK(L311),K311,L311)/100),2),ROUND(J311*(1-IF(ISBLANK(L311),K311,L311)/100),2))</f>
      </c>
      <c r="N311" s="7" t="str">
        <f>IF(NOT(AND(J311="",L311="")),IF(OR(AND(L311&lt;&gt;"",NOT(ISNUMBER(L311))),IFERROR(MOD(L311,1),1)&gt;0,AND(ISNUMBER(L311),OR(L311&lt;0,L311&gt;95))),"Введите целое число от 0 до 95",IF(OR(AND(J311&lt;&gt;"",NOT(ISNUMBER(J311))),IFERROR(MOD(J311,1),1)&gt;0,AND(ISNUMBER(J311),OR(J311&lt;50,J311&gt;20000000))),"Введите целое число от 50 до 20000000",IF(NOT(ABS(IFERROR(VALUE(LEFT(M311,FIND("-",M311)-1)),M311)*100-(5000+2000000000)/2)&lt;=ABS(5000-2000000000)/2),"Цена со скидкой должна быть от 50 до 20000000",IF(IFERROR(VALUE(LEFT(M311,FIND("-",M311)-1)),M311)*210&lt;65000,"Вы уменьшили цену в несколько раз, товар попадет в карантин цен","")))),"")</f>
      </c>
    </row>
    <row r="312">
      <c r="A312" s="2" t="inlineStr">
        <is>
          <t>AMD</t>
        </is>
      </c>
      <c r="B312" s="2" t="inlineStr">
        <is>
          <t>Фильтры салонные</t>
        </is>
      </c>
      <c r="C312" s="2">
        <v>160371979</v>
      </c>
      <c r="D312" s="2" t="inlineStr">
        <is>
          <t>RIR-AMDJFC96A</t>
        </is>
      </c>
      <c r="E312" s="2" t="inlineStr">
        <is>
          <t>2037811674449</t>
        </is>
      </c>
      <c r="F312" s="2">
        <v>0</v>
      </c>
      <c r="G312" s="2">
        <v>0</v>
      </c>
      <c r="H312" s="2">
        <v>0</v>
      </c>
      <c r="I312" s="2" t="inlineStr">
        <is>
          <t>610</t>
        </is>
      </c>
      <c r="J312" s="4"/>
      <c r="K312" s="2">
        <v>0</v>
      </c>
      <c r="L312" s="6"/>
      <c r="M312" s="2" t="str">
        <f>IF(J312="",ROUND(I312*(1-IF(ISBLANK(L312),K312,L312)/100),2),ROUND(J312*(1-IF(ISBLANK(L312),K312,L312)/100),2))</f>
      </c>
      <c r="N312" s="7" t="str">
        <f>IF(NOT(AND(J312="",L312="")),IF(OR(AND(L312&lt;&gt;"",NOT(ISNUMBER(L312))),IFERROR(MOD(L312,1),1)&gt;0,AND(ISNUMBER(L312),OR(L312&lt;0,L312&gt;95))),"Введите целое число от 0 до 95",IF(OR(AND(J312&lt;&gt;"",NOT(ISNUMBER(J312))),IFERROR(MOD(J312,1),1)&gt;0,AND(ISNUMBER(J312),OR(J312&lt;50,J312&gt;20000000))),"Введите целое число от 50 до 20000000",IF(NOT(ABS(IFERROR(VALUE(LEFT(M312,FIND("-",M312)-1)),M312)*100-(5000+2000000000)/2)&lt;=ABS(5000-2000000000)/2),"Цена со скидкой должна быть от 50 до 20000000",IF(IFERROR(VALUE(LEFT(M312,FIND("-",M312)-1)),M312)*210&lt;61000,"Вы уменьшили цену в несколько раз, товар попадет в карантин цен","")))),"")</f>
      </c>
    </row>
    <row r="313">
      <c r="A313" s="2" t="inlineStr">
        <is>
          <t>SUN</t>
        </is>
      </c>
      <c r="B313" s="2" t="inlineStr">
        <is>
          <t>Ремни приводные</t>
        </is>
      </c>
      <c r="C313" s="2">
        <v>85978699</v>
      </c>
      <c r="D313" s="2" t="inlineStr">
        <is>
          <t>4PK820</t>
        </is>
      </c>
      <c r="E313" s="2" t="inlineStr">
        <is>
          <t>2033698164714</t>
        </is>
      </c>
      <c r="F313" s="2">
        <v>0</v>
      </c>
      <c r="G313" s="2">
        <v>0</v>
      </c>
      <c r="H313" s="2">
        <v>0</v>
      </c>
      <c r="I313" s="2" t="inlineStr">
        <is>
          <t>570</t>
        </is>
      </c>
      <c r="J313" s="4"/>
      <c r="K313" s="2">
        <v>0</v>
      </c>
      <c r="L313" s="6"/>
      <c r="M313" s="2" t="str">
        <f>IF(J313="",ROUND(I313*(1-IF(ISBLANK(L313),K313,L313)/100),2),ROUND(J313*(1-IF(ISBLANK(L313),K313,L313)/100),2))</f>
      </c>
      <c r="N313" s="7" t="str">
        <f>IF(NOT(AND(J313="",L313="")),IF(OR(AND(L313&lt;&gt;"",NOT(ISNUMBER(L313))),IFERROR(MOD(L313,1),1)&gt;0,AND(ISNUMBER(L313),OR(L313&lt;0,L313&gt;95))),"Введите целое число от 0 до 95",IF(OR(AND(J313&lt;&gt;"",NOT(ISNUMBER(J313))),IFERROR(MOD(J313,1),1)&gt;0,AND(ISNUMBER(J313),OR(J313&lt;50,J313&gt;20000000))),"Введите целое число от 50 до 20000000",IF(NOT(ABS(IFERROR(VALUE(LEFT(M313,FIND("-",M313)-1)),M313)*100-(5000+2000000000)/2)&lt;=ABS(5000-2000000000)/2),"Цена со скидкой должна быть от 50 до 20000000",IF(IFERROR(VALUE(LEFT(M313,FIND("-",M313)-1)),M313)*210&lt;57000,"Вы уменьшили цену в несколько раз, товар попадет в карантин цен","")))),"")</f>
      </c>
    </row>
    <row r="314">
      <c r="A314" s="2" t="inlineStr">
        <is>
          <t>SUN</t>
        </is>
      </c>
      <c r="B314" s="2" t="inlineStr">
        <is>
          <t>Ремни приводные</t>
        </is>
      </c>
      <c r="C314" s="2">
        <v>85978701</v>
      </c>
      <c r="D314" s="2" t="inlineStr">
        <is>
          <t>7PK1920</t>
        </is>
      </c>
      <c r="E314" s="2" t="inlineStr">
        <is>
          <t>2033698164820</t>
        </is>
      </c>
      <c r="F314" s="2">
        <v>0</v>
      </c>
      <c r="G314" s="2">
        <v>0</v>
      </c>
      <c r="H314" s="2">
        <v>0</v>
      </c>
      <c r="I314" s="2" t="inlineStr">
        <is>
          <t>1650</t>
        </is>
      </c>
      <c r="J314" s="4"/>
      <c r="K314" s="2">
        <v>0</v>
      </c>
      <c r="L314" s="6"/>
      <c r="M314" s="2" t="str">
        <f>IF(J314="",ROUND(I314*(1-IF(ISBLANK(L314),K314,L314)/100),2),ROUND(J314*(1-IF(ISBLANK(L314),K314,L314)/100),2))</f>
      </c>
      <c r="N314" s="7" t="str">
        <f>IF(NOT(AND(J314="",L314="")),IF(OR(AND(L314&lt;&gt;"",NOT(ISNUMBER(L314))),IFERROR(MOD(L314,1),1)&gt;0,AND(ISNUMBER(L314),OR(L314&lt;0,L314&gt;95))),"Введите целое число от 0 до 95",IF(OR(AND(J314&lt;&gt;"",NOT(ISNUMBER(J314))),IFERROR(MOD(J314,1),1)&gt;0,AND(ISNUMBER(J314),OR(J314&lt;50,J314&gt;20000000))),"Введите целое число от 50 до 20000000",IF(NOT(ABS(IFERROR(VALUE(LEFT(M314,FIND("-",M314)-1)),M314)*100-(5000+2000000000)/2)&lt;=ABS(5000-2000000000)/2),"Цена со скидкой должна быть от 50 до 20000000",IF(IFERROR(VALUE(LEFT(M314,FIND("-",M314)-1)),M314)*210&lt;165000,"Вы уменьшили цену в несколько раз, товар попадет в карантин цен","")))),"")</f>
      </c>
    </row>
    <row r="315">
      <c r="A315" s="2" t="inlineStr">
        <is>
          <t>Miles</t>
        </is>
      </c>
      <c r="B315" s="2" t="inlineStr">
        <is>
          <t>Колодки автомобильные</t>
        </is>
      </c>
      <c r="C315" s="2">
        <v>232471130</v>
      </c>
      <c r="D315" s="2" t="inlineStr">
        <is>
          <t>RIR-E510062</t>
        </is>
      </c>
      <c r="E315" s="2" t="inlineStr">
        <is>
          <t>2040055151744</t>
        </is>
      </c>
      <c r="F315" s="2">
        <v>0</v>
      </c>
      <c r="G315" s="2">
        <v>0</v>
      </c>
      <c r="H315" s="2" t="inlineStr">
        <is>
          <t/>
        </is>
      </c>
      <c r="I315" s="2" t="inlineStr">
        <is>
          <t>1980</t>
        </is>
      </c>
      <c r="J315" s="4"/>
      <c r="K315" s="2">
        <v>0</v>
      </c>
      <c r="L315" s="6"/>
      <c r="M315" s="2" t="str">
        <f>IF(J315="",ROUND(I315*(1-IF(ISBLANK(L315),K315,L315)/100),2),ROUND(J315*(1-IF(ISBLANK(L315),K315,L315)/100),2))</f>
      </c>
      <c r="N315" s="7" t="str">
        <f>IF(NOT(AND(J315="",L315="")),IF(OR(AND(L315&lt;&gt;"",NOT(ISNUMBER(L315))),IFERROR(MOD(L315,1),1)&gt;0,AND(ISNUMBER(L315),OR(L315&lt;0,L315&gt;95))),"Введите целое число от 0 до 95",IF(OR(AND(J315&lt;&gt;"",NOT(ISNUMBER(J315))),IFERROR(MOD(J315,1),1)&gt;0,AND(ISNUMBER(J315),OR(J315&lt;50,J315&gt;20000000))),"Введите целое число от 50 до 20000000",IF(NOT(ABS(IFERROR(VALUE(LEFT(M315,FIND("-",M315)-1)),M315)*100-(5000+2000000000)/2)&lt;=ABS(5000-2000000000)/2),"Цена со скидкой должна быть от 50 до 20000000",IF(IFERROR(VALUE(LEFT(M315,FIND("-",M315)-1)),M315)*210&lt;198000,"Вы уменьшили цену в несколько раз, товар попадет в карантин цен","")))),"")</f>
      </c>
    </row>
    <row r="316">
      <c r="A316" s="2" t="inlineStr">
        <is>
          <t>SUN</t>
        </is>
      </c>
      <c r="B316" s="2" t="inlineStr">
        <is>
          <t>Ремни приводные</t>
        </is>
      </c>
      <c r="C316" s="2">
        <v>85978690</v>
      </c>
      <c r="D316" s="2" t="inlineStr">
        <is>
          <t>7PK1760</t>
        </is>
      </c>
      <c r="E316" s="2" t="inlineStr">
        <is>
          <t>2033698164813</t>
        </is>
      </c>
      <c r="F316" s="2">
        <v>0</v>
      </c>
      <c r="G316" s="2">
        <v>0</v>
      </c>
      <c r="H316" s="2">
        <v>0</v>
      </c>
      <c r="I316" s="2" t="inlineStr">
        <is>
          <t>1310</t>
        </is>
      </c>
      <c r="J316" s="4"/>
      <c r="K316" s="2">
        <v>0</v>
      </c>
      <c r="L316" s="6"/>
      <c r="M316" s="2" t="str">
        <f>IF(J316="",ROUND(I316*(1-IF(ISBLANK(L316),K316,L316)/100),2),ROUND(J316*(1-IF(ISBLANK(L316),K316,L316)/100),2))</f>
      </c>
      <c r="N316" s="7" t="str">
        <f>IF(NOT(AND(J316="",L316="")),IF(OR(AND(L316&lt;&gt;"",NOT(ISNUMBER(L316))),IFERROR(MOD(L316,1),1)&gt;0,AND(ISNUMBER(L316),OR(L316&lt;0,L316&gt;95))),"Введите целое число от 0 до 95",IF(OR(AND(J316&lt;&gt;"",NOT(ISNUMBER(J316))),IFERROR(MOD(J316,1),1)&gt;0,AND(ISNUMBER(J316),OR(J316&lt;50,J316&gt;20000000))),"Введите целое число от 50 до 20000000",IF(NOT(ABS(IFERROR(VALUE(LEFT(M316,FIND("-",M316)-1)),M316)*100-(5000+2000000000)/2)&lt;=ABS(5000-2000000000)/2),"Цена со скидкой должна быть от 50 до 20000000",IF(IFERROR(VALUE(LEFT(M316,FIND("-",M316)-1)),M316)*210&lt;131000,"Вы уменьшили цену в несколько раз, товар попадет в карантин цен","")))),"")</f>
      </c>
    </row>
    <row r="317">
      <c r="A317" s="2" t="inlineStr">
        <is>
          <t>Zekkert</t>
        </is>
      </c>
      <c r="B317" s="2" t="inlineStr">
        <is>
          <t>Колодки автомобильные</t>
        </is>
      </c>
      <c r="C317" s="2">
        <v>178414528</v>
      </c>
      <c r="D317" s="2" t="inlineStr">
        <is>
          <t>RIR-BS1788</t>
        </is>
      </c>
      <c r="E317" s="2" t="inlineStr">
        <is>
          <t>2038668233063</t>
        </is>
      </c>
      <c r="F317" s="2">
        <v>0</v>
      </c>
      <c r="G317" s="2">
        <v>1</v>
      </c>
      <c r="H317" s="2">
        <v>1</v>
      </c>
      <c r="I317" s="2" t="inlineStr">
        <is>
          <t>1300</t>
        </is>
      </c>
      <c r="J317" s="4"/>
      <c r="K317" s="2">
        <v>2</v>
      </c>
      <c r="L317" s="6"/>
      <c r="M317" s="2" t="str">
        <f>IF(J317="",ROUND(I317*(1-IF(ISBLANK(L317),K317,L317)/100),2),ROUND(J317*(1-IF(ISBLANK(L317),K317,L317)/100),2))</f>
      </c>
      <c r="N317" s="7" t="str">
        <f>IF(NOT(AND(J317="",L317="")),IF(OR(AND(L317&lt;&gt;"",NOT(ISNUMBER(L317))),IFERROR(MOD(L317,1),1)&gt;0,AND(ISNUMBER(L317),OR(L317&lt;0,L317&gt;95))),"Введите целое число от 0 до 95",IF(OR(AND(J317&lt;&gt;"",NOT(ISNUMBER(J317))),IFERROR(MOD(J317,1),1)&gt;0,AND(ISNUMBER(J317),OR(J317&lt;50,J317&gt;20000000))),"Введите целое число от 50 до 20000000",IF(NOT(ABS(IFERROR(VALUE(LEFT(M317,FIND("-",M317)-1)),M317)*100-(5000+2000000000)/2)&lt;=ABS(5000-2000000000)/2),"Цена со скидкой должна быть от 50 до 20000000",IF(IFERROR(VALUE(LEFT(M317,FIND("-",M317)-1)),M317)*210&lt;127400,"Вы уменьшили цену в несколько раз, товар попадет в карантин цен","")))),"")</f>
      </c>
    </row>
    <row r="318">
      <c r="A318" s="2" t="inlineStr">
        <is>
          <t>Zekkert</t>
        </is>
      </c>
      <c r="B318" s="2" t="inlineStr">
        <is>
          <t>Фильтры масляные</t>
        </is>
      </c>
      <c r="C318" s="2">
        <v>234109304</v>
      </c>
      <c r="D318" s="2" t="inlineStr">
        <is>
          <t>RIR-OF4182</t>
        </is>
      </c>
      <c r="E318" s="2" t="inlineStr">
        <is>
          <t>2040166494402</t>
        </is>
      </c>
      <c r="F318" s="2">
        <v>0</v>
      </c>
      <c r="G318" s="2">
        <v>1</v>
      </c>
      <c r="H318" s="2" t="inlineStr">
        <is>
          <t/>
        </is>
      </c>
      <c r="I318" s="2" t="inlineStr">
        <is>
          <t>400</t>
        </is>
      </c>
      <c r="J318" s="4"/>
      <c r="K318" s="2">
        <v>0</v>
      </c>
      <c r="L318" s="6"/>
      <c r="M318" s="2" t="str">
        <f>IF(J318="",ROUND(I318*(1-IF(ISBLANK(L318),K318,L318)/100),2),ROUND(J318*(1-IF(ISBLANK(L318),K318,L318)/100),2))</f>
      </c>
      <c r="N318" s="7" t="str">
        <f>IF(NOT(AND(J318="",L318="")),IF(OR(AND(L318&lt;&gt;"",NOT(ISNUMBER(L318))),IFERROR(MOD(L318,1),1)&gt;0,AND(ISNUMBER(L318),OR(L318&lt;0,L318&gt;95))),"Введите целое число от 0 до 95",IF(OR(AND(J318&lt;&gt;"",NOT(ISNUMBER(J318))),IFERROR(MOD(J318,1),1)&gt;0,AND(ISNUMBER(J318),OR(J318&lt;50,J318&gt;20000000))),"Введите целое число от 50 до 20000000",IF(NOT(ABS(IFERROR(VALUE(LEFT(M318,FIND("-",M318)-1)),M318)*100-(5000+2000000000)/2)&lt;=ABS(5000-2000000000)/2),"Цена со скидкой должна быть от 50 до 20000000",IF(IFERROR(VALUE(LEFT(M318,FIND("-",M318)-1)),M318)*210&lt;40000,"Вы уменьшили цену в несколько раз, товар попадет в карантин цен","")))),"")</f>
      </c>
    </row>
    <row r="319">
      <c r="A319" s="2" t="inlineStr">
        <is>
          <t>CTR</t>
        </is>
      </c>
      <c r="B319" s="2" t="inlineStr">
        <is>
          <t>Сайлентблоки</t>
        </is>
      </c>
      <c r="C319" s="2">
        <v>150270134</v>
      </c>
      <c r="D319" s="2" t="inlineStr">
        <is>
          <t>RIR-CVKH202</t>
        </is>
      </c>
      <c r="E319" s="2" t="inlineStr">
        <is>
          <t>2037569274212</t>
        </is>
      </c>
      <c r="F319" s="2">
        <v>0</v>
      </c>
      <c r="G319" s="2">
        <v>0</v>
      </c>
      <c r="H319" s="2">
        <v>1</v>
      </c>
      <c r="I319" s="2" t="inlineStr">
        <is>
          <t>3500</t>
        </is>
      </c>
      <c r="J319" s="4"/>
      <c r="K319" s="2">
        <v>0</v>
      </c>
      <c r="L319" s="6"/>
      <c r="M319" s="2" t="str">
        <f>IF(J319="",ROUND(I319*(1-IF(ISBLANK(L319),K319,L319)/100),2),ROUND(J319*(1-IF(ISBLANK(L319),K319,L319)/100),2))</f>
      </c>
      <c r="N319" s="7" t="str">
        <f>IF(NOT(AND(J319="",L319="")),IF(OR(AND(L319&lt;&gt;"",NOT(ISNUMBER(L319))),IFERROR(MOD(L319,1),1)&gt;0,AND(ISNUMBER(L319),OR(L319&lt;0,L319&gt;95))),"Введите целое число от 0 до 95",IF(OR(AND(J319&lt;&gt;"",NOT(ISNUMBER(J319))),IFERROR(MOD(J319,1),1)&gt;0,AND(ISNUMBER(J319),OR(J319&lt;50,J319&gt;20000000))),"Введите целое число от 50 до 20000000",IF(NOT(ABS(IFERROR(VALUE(LEFT(M319,FIND("-",M319)-1)),M319)*100-(5000+2000000000)/2)&lt;=ABS(5000-2000000000)/2),"Цена со скидкой должна быть от 50 до 20000000",IF(IFERROR(VALUE(LEFT(M319,FIND("-",M319)-1)),M319)*210&lt;350000,"Вы уменьшили цену в несколько раз, товар попадет в карантин цен","")))),"")</f>
      </c>
    </row>
    <row r="320">
      <c r="A320" s="2" t="inlineStr">
        <is>
          <t>filtron</t>
        </is>
      </c>
      <c r="B320" s="2" t="inlineStr">
        <is>
          <t>Фильтры масляные</t>
        </is>
      </c>
      <c r="C320" s="2">
        <v>87971572</v>
      </c>
      <c r="D320" s="2" t="inlineStr">
        <is>
          <t>RIR-OP575</t>
        </is>
      </c>
      <c r="E320" s="2" t="inlineStr">
        <is>
          <t>2034959460620</t>
        </is>
      </c>
      <c r="F320" s="2">
        <v>0</v>
      </c>
      <c r="G320" s="2">
        <v>1</v>
      </c>
      <c r="H320" s="2">
        <v>1</v>
      </c>
      <c r="I320" s="2" t="inlineStr">
        <is>
          <t>710</t>
        </is>
      </c>
      <c r="J320" s="4"/>
      <c r="K320" s="2">
        <v>0</v>
      </c>
      <c r="L320" s="6"/>
      <c r="M320" s="2" t="str">
        <f>IF(J320="",ROUND(I320*(1-IF(ISBLANK(L320),K320,L320)/100),2),ROUND(J320*(1-IF(ISBLANK(L320),K320,L320)/100),2))</f>
      </c>
      <c r="N320" s="7" t="str">
        <f>IF(NOT(AND(J320="",L320="")),IF(OR(AND(L320&lt;&gt;"",NOT(ISNUMBER(L320))),IFERROR(MOD(L320,1),1)&gt;0,AND(ISNUMBER(L320),OR(L320&lt;0,L320&gt;95))),"Введите целое число от 0 до 95",IF(OR(AND(J320&lt;&gt;"",NOT(ISNUMBER(J320))),IFERROR(MOD(J320,1),1)&gt;0,AND(ISNUMBER(J320),OR(J320&lt;50,J320&gt;20000000))),"Введите целое число от 50 до 20000000",IF(NOT(ABS(IFERROR(VALUE(LEFT(M320,FIND("-",M320)-1)),M320)*100-(5000+2000000000)/2)&lt;=ABS(5000-2000000000)/2),"Цена со скидкой должна быть от 50 до 20000000",IF(IFERROR(VALUE(LEFT(M320,FIND("-",M320)-1)),M320)*210&lt;71000,"Вы уменьшили цену в несколько раз, товар попадет в карантин цен","")))),"")</f>
      </c>
    </row>
    <row r="321">
      <c r="A321" s="2" t="inlineStr">
        <is>
          <t>AMD</t>
        </is>
      </c>
      <c r="B321" s="2" t="inlineStr">
        <is>
          <t>Фильтры салонные</t>
        </is>
      </c>
      <c r="C321" s="2">
        <v>160369124</v>
      </c>
      <c r="D321" s="2" t="inlineStr">
        <is>
          <t>RIR-AMDJFC96</t>
        </is>
      </c>
      <c r="E321" s="2" t="inlineStr">
        <is>
          <t>2037811529848</t>
        </is>
      </c>
      <c r="F321" s="2">
        <v>0</v>
      </c>
      <c r="G321" s="2">
        <v>1</v>
      </c>
      <c r="H321" s="2">
        <v>0</v>
      </c>
      <c r="I321" s="2" t="inlineStr">
        <is>
          <t>430</t>
        </is>
      </c>
      <c r="J321" s="4"/>
      <c r="K321" s="2">
        <v>2</v>
      </c>
      <c r="L321" s="6"/>
      <c r="M321" s="2" t="str">
        <f>IF(J321="",ROUND(I321*(1-IF(ISBLANK(L321),K321,L321)/100),2),ROUND(J321*(1-IF(ISBLANK(L321),K321,L321)/100),2))</f>
      </c>
      <c r="N321" s="7" t="str">
        <f>IF(NOT(AND(J321="",L321="")),IF(OR(AND(L321&lt;&gt;"",NOT(ISNUMBER(L321))),IFERROR(MOD(L321,1),1)&gt;0,AND(ISNUMBER(L321),OR(L321&lt;0,L321&gt;95))),"Введите целое число от 0 до 95",IF(OR(AND(J321&lt;&gt;"",NOT(ISNUMBER(J321))),IFERROR(MOD(J321,1),1)&gt;0,AND(ISNUMBER(J321),OR(J321&lt;50,J321&gt;20000000))),"Введите целое число от 50 до 20000000",IF(NOT(ABS(IFERROR(VALUE(LEFT(M321,FIND("-",M321)-1)),M321)*100-(5000+2000000000)/2)&lt;=ABS(5000-2000000000)/2),"Цена со скидкой должна быть от 50 до 20000000",IF(IFERROR(VALUE(LEFT(M321,FIND("-",M321)-1)),M321)*210&lt;42140,"Вы уменьшили цену в несколько раз, товар попадет в карантин цен","")))),"")</f>
      </c>
    </row>
    <row r="322">
      <c r="A322" s="2" t="inlineStr">
        <is>
          <t>Finwhale</t>
        </is>
      </c>
      <c r="B322" s="2" t="inlineStr">
        <is>
          <t>Свечи зажигания</t>
        </is>
      </c>
      <c r="C322" s="2">
        <v>150260786</v>
      </c>
      <c r="D322" s="2" t="inlineStr">
        <is>
          <t>RIR-FS52</t>
        </is>
      </c>
      <c r="E322" s="2" t="inlineStr">
        <is>
          <t>2037569051882</t>
        </is>
      </c>
      <c r="F322" s="2">
        <v>0</v>
      </c>
      <c r="G322" s="2">
        <v>1</v>
      </c>
      <c r="H322" s="2">
        <v>1</v>
      </c>
      <c r="I322" s="2" t="inlineStr">
        <is>
          <t>1110</t>
        </is>
      </c>
      <c r="J322" s="4"/>
      <c r="K322" s="2">
        <v>0</v>
      </c>
      <c r="L322" s="6"/>
      <c r="M322" s="2" t="str">
        <f>IF(J322="",ROUND(I322*(1-IF(ISBLANK(L322),K322,L322)/100),2),ROUND(J322*(1-IF(ISBLANK(L322),K322,L322)/100),2))</f>
      </c>
      <c r="N322" s="7" t="str">
        <f>IF(NOT(AND(J322="",L322="")),IF(OR(AND(L322&lt;&gt;"",NOT(ISNUMBER(L322))),IFERROR(MOD(L322,1),1)&gt;0,AND(ISNUMBER(L322),OR(L322&lt;0,L322&gt;95))),"Введите целое число от 0 до 95",IF(OR(AND(J322&lt;&gt;"",NOT(ISNUMBER(J322))),IFERROR(MOD(J322,1),1)&gt;0,AND(ISNUMBER(J322),OR(J322&lt;50,J322&gt;20000000))),"Введите целое число от 50 до 20000000",IF(NOT(ABS(IFERROR(VALUE(LEFT(M322,FIND("-",M322)-1)),M322)*100-(5000+2000000000)/2)&lt;=ABS(5000-2000000000)/2),"Цена со скидкой должна быть от 50 до 20000000",IF(IFERROR(VALUE(LEFT(M322,FIND("-",M322)-1)),M322)*210&lt;111000,"Вы уменьшили цену в несколько раз, товар попадет в карантин цен","")))),"")</f>
      </c>
    </row>
    <row r="323">
      <c r="A323" s="2" t="inlineStr">
        <is>
          <t>SUN</t>
        </is>
      </c>
      <c r="B323" s="2" t="inlineStr">
        <is>
          <t>Ремни приводные</t>
        </is>
      </c>
      <c r="C323" s="2">
        <v>85978751</v>
      </c>
      <c r="D323" s="2" t="inlineStr">
        <is>
          <t>6PK2245</t>
        </is>
      </c>
      <c r="E323" s="2" t="inlineStr">
        <is>
          <t>2033698164875</t>
        </is>
      </c>
      <c r="F323" s="2">
        <v>0</v>
      </c>
      <c r="G323" s="2">
        <v>0</v>
      </c>
      <c r="H323" s="2" t="inlineStr">
        <is>
          <t/>
        </is>
      </c>
      <c r="I323" s="2" t="inlineStr">
        <is>
          <t>1650</t>
        </is>
      </c>
      <c r="J323" s="4"/>
      <c r="K323" s="2">
        <v>0</v>
      </c>
      <c r="L323" s="6"/>
      <c r="M323" s="2" t="str">
        <f>IF(J323="",ROUND(I323*(1-IF(ISBLANK(L323),K323,L323)/100),2),ROUND(J323*(1-IF(ISBLANK(L323),K323,L323)/100),2))</f>
      </c>
      <c r="N323" s="7" t="str">
        <f>IF(NOT(AND(J323="",L323="")),IF(OR(AND(L323&lt;&gt;"",NOT(ISNUMBER(L323))),IFERROR(MOD(L323,1),1)&gt;0,AND(ISNUMBER(L323),OR(L323&lt;0,L323&gt;95))),"Введите целое число от 0 до 95",IF(OR(AND(J323&lt;&gt;"",NOT(ISNUMBER(J323))),IFERROR(MOD(J323,1),1)&gt;0,AND(ISNUMBER(J323),OR(J323&lt;50,J323&gt;20000000))),"Введите целое число от 50 до 20000000",IF(NOT(ABS(IFERROR(VALUE(LEFT(M323,FIND("-",M323)-1)),M323)*100-(5000+2000000000)/2)&lt;=ABS(5000-2000000000)/2),"Цена со скидкой должна быть от 50 до 20000000",IF(IFERROR(VALUE(LEFT(M323,FIND("-",M323)-1)),M323)*210&lt;165000,"Вы уменьшили цену в несколько раз, товар попадет в карантин цен","")))),"")</f>
      </c>
    </row>
    <row r="324">
      <c r="A324" s="2" t="inlineStr">
        <is>
          <t>Stellox</t>
        </is>
      </c>
      <c r="B324" s="2" t="inlineStr">
        <is>
          <t>Фильтры масляные</t>
        </is>
      </c>
      <c r="C324" s="2">
        <v>230621057</v>
      </c>
      <c r="D324" s="2" t="inlineStr">
        <is>
          <t>RIR-2051079SX</t>
        </is>
      </c>
      <c r="E324" s="2" t="inlineStr">
        <is>
          <t>2039972051404</t>
        </is>
      </c>
      <c r="F324" s="2">
        <v>0</v>
      </c>
      <c r="G324" s="2">
        <v>1</v>
      </c>
      <c r="H324" s="2" t="inlineStr">
        <is>
          <t/>
        </is>
      </c>
      <c r="I324" s="2" t="inlineStr">
        <is>
          <t>1600</t>
        </is>
      </c>
      <c r="J324" s="4"/>
      <c r="K324" s="2">
        <v>13</v>
      </c>
      <c r="L324" s="6"/>
      <c r="M324" s="2" t="str">
        <f>IF(J324="",ROUND(I324*(1-IF(ISBLANK(L324),K324,L324)/100),2),ROUND(J324*(1-IF(ISBLANK(L324),K324,L324)/100),2))</f>
      </c>
      <c r="N324" s="7" t="str">
        <f>IF(NOT(AND(J324="",L324="")),IF(OR(AND(L324&lt;&gt;"",NOT(ISNUMBER(L324))),IFERROR(MOD(L324,1),1)&gt;0,AND(ISNUMBER(L324),OR(L324&lt;0,L324&gt;95))),"Введите целое число от 0 до 95",IF(OR(AND(J324&lt;&gt;"",NOT(ISNUMBER(J324))),IFERROR(MOD(J324,1),1)&gt;0,AND(ISNUMBER(J324),OR(J324&lt;50,J324&gt;20000000))),"Введите целое число от 50 до 20000000",IF(NOT(ABS(IFERROR(VALUE(LEFT(M324,FIND("-",M324)-1)),M324)*100-(5000+2000000000)/2)&lt;=ABS(5000-2000000000)/2),"Цена со скидкой должна быть от 50 до 20000000",IF(IFERROR(VALUE(LEFT(M324,FIND("-",M324)-1)),M324)*210&lt;139200,"Вы уменьшили цену в несколько раз, товар попадет в карантин цен","")))),"")</f>
      </c>
    </row>
    <row r="325">
      <c r="A325" s="2" t="inlineStr">
        <is>
          <t>CTR</t>
        </is>
      </c>
      <c r="B325" s="2" t="inlineStr">
        <is>
          <t>Наконечники рулевой тяги</t>
        </is>
      </c>
      <c r="C325" s="2">
        <v>151302470</v>
      </c>
      <c r="D325" s="2" t="inlineStr">
        <is>
          <t>RIR-CE0894R</t>
        </is>
      </c>
      <c r="E325" s="2" t="inlineStr">
        <is>
          <t>2037595929148</t>
        </is>
      </c>
      <c r="F325" s="2">
        <v>0</v>
      </c>
      <c r="G325" s="2">
        <v>0</v>
      </c>
      <c r="H325" s="2">
        <v>1</v>
      </c>
      <c r="I325" s="2" t="inlineStr">
        <is>
          <t>2350</t>
        </is>
      </c>
      <c r="J325" s="4"/>
      <c r="K325" s="2">
        <v>0</v>
      </c>
      <c r="L325" s="6"/>
      <c r="M325" s="2" t="str">
        <f>IF(J325="",ROUND(I325*(1-IF(ISBLANK(L325),K325,L325)/100),2),ROUND(J325*(1-IF(ISBLANK(L325),K325,L325)/100),2))</f>
      </c>
      <c r="N325" s="7" t="str">
        <f>IF(NOT(AND(J325="",L325="")),IF(OR(AND(L325&lt;&gt;"",NOT(ISNUMBER(L325))),IFERROR(MOD(L325,1),1)&gt;0,AND(ISNUMBER(L325),OR(L325&lt;0,L325&gt;95))),"Введите целое число от 0 до 95",IF(OR(AND(J325&lt;&gt;"",NOT(ISNUMBER(J325))),IFERROR(MOD(J325,1),1)&gt;0,AND(ISNUMBER(J325),OR(J325&lt;50,J325&gt;20000000))),"Введите целое число от 50 до 20000000",IF(NOT(ABS(IFERROR(VALUE(LEFT(M325,FIND("-",M325)-1)),M325)*100-(5000+2000000000)/2)&lt;=ABS(5000-2000000000)/2),"Цена со скидкой должна быть от 50 до 20000000",IF(IFERROR(VALUE(LEFT(M325,FIND("-",M325)-1)),M325)*210&lt;235000,"Вы уменьшили цену в несколько раз, товар попадет в карантин цен","")))),"")</f>
      </c>
    </row>
    <row r="326">
      <c r="A326" s="2" t="inlineStr">
        <is>
          <t>LYNXAuto</t>
        </is>
      </c>
      <c r="B326" s="2" t="inlineStr">
        <is>
          <t>Свечи зажигания</t>
        </is>
      </c>
      <c r="C326" s="2">
        <v>175305452</v>
      </c>
      <c r="D326" s="2" t="inlineStr">
        <is>
          <t>RIR-SP164</t>
        </is>
      </c>
      <c r="E326" s="2" t="inlineStr">
        <is>
          <t>2038536349872</t>
        </is>
      </c>
      <c r="F326" s="2">
        <v>0</v>
      </c>
      <c r="G326" s="2">
        <v>0</v>
      </c>
      <c r="H326" s="2" t="inlineStr">
        <is>
          <t/>
        </is>
      </c>
      <c r="I326" s="2" t="inlineStr">
        <is>
          <t>940</t>
        </is>
      </c>
      <c r="J326" s="4"/>
      <c r="K326" s="2">
        <v>0</v>
      </c>
      <c r="L326" s="6"/>
      <c r="M326" s="2" t="str">
        <f>IF(J326="",ROUND(I326*(1-IF(ISBLANK(L326),K326,L326)/100),2),ROUND(J326*(1-IF(ISBLANK(L326),K326,L326)/100),2))</f>
      </c>
      <c r="N326" s="7" t="str">
        <f>IF(NOT(AND(J326="",L326="")),IF(OR(AND(L326&lt;&gt;"",NOT(ISNUMBER(L326))),IFERROR(MOD(L326,1),1)&gt;0,AND(ISNUMBER(L326),OR(L326&lt;0,L326&gt;95))),"Введите целое число от 0 до 95",IF(OR(AND(J326&lt;&gt;"",NOT(ISNUMBER(J326))),IFERROR(MOD(J326,1),1)&gt;0,AND(ISNUMBER(J326),OR(J326&lt;50,J326&gt;20000000))),"Введите целое число от 50 до 20000000",IF(NOT(ABS(IFERROR(VALUE(LEFT(M326,FIND("-",M326)-1)),M326)*100-(5000+2000000000)/2)&lt;=ABS(5000-2000000000)/2),"Цена со скидкой должна быть от 50 до 20000000",IF(IFERROR(VALUE(LEFT(M326,FIND("-",M326)-1)),M326)*210&lt;94000,"Вы уменьшили цену в несколько раз, товар попадет в карантин цен","")))),"")</f>
      </c>
    </row>
    <row r="327">
      <c r="A327" s="2" t="inlineStr">
        <is>
          <t>SUFIX</t>
        </is>
      </c>
      <c r="B327" s="2" t="inlineStr">
        <is>
          <t>Тяги рулевые</t>
        </is>
      </c>
      <c r="C327" s="2">
        <v>357415069</v>
      </c>
      <c r="D327" s="2" t="inlineStr">
        <is>
          <t>RIR-SD1043</t>
        </is>
      </c>
      <c r="E327" s="2" t="inlineStr">
        <is>
          <t>2043179945572</t>
        </is>
      </c>
      <c r="F327" s="2">
        <v>0</v>
      </c>
      <c r="G327" s="2">
        <v>2</v>
      </c>
      <c r="H327" s="2" t="inlineStr">
        <is>
          <t/>
        </is>
      </c>
      <c r="I327" s="2" t="inlineStr">
        <is>
          <t>1050</t>
        </is>
      </c>
      <c r="J327" s="4"/>
      <c r="K327" s="2">
        <v>0</v>
      </c>
      <c r="L327" s="6"/>
      <c r="M327" s="2" t="str">
        <f>IF(J327="",ROUND(I327*(1-IF(ISBLANK(L327),K327,L327)/100),2),ROUND(J327*(1-IF(ISBLANK(L327),K327,L327)/100),2))</f>
      </c>
      <c r="N327" s="7" t="str">
        <f>IF(NOT(AND(J327="",L327="")),IF(OR(AND(L327&lt;&gt;"",NOT(ISNUMBER(L327))),IFERROR(MOD(L327,1),1)&gt;0,AND(ISNUMBER(L327),OR(L327&lt;0,L327&gt;95))),"Введите целое число от 0 до 95",IF(OR(AND(J327&lt;&gt;"",NOT(ISNUMBER(J327))),IFERROR(MOD(J327,1),1)&gt;0,AND(ISNUMBER(J327),OR(J327&lt;50,J327&gt;20000000))),"Введите целое число от 50 до 20000000",IF(NOT(ABS(IFERROR(VALUE(LEFT(M327,FIND("-",M327)-1)),M327)*100-(5000+2000000000)/2)&lt;=ABS(5000-2000000000)/2),"Цена со скидкой должна быть от 50 до 20000000",IF(IFERROR(VALUE(LEFT(M327,FIND("-",M327)-1)),M327)*210&lt;105000,"Вы уменьшили цену в несколько раз, товар попадет в карантин цен","")))),"")</f>
      </c>
    </row>
    <row r="328">
      <c r="A328" s="2" t="inlineStr">
        <is>
          <t>CTR</t>
        </is>
      </c>
      <c r="B328" s="2" t="inlineStr">
        <is>
          <t>Колодки автомобильные</t>
        </is>
      </c>
      <c r="C328" s="2">
        <v>160864618</v>
      </c>
      <c r="D328" s="2" t="inlineStr">
        <is>
          <t>RIR-GK1062</t>
        </is>
      </c>
      <c r="E328" s="2" t="inlineStr">
        <is>
          <t>2037829551855</t>
        </is>
      </c>
      <c r="F328" s="2">
        <v>0</v>
      </c>
      <c r="G328" s="2">
        <v>0</v>
      </c>
      <c r="H328" s="2" t="inlineStr">
        <is>
          <t/>
        </is>
      </c>
      <c r="I328" s="2" t="inlineStr">
        <is>
          <t>2000</t>
        </is>
      </c>
      <c r="J328" s="4"/>
      <c r="K328" s="2">
        <v>0</v>
      </c>
      <c r="L328" s="6"/>
      <c r="M328" s="2" t="str">
        <f>IF(J328="",ROUND(I328*(1-IF(ISBLANK(L328),K328,L328)/100),2),ROUND(J328*(1-IF(ISBLANK(L328),K328,L328)/100),2))</f>
      </c>
      <c r="N328" s="7" t="str">
        <f>IF(NOT(AND(J328="",L328="")),IF(OR(AND(L328&lt;&gt;"",NOT(ISNUMBER(L328))),IFERROR(MOD(L328,1),1)&gt;0,AND(ISNUMBER(L328),OR(L328&lt;0,L328&gt;95))),"Введите целое число от 0 до 95",IF(OR(AND(J328&lt;&gt;"",NOT(ISNUMBER(J328))),IFERROR(MOD(J328,1),1)&gt;0,AND(ISNUMBER(J328),OR(J328&lt;50,J328&gt;20000000))),"Введите целое число от 50 до 20000000",IF(NOT(ABS(IFERROR(VALUE(LEFT(M328,FIND("-",M328)-1)),M328)*100-(5000+2000000000)/2)&lt;=ABS(5000-2000000000)/2),"Цена со скидкой должна быть от 50 до 20000000",IF(IFERROR(VALUE(LEFT(M328,FIND("-",M328)-1)),M328)*210&lt;200000,"Вы уменьшили цену в несколько раз, товар попадет в карантин цен","")))),"")</f>
      </c>
    </row>
    <row r="329">
      <c r="A329" s="2" t="inlineStr">
        <is>
          <t>Masuma</t>
        </is>
      </c>
      <c r="B329" s="2" t="inlineStr">
        <is>
          <t>Колодки автомобильные</t>
        </is>
      </c>
      <c r="C329" s="2">
        <v>278273261</v>
      </c>
      <c r="D329" s="2" t="inlineStr">
        <is>
          <t>RIR-MS2546_2</t>
        </is>
      </c>
      <c r="E329" s="2" t="inlineStr">
        <is>
          <t>2041675249033</t>
        </is>
      </c>
      <c r="F329" s="2">
        <v>0</v>
      </c>
      <c r="G329" s="2">
        <v>1</v>
      </c>
      <c r="H329" s="2" t="inlineStr">
        <is>
          <t/>
        </is>
      </c>
      <c r="I329" s="2" t="inlineStr">
        <is>
          <t>2400</t>
        </is>
      </c>
      <c r="J329" s="4"/>
      <c r="K329" s="2">
        <v>0</v>
      </c>
      <c r="L329" s="6"/>
      <c r="M329" s="2" t="str">
        <f>IF(J329="",ROUND(I329*(1-IF(ISBLANK(L329),K329,L329)/100),2),ROUND(J329*(1-IF(ISBLANK(L329),K329,L329)/100),2))</f>
      </c>
      <c r="N329" s="7" t="str">
        <f>IF(NOT(AND(J329="",L329="")),IF(OR(AND(L329&lt;&gt;"",NOT(ISNUMBER(L329))),IFERROR(MOD(L329,1),1)&gt;0,AND(ISNUMBER(L329),OR(L329&lt;0,L329&gt;95))),"Введите целое число от 0 до 95",IF(OR(AND(J329&lt;&gt;"",NOT(ISNUMBER(J329))),IFERROR(MOD(J329,1),1)&gt;0,AND(ISNUMBER(J329),OR(J329&lt;50,J329&gt;20000000))),"Введите целое число от 50 до 20000000",IF(NOT(ABS(IFERROR(VALUE(LEFT(M329,FIND("-",M329)-1)),M329)*100-(5000+2000000000)/2)&lt;=ABS(5000-2000000000)/2),"Цена со скидкой должна быть от 50 до 20000000",IF(IFERROR(VALUE(LEFT(M329,FIND("-",M329)-1)),M329)*210&lt;240000,"Вы уменьшили цену в несколько раз, товар попадет в карантин цен","")))),"")</f>
      </c>
    </row>
    <row r="330">
      <c r="A330" s="2" t="inlineStr">
        <is>
          <t>Masuma</t>
        </is>
      </c>
      <c r="B330" s="2" t="inlineStr">
        <is>
          <t>Фильтры масляные</t>
        </is>
      </c>
      <c r="C330" s="2">
        <v>85926939</v>
      </c>
      <c r="D330" s="2" t="inlineStr">
        <is>
          <t>RIR-MFTK301</t>
        </is>
      </c>
      <c r="E330" s="2" t="inlineStr">
        <is>
          <t>2033668639624</t>
        </is>
      </c>
      <c r="F330" s="2">
        <v>0</v>
      </c>
      <c r="G330" s="2">
        <v>1</v>
      </c>
      <c r="H330" s="2">
        <v>1</v>
      </c>
      <c r="I330" s="2" t="inlineStr">
        <is>
          <t>1200</t>
        </is>
      </c>
      <c r="J330" s="4"/>
      <c r="K330" s="2">
        <v>0</v>
      </c>
      <c r="L330" s="6"/>
      <c r="M330" s="2" t="str">
        <f>IF(J330="",ROUND(I330*(1-IF(ISBLANK(L330),K330,L330)/100),2),ROUND(J330*(1-IF(ISBLANK(L330),K330,L330)/100),2))</f>
      </c>
      <c r="N330" s="7" t="str">
        <f>IF(NOT(AND(J330="",L330="")),IF(OR(AND(L330&lt;&gt;"",NOT(ISNUMBER(L330))),IFERROR(MOD(L330,1),1)&gt;0,AND(ISNUMBER(L330),OR(L330&lt;0,L330&gt;95))),"Введите целое число от 0 до 95",IF(OR(AND(J330&lt;&gt;"",NOT(ISNUMBER(J330))),IFERROR(MOD(J330,1),1)&gt;0,AND(ISNUMBER(J330),OR(J330&lt;50,J330&gt;20000000))),"Введите целое число от 50 до 20000000",IF(NOT(ABS(IFERROR(VALUE(LEFT(M330,FIND("-",M330)-1)),M330)*100-(5000+2000000000)/2)&lt;=ABS(5000-2000000000)/2),"Цена со скидкой должна быть от 50 до 20000000",IF(IFERROR(VALUE(LEFT(M330,FIND("-",M330)-1)),M330)*210&lt;120000,"Вы уменьшили цену в несколько раз, товар попадет в карантин цен","")))),"")</f>
      </c>
    </row>
    <row r="331">
      <c r="A331" s="2" t="inlineStr">
        <is>
          <t>LYNXauto</t>
        </is>
      </c>
      <c r="B331" s="2" t="inlineStr">
        <is>
          <t>Катушки зажигания</t>
        </is>
      </c>
      <c r="C331" s="2">
        <v>145475788</v>
      </c>
      <c r="D331" s="2" t="inlineStr">
        <is>
          <t>RIR-SPL1119</t>
        </is>
      </c>
      <c r="E331" s="2" t="inlineStr">
        <is>
          <t>2037441289983</t>
        </is>
      </c>
      <c r="F331" s="2">
        <v>0</v>
      </c>
      <c r="G331" s="2">
        <v>1</v>
      </c>
      <c r="H331" s="2" t="inlineStr">
        <is>
          <t/>
        </is>
      </c>
      <c r="I331" s="2" t="inlineStr">
        <is>
          <t>4200</t>
        </is>
      </c>
      <c r="J331" s="4"/>
      <c r="K331" s="2">
        <v>2</v>
      </c>
      <c r="L331" s="6"/>
      <c r="M331" s="2" t="str">
        <f>IF(J331="",ROUND(I331*(1-IF(ISBLANK(L331),K331,L331)/100),2),ROUND(J331*(1-IF(ISBLANK(L331),K331,L331)/100),2))</f>
      </c>
      <c r="N331" s="7" t="str">
        <f>IF(NOT(AND(J331="",L331="")),IF(OR(AND(L331&lt;&gt;"",NOT(ISNUMBER(L331))),IFERROR(MOD(L331,1),1)&gt;0,AND(ISNUMBER(L331),OR(L331&lt;0,L331&gt;95))),"Введите целое число от 0 до 95",IF(OR(AND(J331&lt;&gt;"",NOT(ISNUMBER(J331))),IFERROR(MOD(J331,1),1)&gt;0,AND(ISNUMBER(J331),OR(J331&lt;50,J331&gt;20000000))),"Введите целое число от 50 до 20000000",IF(NOT(ABS(IFERROR(VALUE(LEFT(M331,FIND("-",M331)-1)),M331)*100-(5000+2000000000)/2)&lt;=ABS(5000-2000000000)/2),"Цена со скидкой должна быть от 50 до 20000000",IF(IFERROR(VALUE(LEFT(M331,FIND("-",M331)-1)),M331)*210&lt;411600,"Вы уменьшили цену в несколько раз, товар попадет в карантин цен","")))),"")</f>
      </c>
    </row>
    <row r="332">
      <c r="A332" s="2" t="inlineStr">
        <is>
          <t>PATRON</t>
        </is>
      </c>
      <c r="B332" s="2" t="inlineStr">
        <is>
          <t>Катушки зажигания</t>
        </is>
      </c>
      <c r="C332" s="2">
        <v>100208411</v>
      </c>
      <c r="D332" s="2" t="inlineStr">
        <is>
          <t>RIR-PCI1208KOR</t>
        </is>
      </c>
      <c r="E332" s="2" t="inlineStr">
        <is>
          <t>2036809881456</t>
        </is>
      </c>
      <c r="F332" s="2">
        <v>0</v>
      </c>
      <c r="G332" s="2">
        <v>0</v>
      </c>
      <c r="H332" s="2">
        <v>0</v>
      </c>
      <c r="I332" s="2" t="inlineStr">
        <is>
          <t>1990</t>
        </is>
      </c>
      <c r="J332" s="4"/>
      <c r="K332" s="2">
        <v>0</v>
      </c>
      <c r="L332" s="6"/>
      <c r="M332" s="2" t="str">
        <f>IF(J332="",ROUND(I332*(1-IF(ISBLANK(L332),K332,L332)/100),2),ROUND(J332*(1-IF(ISBLANK(L332),K332,L332)/100),2))</f>
      </c>
      <c r="N332" s="7" t="str">
        <f>IF(NOT(AND(J332="",L332="")),IF(OR(AND(L332&lt;&gt;"",NOT(ISNUMBER(L332))),IFERROR(MOD(L332,1),1)&gt;0,AND(ISNUMBER(L332),OR(L332&lt;0,L332&gt;95))),"Введите целое число от 0 до 95",IF(OR(AND(J332&lt;&gt;"",NOT(ISNUMBER(J332))),IFERROR(MOD(J332,1),1)&gt;0,AND(ISNUMBER(J332),OR(J332&lt;50,J332&gt;20000000))),"Введите целое число от 50 до 20000000",IF(NOT(ABS(IFERROR(VALUE(LEFT(M332,FIND("-",M332)-1)),M332)*100-(5000+2000000000)/2)&lt;=ABS(5000-2000000000)/2),"Цена со скидкой должна быть от 50 до 20000000",IF(IFERROR(VALUE(LEFT(M332,FIND("-",M332)-1)),M332)*210&lt;199000,"Вы уменьшили цену в несколько раз, товар попадет в карантин цен","")))),"")</f>
      </c>
    </row>
    <row r="333">
      <c r="A333" s="2" t="inlineStr">
        <is>
          <t>AMD</t>
        </is>
      </c>
      <c r="B333" s="2" t="inlineStr">
        <is>
          <t>Фильтры воздушные</t>
        </is>
      </c>
      <c r="C333" s="2">
        <v>89123398</v>
      </c>
      <c r="D333" s="2" t="inlineStr">
        <is>
          <t>RIR-AMDFA91</t>
        </is>
      </c>
      <c r="E333" s="2" t="inlineStr">
        <is>
          <t>2035818585621</t>
        </is>
      </c>
      <c r="F333" s="2">
        <v>0</v>
      </c>
      <c r="G333" s="2">
        <v>1</v>
      </c>
      <c r="H333" s="2">
        <v>1</v>
      </c>
      <c r="I333" s="2" t="inlineStr">
        <is>
          <t>540</t>
        </is>
      </c>
      <c r="J333" s="4"/>
      <c r="K333" s="2">
        <v>0</v>
      </c>
      <c r="L333" s="6"/>
      <c r="M333" s="2" t="str">
        <f>IF(J333="",ROUND(I333*(1-IF(ISBLANK(L333),K333,L333)/100),2),ROUND(J333*(1-IF(ISBLANK(L333),K333,L333)/100),2))</f>
      </c>
      <c r="N333" s="7" t="str">
        <f>IF(NOT(AND(J333="",L333="")),IF(OR(AND(L333&lt;&gt;"",NOT(ISNUMBER(L333))),IFERROR(MOD(L333,1),1)&gt;0,AND(ISNUMBER(L333),OR(L333&lt;0,L333&gt;95))),"Введите целое число от 0 до 95",IF(OR(AND(J333&lt;&gt;"",NOT(ISNUMBER(J333))),IFERROR(MOD(J333,1),1)&gt;0,AND(ISNUMBER(J333),OR(J333&lt;50,J333&gt;20000000))),"Введите целое число от 50 до 20000000",IF(NOT(ABS(IFERROR(VALUE(LEFT(M333,FIND("-",M333)-1)),M333)*100-(5000+2000000000)/2)&lt;=ABS(5000-2000000000)/2),"Цена со скидкой должна быть от 50 до 20000000",IF(IFERROR(VALUE(LEFT(M333,FIND("-",M333)-1)),M333)*210&lt;54000,"Вы уменьшили цену в несколько раз, товар попадет в карантин цен","")))),"")</f>
      </c>
    </row>
    <row r="334">
      <c r="A334" s="2" t="inlineStr">
        <is>
          <t>CTR</t>
        </is>
      </c>
      <c r="B334" s="2" t="inlineStr">
        <is>
          <t>Стойки стабилизатора</t>
        </is>
      </c>
      <c r="C334" s="2">
        <v>150327484</v>
      </c>
      <c r="D334" s="2" t="inlineStr">
        <is>
          <t>RIR-CLKH46</t>
        </is>
      </c>
      <c r="E334" s="2" t="inlineStr">
        <is>
          <t>2037570366692</t>
        </is>
      </c>
      <c r="F334" s="2">
        <v>0</v>
      </c>
      <c r="G334" s="2">
        <v>2</v>
      </c>
      <c r="H334" s="2">
        <v>0</v>
      </c>
      <c r="I334" s="2" t="inlineStr">
        <is>
          <t>1700</t>
        </is>
      </c>
      <c r="J334" s="4"/>
      <c r="K334" s="2">
        <v>0</v>
      </c>
      <c r="L334" s="6"/>
      <c r="M334" s="2" t="str">
        <f>IF(J334="",ROUND(I334*(1-IF(ISBLANK(L334),K334,L334)/100),2),ROUND(J334*(1-IF(ISBLANK(L334),K334,L334)/100),2))</f>
      </c>
      <c r="N334" s="7" t="str">
        <f>IF(NOT(AND(J334="",L334="")),IF(OR(AND(L334&lt;&gt;"",NOT(ISNUMBER(L334))),IFERROR(MOD(L334,1),1)&gt;0,AND(ISNUMBER(L334),OR(L334&lt;0,L334&gt;95))),"Введите целое число от 0 до 95",IF(OR(AND(J334&lt;&gt;"",NOT(ISNUMBER(J334))),IFERROR(MOD(J334,1),1)&gt;0,AND(ISNUMBER(J334),OR(J334&lt;50,J334&gt;20000000))),"Введите целое число от 50 до 20000000",IF(NOT(ABS(IFERROR(VALUE(LEFT(M334,FIND("-",M334)-1)),M334)*100-(5000+2000000000)/2)&lt;=ABS(5000-2000000000)/2),"Цена со скидкой должна быть от 50 до 20000000",IF(IFERROR(VALUE(LEFT(M334,FIND("-",M334)-1)),M334)*210&lt;170000,"Вы уменьшили цену в несколько раз, товар попадет в карантин цен","")))),"")</f>
      </c>
    </row>
    <row r="335">
      <c r="A335" s="2" t="inlineStr">
        <is>
          <t>CTR</t>
        </is>
      </c>
      <c r="B335" s="2" t="inlineStr">
        <is>
          <t>Колодки автомобильные</t>
        </is>
      </c>
      <c r="C335" s="2">
        <v>278271563</v>
      </c>
      <c r="D335" s="2" t="inlineStr">
        <is>
          <t>RIR-GK0741_2</t>
        </is>
      </c>
      <c r="E335" s="2" t="inlineStr">
        <is>
          <t>2041675227390</t>
        </is>
      </c>
      <c r="F335" s="2">
        <v>0</v>
      </c>
      <c r="G335" s="2">
        <v>1</v>
      </c>
      <c r="H335" s="2" t="inlineStr">
        <is>
          <t/>
        </is>
      </c>
      <c r="I335" s="2" t="inlineStr">
        <is>
          <t>3200</t>
        </is>
      </c>
      <c r="J335" s="4"/>
      <c r="K335" s="2">
        <v>2</v>
      </c>
      <c r="L335" s="6"/>
      <c r="M335" s="2" t="str">
        <f>IF(J335="",ROUND(I335*(1-IF(ISBLANK(L335),K335,L335)/100),2),ROUND(J335*(1-IF(ISBLANK(L335),K335,L335)/100),2))</f>
      </c>
      <c r="N335" s="7" t="str">
        <f>IF(NOT(AND(J335="",L335="")),IF(OR(AND(L335&lt;&gt;"",NOT(ISNUMBER(L335))),IFERROR(MOD(L335,1),1)&gt;0,AND(ISNUMBER(L335),OR(L335&lt;0,L335&gt;95))),"Введите целое число от 0 до 95",IF(OR(AND(J335&lt;&gt;"",NOT(ISNUMBER(J335))),IFERROR(MOD(J335,1),1)&gt;0,AND(ISNUMBER(J335),OR(J335&lt;50,J335&gt;20000000))),"Введите целое число от 50 до 20000000",IF(NOT(ABS(IFERROR(VALUE(LEFT(M335,FIND("-",M335)-1)),M335)*100-(5000+2000000000)/2)&lt;=ABS(5000-2000000000)/2),"Цена со скидкой должна быть от 50 до 20000000",IF(IFERROR(VALUE(LEFT(M335,FIND("-",M335)-1)),M335)*210&lt;313600,"Вы уменьшили цену в несколько раз, товар попадет в карантин цен","")))),"")</f>
      </c>
    </row>
    <row r="336">
      <c r="A336" s="2" t="inlineStr">
        <is>
          <t>MASUMA</t>
        </is>
      </c>
      <c r="B336" s="2" t="inlineStr">
        <is>
          <t>Фильтры масляные</t>
        </is>
      </c>
      <c r="C336" s="2">
        <v>441090009</v>
      </c>
      <c r="D336" s="2" t="inlineStr">
        <is>
          <t>RIR-MFT1059</t>
        </is>
      </c>
      <c r="E336" s="2" t="inlineStr">
        <is>
          <t>2044411709167</t>
        </is>
      </c>
      <c r="F336" s="2">
        <v>0</v>
      </c>
      <c r="G336" s="2">
        <v>0</v>
      </c>
      <c r="H336" s="2" t="inlineStr">
        <is>
          <t/>
        </is>
      </c>
      <c r="I336" s="2" t="inlineStr">
        <is>
          <t>1500</t>
        </is>
      </c>
      <c r="J336" s="4"/>
      <c r="K336" s="2">
        <v>0</v>
      </c>
      <c r="L336" s="6"/>
      <c r="M336" s="2" t="str">
        <f>IF(J336="",ROUND(I336*(1-IF(ISBLANK(L336),K336,L336)/100),2),ROUND(J336*(1-IF(ISBLANK(L336),K336,L336)/100),2))</f>
      </c>
      <c r="N336" s="7" t="str">
        <f>IF(NOT(AND(J336="",L336="")),IF(OR(AND(L336&lt;&gt;"",NOT(ISNUMBER(L336))),IFERROR(MOD(L336,1),1)&gt;0,AND(ISNUMBER(L336),OR(L336&lt;0,L336&gt;95))),"Введите целое число от 0 до 95",IF(OR(AND(J336&lt;&gt;"",NOT(ISNUMBER(J336))),IFERROR(MOD(J336,1),1)&gt;0,AND(ISNUMBER(J336),OR(J336&lt;50,J336&gt;20000000))),"Введите целое число от 50 до 20000000",IF(NOT(ABS(IFERROR(VALUE(LEFT(M336,FIND("-",M336)-1)),M336)*100-(5000+2000000000)/2)&lt;=ABS(5000-2000000000)/2),"Цена со скидкой должна быть от 50 до 20000000",IF(IFERROR(VALUE(LEFT(M336,FIND("-",M336)-1)),M336)*210&lt;150000,"Вы уменьшили цену в несколько раз, товар попадет в карантин цен","")))),"")</f>
      </c>
    </row>
    <row r="337">
      <c r="A337" s="2" t="inlineStr">
        <is>
          <t>Masuma</t>
        </is>
      </c>
      <c r="B337" s="2" t="inlineStr">
        <is>
          <t>Фильтры масляные</t>
        </is>
      </c>
      <c r="C337" s="2">
        <v>164604334</v>
      </c>
      <c r="D337" s="2" t="inlineStr">
        <is>
          <t>RIR-MFT1012</t>
        </is>
      </c>
      <c r="E337" s="2" t="inlineStr">
        <is>
          <t>2037985252719</t>
        </is>
      </c>
      <c r="F337" s="2">
        <v>0</v>
      </c>
      <c r="G337" s="2">
        <v>1</v>
      </c>
      <c r="H337" s="2">
        <v>1</v>
      </c>
      <c r="I337" s="2" t="inlineStr">
        <is>
          <t>1500</t>
        </is>
      </c>
      <c r="J337" s="4"/>
      <c r="K337" s="2">
        <v>0</v>
      </c>
      <c r="L337" s="6"/>
      <c r="M337" s="2" t="str">
        <f>IF(J337="",ROUND(I337*(1-IF(ISBLANK(L337),K337,L337)/100),2),ROUND(J337*(1-IF(ISBLANK(L337),K337,L337)/100),2))</f>
      </c>
      <c r="N337" s="7" t="str">
        <f>IF(NOT(AND(J337="",L337="")),IF(OR(AND(L337&lt;&gt;"",NOT(ISNUMBER(L337))),IFERROR(MOD(L337,1),1)&gt;0,AND(ISNUMBER(L337),OR(L337&lt;0,L337&gt;95))),"Введите целое число от 0 до 95",IF(OR(AND(J337&lt;&gt;"",NOT(ISNUMBER(J337))),IFERROR(MOD(J337,1),1)&gt;0,AND(ISNUMBER(J337),OR(J337&lt;50,J337&gt;20000000))),"Введите целое число от 50 до 20000000",IF(NOT(ABS(IFERROR(VALUE(LEFT(M337,FIND("-",M337)-1)),M337)*100-(5000+2000000000)/2)&lt;=ABS(5000-2000000000)/2),"Цена со скидкой должна быть от 50 до 20000000",IF(IFERROR(VALUE(LEFT(M337,FIND("-",M337)-1)),M337)*210&lt;150000,"Вы уменьшили цену в несколько раз, товар попадет в карантин цен","")))),"")</f>
      </c>
    </row>
    <row r="338">
      <c r="A338" s="2" t="inlineStr">
        <is>
          <t>MANDO</t>
        </is>
      </c>
      <c r="B338" s="2" t="inlineStr">
        <is>
          <t>Стойки стабилизатора</t>
        </is>
      </c>
      <c r="C338" s="2">
        <v>150330549</v>
      </c>
      <c r="D338" s="2" t="inlineStr">
        <is>
          <t>RIR-SLK0019</t>
        </is>
      </c>
      <c r="E338" s="2" t="inlineStr">
        <is>
          <t>2037570497099</t>
        </is>
      </c>
      <c r="F338" s="2">
        <v>0</v>
      </c>
      <c r="G338" s="2">
        <v>2</v>
      </c>
      <c r="H338" s="2">
        <v>0</v>
      </c>
      <c r="I338" s="2" t="inlineStr">
        <is>
          <t>1710</t>
        </is>
      </c>
      <c r="J338" s="4"/>
      <c r="K338" s="2">
        <v>12</v>
      </c>
      <c r="L338" s="6"/>
      <c r="M338" s="2" t="str">
        <f>IF(J338="",ROUND(I338*(1-IF(ISBLANK(L338),K338,L338)/100),2),ROUND(J338*(1-IF(ISBLANK(L338),K338,L338)/100),2))</f>
      </c>
      <c r="N338" s="7" t="str">
        <f>IF(NOT(AND(J338="",L338="")),IF(OR(AND(L338&lt;&gt;"",NOT(ISNUMBER(L338))),IFERROR(MOD(L338,1),1)&gt;0,AND(ISNUMBER(L338),OR(L338&lt;0,L338&gt;95))),"Введите целое число от 0 до 95",IF(OR(AND(J338&lt;&gt;"",NOT(ISNUMBER(J338))),IFERROR(MOD(J338,1),1)&gt;0,AND(ISNUMBER(J338),OR(J338&lt;50,J338&gt;20000000))),"Введите целое число от 50 до 20000000",IF(NOT(ABS(IFERROR(VALUE(LEFT(M338,FIND("-",M338)-1)),M338)*100-(5000+2000000000)/2)&lt;=ABS(5000-2000000000)/2),"Цена со скидкой должна быть от 50 до 20000000",IF(IFERROR(VALUE(LEFT(M338,FIND("-",M338)-1)),M338)*210&lt;150480,"Вы уменьшили цену в несколько раз, товар попадет в карантин цен","")))),"")</f>
      </c>
    </row>
    <row r="339">
      <c r="A339" s="2" t="inlineStr">
        <is>
          <t>AMD</t>
        </is>
      </c>
      <c r="B339" s="2" t="inlineStr">
        <is>
          <t>Фильтры салонные</t>
        </is>
      </c>
      <c r="C339" s="2">
        <v>89155917</v>
      </c>
      <c r="D339" s="2" t="inlineStr">
        <is>
          <t>RIR-AMDFC753C</t>
        </is>
      </c>
      <c r="E339" s="2" t="inlineStr">
        <is>
          <t>2035831123626</t>
        </is>
      </c>
      <c r="F339" s="2">
        <v>0</v>
      </c>
      <c r="G339" s="2">
        <v>1</v>
      </c>
      <c r="H339" s="2">
        <v>1</v>
      </c>
      <c r="I339" s="2" t="inlineStr">
        <is>
          <t>590</t>
        </is>
      </c>
      <c r="J339" s="4"/>
      <c r="K339" s="2">
        <v>0</v>
      </c>
      <c r="L339" s="6"/>
      <c r="M339" s="2" t="str">
        <f>IF(J339="",ROUND(I339*(1-IF(ISBLANK(L339),K339,L339)/100),2),ROUND(J339*(1-IF(ISBLANK(L339),K339,L339)/100),2))</f>
      </c>
      <c r="N339" s="7" t="str">
        <f>IF(NOT(AND(J339="",L339="")),IF(OR(AND(L339&lt;&gt;"",NOT(ISNUMBER(L339))),IFERROR(MOD(L339,1),1)&gt;0,AND(ISNUMBER(L339),OR(L339&lt;0,L339&gt;95))),"Введите целое число от 0 до 95",IF(OR(AND(J339&lt;&gt;"",NOT(ISNUMBER(J339))),IFERROR(MOD(J339,1),1)&gt;0,AND(ISNUMBER(J339),OR(J339&lt;50,J339&gt;20000000))),"Введите целое число от 50 до 20000000",IF(NOT(ABS(IFERROR(VALUE(LEFT(M339,FIND("-",M339)-1)),M339)*100-(5000+2000000000)/2)&lt;=ABS(5000-2000000000)/2),"Цена со скидкой должна быть от 50 до 20000000",IF(IFERROR(VALUE(LEFT(M339,FIND("-",M339)-1)),M339)*210&lt;59000,"Вы уменьшили цену в несколько раз, товар попадет в карантин цен","")))),"")</f>
      </c>
    </row>
    <row r="340">
      <c r="A340" s="2" t="inlineStr">
        <is>
          <t>Mahle</t>
        </is>
      </c>
      <c r="B340" s="2" t="inlineStr">
        <is>
          <t>Фильтры масляные</t>
        </is>
      </c>
      <c r="C340" s="2">
        <v>166042189</v>
      </c>
      <c r="D340" s="2" t="inlineStr">
        <is>
          <t>RIR-OX388D</t>
        </is>
      </c>
      <c r="E340" s="2" t="inlineStr">
        <is>
          <t>2038063864008</t>
        </is>
      </c>
      <c r="F340" s="2">
        <v>0</v>
      </c>
      <c r="G340" s="2">
        <v>1</v>
      </c>
      <c r="H340" s="2">
        <v>0</v>
      </c>
      <c r="I340" s="2" t="inlineStr">
        <is>
          <t>750</t>
        </is>
      </c>
      <c r="J340" s="4"/>
      <c r="K340" s="2">
        <v>0</v>
      </c>
      <c r="L340" s="6"/>
      <c r="M340" s="2" t="str">
        <f>IF(J340="",ROUND(I340*(1-IF(ISBLANK(L340),K340,L340)/100),2),ROUND(J340*(1-IF(ISBLANK(L340),K340,L340)/100),2))</f>
      </c>
      <c r="N340" s="7" t="str">
        <f>IF(NOT(AND(J340="",L340="")),IF(OR(AND(L340&lt;&gt;"",NOT(ISNUMBER(L340))),IFERROR(MOD(L340,1),1)&gt;0,AND(ISNUMBER(L340),OR(L340&lt;0,L340&gt;95))),"Введите целое число от 0 до 95",IF(OR(AND(J340&lt;&gt;"",NOT(ISNUMBER(J340))),IFERROR(MOD(J340,1),1)&gt;0,AND(ISNUMBER(J340),OR(J340&lt;50,J340&gt;20000000))),"Введите целое число от 50 до 20000000",IF(NOT(ABS(IFERROR(VALUE(LEFT(M340,FIND("-",M340)-1)),M340)*100-(5000+2000000000)/2)&lt;=ABS(5000-2000000000)/2),"Цена со скидкой должна быть от 50 до 20000000",IF(IFERROR(VALUE(LEFT(M340,FIND("-",M340)-1)),M340)*210&lt;75000,"Вы уменьшили цену в несколько раз, товар попадет в карантин цен","")))),"")</f>
      </c>
    </row>
    <row r="341">
      <c r="A341" s="2" t="inlineStr">
        <is>
          <t>AVANTECH</t>
        </is>
      </c>
      <c r="B341" s="2" t="inlineStr">
        <is>
          <t>Ремни приводные</t>
        </is>
      </c>
      <c r="C341" s="2">
        <v>103235571</v>
      </c>
      <c r="D341" s="2" t="inlineStr">
        <is>
          <t>RIR-Avantech-6PK2137</t>
        </is>
      </c>
      <c r="E341" s="2" t="inlineStr">
        <is>
          <t>2036843753733</t>
        </is>
      </c>
      <c r="F341" s="2">
        <v>0</v>
      </c>
      <c r="G341" s="2">
        <v>0</v>
      </c>
      <c r="H341" s="2">
        <v>0</v>
      </c>
      <c r="I341" s="2" t="inlineStr">
        <is>
          <t>1800</t>
        </is>
      </c>
      <c r="J341" s="4"/>
      <c r="K341" s="2">
        <v>0</v>
      </c>
      <c r="L341" s="6"/>
      <c r="M341" s="2" t="str">
        <f>IF(J341="",ROUND(I341*(1-IF(ISBLANK(L341),K341,L341)/100),2),ROUND(J341*(1-IF(ISBLANK(L341),K341,L341)/100),2))</f>
      </c>
      <c r="N341" s="7" t="str">
        <f>IF(NOT(AND(J341="",L341="")),IF(OR(AND(L341&lt;&gt;"",NOT(ISNUMBER(L341))),IFERROR(MOD(L341,1),1)&gt;0,AND(ISNUMBER(L341),OR(L341&lt;0,L341&gt;95))),"Введите целое число от 0 до 95",IF(OR(AND(J341&lt;&gt;"",NOT(ISNUMBER(J341))),IFERROR(MOD(J341,1),1)&gt;0,AND(ISNUMBER(J341),OR(J341&lt;50,J341&gt;20000000))),"Введите целое число от 50 до 20000000",IF(NOT(ABS(IFERROR(VALUE(LEFT(M341,FIND("-",M341)-1)),M341)*100-(5000+2000000000)/2)&lt;=ABS(5000-2000000000)/2),"Цена со скидкой должна быть от 50 до 20000000",IF(IFERROR(VALUE(LEFT(M341,FIND("-",M341)-1)),M341)*210&lt;180000,"Вы уменьшили цену в несколько раз, товар попадет в карантин цен","")))),"")</f>
      </c>
    </row>
    <row r="342">
      <c r="A342" s="2" t="inlineStr">
        <is>
          <t>NORDFIL</t>
        </is>
      </c>
      <c r="B342" s="2" t="inlineStr">
        <is>
          <t>Фильтры салонные</t>
        </is>
      </c>
      <c r="C342" s="2">
        <v>226293312</v>
      </c>
      <c r="D342" s="2" t="inlineStr">
        <is>
          <t>RIR-CN1006K</t>
        </is>
      </c>
      <c r="E342" s="2" t="inlineStr">
        <is>
          <t>2039876474934</t>
        </is>
      </c>
      <c r="F342" s="2">
        <v>0</v>
      </c>
      <c r="G342" s="2">
        <v>1</v>
      </c>
      <c r="H342" s="2" t="inlineStr">
        <is>
          <t/>
        </is>
      </c>
      <c r="I342" s="2" t="inlineStr">
        <is>
          <t>530</t>
        </is>
      </c>
      <c r="J342" s="4"/>
      <c r="K342" s="2">
        <v>8</v>
      </c>
      <c r="L342" s="6"/>
      <c r="M342" s="2" t="str">
        <f>IF(J342="",ROUND(I342*(1-IF(ISBLANK(L342),K342,L342)/100),2),ROUND(J342*(1-IF(ISBLANK(L342),K342,L342)/100),2))</f>
      </c>
      <c r="N342" s="7" t="str">
        <f>IF(NOT(AND(J342="",L342="")),IF(OR(AND(L342&lt;&gt;"",NOT(ISNUMBER(L342))),IFERROR(MOD(L342,1),1)&gt;0,AND(ISNUMBER(L342),OR(L342&lt;0,L342&gt;95))),"Введите целое число от 0 до 95",IF(OR(AND(J342&lt;&gt;"",NOT(ISNUMBER(J342))),IFERROR(MOD(J342,1),1)&gt;0,AND(ISNUMBER(J342),OR(J342&lt;50,J342&gt;20000000))),"Введите целое число от 50 до 20000000",IF(NOT(ABS(IFERROR(VALUE(LEFT(M342,FIND("-",M342)-1)),M342)*100-(5000+2000000000)/2)&lt;=ABS(5000-2000000000)/2),"Цена со скидкой должна быть от 50 до 20000000",IF(IFERROR(VALUE(LEFT(M342,FIND("-",M342)-1)),M342)*210&lt;48760,"Вы уменьшили цену в несколько раз, товар попадет в карантин цен","")))),"")</f>
      </c>
    </row>
    <row r="343">
      <c r="A343" s="2" t="inlineStr">
        <is>
          <t>LYNXAuto</t>
        </is>
      </c>
      <c r="B343" s="2" t="inlineStr">
        <is>
          <t>Фильтры масляные</t>
        </is>
      </c>
      <c r="C343" s="2">
        <v>177173116</v>
      </c>
      <c r="D343" s="2" t="inlineStr">
        <is>
          <t>RIR-LT1033</t>
        </is>
      </c>
      <c r="E343" s="2" t="inlineStr">
        <is>
          <t>2038621097404</t>
        </is>
      </c>
      <c r="F343" s="2">
        <v>0</v>
      </c>
      <c r="G343" s="2">
        <v>0</v>
      </c>
      <c r="H343" s="2" t="inlineStr">
        <is>
          <t/>
        </is>
      </c>
      <c r="I343" s="2" t="inlineStr">
        <is>
          <t>1930</t>
        </is>
      </c>
      <c r="J343" s="4"/>
      <c r="K343" s="2">
        <v>0</v>
      </c>
      <c r="L343" s="6"/>
      <c r="M343" s="2" t="str">
        <f>IF(J343="",ROUND(I343*(1-IF(ISBLANK(L343),K343,L343)/100),2),ROUND(J343*(1-IF(ISBLANK(L343),K343,L343)/100),2))</f>
      </c>
      <c r="N343" s="7" t="str">
        <f>IF(NOT(AND(J343="",L343="")),IF(OR(AND(L343&lt;&gt;"",NOT(ISNUMBER(L343))),IFERROR(MOD(L343,1),1)&gt;0,AND(ISNUMBER(L343),OR(L343&lt;0,L343&gt;95))),"Введите целое число от 0 до 95",IF(OR(AND(J343&lt;&gt;"",NOT(ISNUMBER(J343))),IFERROR(MOD(J343,1),1)&gt;0,AND(ISNUMBER(J343),OR(J343&lt;50,J343&gt;20000000))),"Введите целое число от 50 до 20000000",IF(NOT(ABS(IFERROR(VALUE(LEFT(M343,FIND("-",M343)-1)),M343)*100-(5000+2000000000)/2)&lt;=ABS(5000-2000000000)/2),"Цена со скидкой должна быть от 50 до 20000000",IF(IFERROR(VALUE(LEFT(M343,FIND("-",M343)-1)),M343)*210&lt;193000,"Вы уменьшили цену в несколько раз, товар попадет в карантин цен","")))),"")</f>
      </c>
    </row>
    <row r="344">
      <c r="A344" s="2" t="inlineStr">
        <is>
          <t>CTR</t>
        </is>
      </c>
      <c r="B344" s="2" t="inlineStr">
        <is>
          <t>Наконечники рулевой тяги</t>
        </is>
      </c>
      <c r="C344" s="2">
        <v>103735266</v>
      </c>
      <c r="D344" s="2" t="inlineStr">
        <is>
          <t>RIR-CEKH-47R</t>
        </is>
      </c>
      <c r="E344" s="2" t="inlineStr">
        <is>
          <t>2036859793426</t>
        </is>
      </c>
      <c r="F344" s="2">
        <v>0</v>
      </c>
      <c r="G344" s="2">
        <v>1</v>
      </c>
      <c r="H344" s="2">
        <v>1</v>
      </c>
      <c r="I344" s="2" t="inlineStr">
        <is>
          <t>1900</t>
        </is>
      </c>
      <c r="J344" s="4"/>
      <c r="K344" s="2">
        <v>2</v>
      </c>
      <c r="L344" s="6"/>
      <c r="M344" s="2" t="str">
        <f>IF(J344="",ROUND(I344*(1-IF(ISBLANK(L344),K344,L344)/100),2),ROUND(J344*(1-IF(ISBLANK(L344),K344,L344)/100),2))</f>
      </c>
      <c r="N344" s="7" t="str">
        <f>IF(NOT(AND(J344="",L344="")),IF(OR(AND(L344&lt;&gt;"",NOT(ISNUMBER(L344))),IFERROR(MOD(L344,1),1)&gt;0,AND(ISNUMBER(L344),OR(L344&lt;0,L344&gt;95))),"Введите целое число от 0 до 95",IF(OR(AND(J344&lt;&gt;"",NOT(ISNUMBER(J344))),IFERROR(MOD(J344,1),1)&gt;0,AND(ISNUMBER(J344),OR(J344&lt;50,J344&gt;20000000))),"Введите целое число от 50 до 20000000",IF(NOT(ABS(IFERROR(VALUE(LEFT(M344,FIND("-",M344)-1)),M344)*100-(5000+2000000000)/2)&lt;=ABS(5000-2000000000)/2),"Цена со скидкой должна быть от 50 до 20000000",IF(IFERROR(VALUE(LEFT(M344,FIND("-",M344)-1)),M344)*210&lt;186200,"Вы уменьшили цену в несколько раз, товар попадет в карантин цен","")))),"")</f>
      </c>
    </row>
    <row r="345">
      <c r="A345" s="2" t="inlineStr">
        <is>
          <t>LUZAR</t>
        </is>
      </c>
      <c r="B345" s="2" t="inlineStr">
        <is>
          <t>Насосы водяные</t>
        </is>
      </c>
      <c r="C345" s="2">
        <v>160729913</v>
      </c>
      <c r="D345" s="2" t="inlineStr">
        <is>
          <t>RIR-LWP0822</t>
        </is>
      </c>
      <c r="E345" s="2" t="inlineStr">
        <is>
          <t>2037824072003</t>
        </is>
      </c>
      <c r="F345" s="2">
        <v>0</v>
      </c>
      <c r="G345" s="2">
        <v>0</v>
      </c>
      <c r="H345" s="2" t="inlineStr">
        <is>
          <t/>
        </is>
      </c>
      <c r="I345" s="2" t="inlineStr">
        <is>
          <t>3430</t>
        </is>
      </c>
      <c r="J345" s="4"/>
      <c r="K345" s="2">
        <v>0</v>
      </c>
      <c r="L345" s="6"/>
      <c r="M345" s="2" t="str">
        <f>IF(J345="",ROUND(I345*(1-IF(ISBLANK(L345),K345,L345)/100),2),ROUND(J345*(1-IF(ISBLANK(L345),K345,L345)/100),2))</f>
      </c>
      <c r="N345" s="7" t="str">
        <f>IF(NOT(AND(J345="",L345="")),IF(OR(AND(L345&lt;&gt;"",NOT(ISNUMBER(L345))),IFERROR(MOD(L345,1),1)&gt;0,AND(ISNUMBER(L345),OR(L345&lt;0,L345&gt;95))),"Введите целое число от 0 до 95",IF(OR(AND(J345&lt;&gt;"",NOT(ISNUMBER(J345))),IFERROR(MOD(J345,1),1)&gt;0,AND(ISNUMBER(J345),OR(J345&lt;50,J345&gt;20000000))),"Введите целое число от 50 до 20000000",IF(NOT(ABS(IFERROR(VALUE(LEFT(M345,FIND("-",M345)-1)),M345)*100-(5000+2000000000)/2)&lt;=ABS(5000-2000000000)/2),"Цена со скидкой должна быть от 50 до 20000000",IF(IFERROR(VALUE(LEFT(M345,FIND("-",M345)-1)),M345)*210&lt;343000,"Вы уменьшили цену в несколько раз, товар попадет в карантин цен","")))),"")</f>
      </c>
    </row>
    <row r="346">
      <c r="A346" s="2" t="inlineStr">
        <is>
          <t>Finwhale</t>
        </is>
      </c>
      <c r="B346" s="2" t="inlineStr">
        <is>
          <t>Фильтры масляные</t>
        </is>
      </c>
      <c r="C346" s="2">
        <v>85691983</v>
      </c>
      <c r="D346" s="2" t="inlineStr">
        <is>
          <t>RIR-LF703</t>
        </is>
      </c>
      <c r="E346" s="2" t="inlineStr">
        <is>
          <t>2033569069629</t>
        </is>
      </c>
      <c r="F346" s="2">
        <v>0</v>
      </c>
      <c r="G346" s="2">
        <v>1</v>
      </c>
      <c r="H346" s="2">
        <v>0</v>
      </c>
      <c r="I346" s="2" t="inlineStr">
        <is>
          <t>490</t>
        </is>
      </c>
      <c r="J346" s="4"/>
      <c r="K346" s="2">
        <v>0</v>
      </c>
      <c r="L346" s="6"/>
      <c r="M346" s="2" t="str">
        <f>IF(J346="",ROUND(I346*(1-IF(ISBLANK(L346),K346,L346)/100),2),ROUND(J346*(1-IF(ISBLANK(L346),K346,L346)/100),2))</f>
      </c>
      <c r="N346" s="7" t="str">
        <f>IF(NOT(AND(J346="",L346="")),IF(OR(AND(L346&lt;&gt;"",NOT(ISNUMBER(L346))),IFERROR(MOD(L346,1),1)&gt;0,AND(ISNUMBER(L346),OR(L346&lt;0,L346&gt;95))),"Введите целое число от 0 до 95",IF(OR(AND(J346&lt;&gt;"",NOT(ISNUMBER(J346))),IFERROR(MOD(J346,1),1)&gt;0,AND(ISNUMBER(J346),OR(J346&lt;50,J346&gt;20000000))),"Введите целое число от 50 до 20000000",IF(NOT(ABS(IFERROR(VALUE(LEFT(M346,FIND("-",M346)-1)),M346)*100-(5000+2000000000)/2)&lt;=ABS(5000-2000000000)/2),"Цена со скидкой должна быть от 50 до 20000000",IF(IFERROR(VALUE(LEFT(M346,FIND("-",M346)-1)),M346)*210&lt;49000,"Вы уменьшили цену в несколько раз, товар попадет в карантин цен","")))),"")</f>
      </c>
    </row>
    <row r="347">
      <c r="A347" s="2" t="inlineStr">
        <is>
          <t>GMB</t>
        </is>
      </c>
      <c r="B347" s="2" t="inlineStr">
        <is>
          <t>Рулевое управление</t>
        </is>
      </c>
      <c r="C347" s="2">
        <v>216464494</v>
      </c>
      <c r="D347" s="2" t="inlineStr">
        <is>
          <t>RIR-ST1540</t>
        </is>
      </c>
      <c r="E347" s="2" t="inlineStr">
        <is>
          <t>2039641173673</t>
        </is>
      </c>
      <c r="F347" s="2">
        <v>0</v>
      </c>
      <c r="G347" s="2">
        <v>1</v>
      </c>
      <c r="H347" s="2">
        <v>1</v>
      </c>
      <c r="I347" s="2" t="inlineStr">
        <is>
          <t>780</t>
        </is>
      </c>
      <c r="J347" s="4"/>
      <c r="K347" s="2">
        <v>2</v>
      </c>
      <c r="L347" s="6"/>
      <c r="M347" s="2" t="str">
        <f>IF(J347="",ROUND(I347*(1-IF(ISBLANK(L347),K347,L347)/100),2),ROUND(J347*(1-IF(ISBLANK(L347),K347,L347)/100),2))</f>
      </c>
      <c r="N347" s="7" t="str">
        <f>IF(NOT(AND(J347="",L347="")),IF(OR(AND(L347&lt;&gt;"",NOT(ISNUMBER(L347))),IFERROR(MOD(L347,1),1)&gt;0,AND(ISNUMBER(L347),OR(L347&lt;0,L347&gt;95))),"Введите целое число от 0 до 95",IF(OR(AND(J347&lt;&gt;"",NOT(ISNUMBER(J347))),IFERROR(MOD(J347,1),1)&gt;0,AND(ISNUMBER(J347),OR(J347&lt;50,J347&gt;20000000))),"Введите целое число от 50 до 20000000",IF(NOT(ABS(IFERROR(VALUE(LEFT(M347,FIND("-",M347)-1)),M347)*100-(5000+2000000000)/2)&lt;=ABS(5000-2000000000)/2),"Цена со скидкой должна быть от 50 до 20000000",IF(IFERROR(VALUE(LEFT(M347,FIND("-",M347)-1)),M347)*210&lt;76440,"Вы уменьшили цену в несколько раз, товар попадет в карантин цен","")))),"")</f>
      </c>
    </row>
    <row r="348">
      <c r="A348" s="2" t="inlineStr">
        <is>
          <t>GMB</t>
        </is>
      </c>
      <c r="B348" s="2" t="inlineStr">
        <is>
          <t>Рулевое управление</t>
        </is>
      </c>
      <c r="C348" s="2">
        <v>85941102</v>
      </c>
      <c r="D348" s="2" t="inlineStr">
        <is>
          <t>ST-1539</t>
        </is>
      </c>
      <c r="E348" s="2" t="inlineStr">
        <is>
          <t>2033675021627</t>
        </is>
      </c>
      <c r="F348" s="2">
        <v>0</v>
      </c>
      <c r="G348" s="2">
        <v>1</v>
      </c>
      <c r="H348" s="2">
        <v>1</v>
      </c>
      <c r="I348" s="2" t="inlineStr">
        <is>
          <t>870</t>
        </is>
      </c>
      <c r="J348" s="4"/>
      <c r="K348" s="2">
        <v>2</v>
      </c>
      <c r="L348" s="6"/>
      <c r="M348" s="2" t="str">
        <f>IF(J348="",ROUND(I348*(1-IF(ISBLANK(L348),K348,L348)/100),2),ROUND(J348*(1-IF(ISBLANK(L348),K348,L348)/100),2))</f>
      </c>
      <c r="N348" s="7" t="str">
        <f>IF(NOT(AND(J348="",L348="")),IF(OR(AND(L348&lt;&gt;"",NOT(ISNUMBER(L348))),IFERROR(MOD(L348,1),1)&gt;0,AND(ISNUMBER(L348),OR(L348&lt;0,L348&gt;95))),"Введите целое число от 0 до 95",IF(OR(AND(J348&lt;&gt;"",NOT(ISNUMBER(J348))),IFERROR(MOD(J348,1),1)&gt;0,AND(ISNUMBER(J348),OR(J348&lt;50,J348&gt;20000000))),"Введите целое число от 50 до 20000000",IF(NOT(ABS(IFERROR(VALUE(LEFT(M348,FIND("-",M348)-1)),M348)*100-(5000+2000000000)/2)&lt;=ABS(5000-2000000000)/2),"Цена со скидкой должна быть от 50 до 20000000",IF(IFERROR(VALUE(LEFT(M348,FIND("-",M348)-1)),M348)*210&lt;85260,"Вы уменьшили цену в несколько раз, товар попадет в карантин цен","")))),"")</f>
      </c>
    </row>
    <row r="349">
      <c r="A349" s="2" t="inlineStr">
        <is>
          <t>LYNXauto</t>
        </is>
      </c>
      <c r="B349" s="2" t="inlineStr">
        <is>
          <t>Насосы водяные</t>
        </is>
      </c>
      <c r="C349" s="2">
        <v>160723750</v>
      </c>
      <c r="D349" s="2" t="inlineStr">
        <is>
          <t>RIR-CW0158</t>
        </is>
      </c>
      <c r="E349" s="2" t="inlineStr">
        <is>
          <t>2037823948552</t>
        </is>
      </c>
      <c r="F349" s="2">
        <v>0</v>
      </c>
      <c r="G349" s="2">
        <v>0</v>
      </c>
      <c r="H349" s="2">
        <v>1</v>
      </c>
      <c r="I349" s="2" t="inlineStr">
        <is>
          <t>3000</t>
        </is>
      </c>
      <c r="J349" s="4"/>
      <c r="K349" s="2">
        <v>0</v>
      </c>
      <c r="L349" s="6"/>
      <c r="M349" s="2" t="str">
        <f>IF(J349="",ROUND(I349*(1-IF(ISBLANK(L349),K349,L349)/100),2),ROUND(J349*(1-IF(ISBLANK(L349),K349,L349)/100),2))</f>
      </c>
      <c r="N349" s="7" t="str">
        <f>IF(NOT(AND(J349="",L349="")),IF(OR(AND(L349&lt;&gt;"",NOT(ISNUMBER(L349))),IFERROR(MOD(L349,1),1)&gt;0,AND(ISNUMBER(L349),OR(L349&lt;0,L349&gt;95))),"Введите целое число от 0 до 95",IF(OR(AND(J349&lt;&gt;"",NOT(ISNUMBER(J349))),IFERROR(MOD(J349,1),1)&gt;0,AND(ISNUMBER(J349),OR(J349&lt;50,J349&gt;20000000))),"Введите целое число от 50 до 20000000",IF(NOT(ABS(IFERROR(VALUE(LEFT(M349,FIND("-",M349)-1)),M349)*100-(5000+2000000000)/2)&lt;=ABS(5000-2000000000)/2),"Цена со скидкой должна быть от 50 до 20000000",IF(IFERROR(VALUE(LEFT(M349,FIND("-",M349)-1)),M349)*210&lt;300000,"Вы уменьшили цену в несколько раз, товар попадет в карантин цен","")))),"")</f>
      </c>
    </row>
    <row r="350">
      <c r="A350" s="2" t="inlineStr">
        <is>
          <t>NGK</t>
        </is>
      </c>
      <c r="B350" s="2" t="inlineStr">
        <is>
          <t>Свечи зажигания</t>
        </is>
      </c>
      <c r="C350" s="2">
        <v>110944527</v>
      </c>
      <c r="D350" s="2" t="inlineStr">
        <is>
          <t>LZKR6B-10Ex4</t>
        </is>
      </c>
      <c r="E350" s="2" t="inlineStr">
        <is>
          <t>2037282645627</t>
        </is>
      </c>
      <c r="F350" s="2">
        <v>0</v>
      </c>
      <c r="G350" s="2">
        <v>0</v>
      </c>
      <c r="H350" s="2">
        <v>0</v>
      </c>
      <c r="I350" s="2" t="inlineStr">
        <is>
          <t>2700</t>
        </is>
      </c>
      <c r="J350" s="4"/>
      <c r="K350" s="2">
        <v>0</v>
      </c>
      <c r="L350" s="6"/>
      <c r="M350" s="2" t="str">
        <f>IF(J350="",ROUND(I350*(1-IF(ISBLANK(L350),K350,L350)/100),2),ROUND(J350*(1-IF(ISBLANK(L350),K350,L350)/100),2))</f>
      </c>
      <c r="N350" s="7" t="str">
        <f>IF(NOT(AND(J350="",L350="")),IF(OR(AND(L350&lt;&gt;"",NOT(ISNUMBER(L350))),IFERROR(MOD(L350,1),1)&gt;0,AND(ISNUMBER(L350),OR(L350&lt;0,L350&gt;95))),"Введите целое число от 0 до 95",IF(OR(AND(J350&lt;&gt;"",NOT(ISNUMBER(J350))),IFERROR(MOD(J350,1),1)&gt;0,AND(ISNUMBER(J350),OR(J350&lt;50,J350&gt;20000000))),"Введите целое число от 50 до 20000000",IF(NOT(ABS(IFERROR(VALUE(LEFT(M350,FIND("-",M350)-1)),M350)*100-(5000+2000000000)/2)&lt;=ABS(5000-2000000000)/2),"Цена со скидкой должна быть от 50 до 20000000",IF(IFERROR(VALUE(LEFT(M350,FIND("-",M350)-1)),M350)*210&lt;270000,"Вы уменьшили цену в несколько раз, товар попадет в карантин цен","")))),"")</f>
      </c>
    </row>
    <row r="351">
      <c r="A351" s="2" t="inlineStr">
        <is>
          <t>Filtron</t>
        </is>
      </c>
      <c r="B351" s="2" t="inlineStr">
        <is>
          <t>Фильтры масляные</t>
        </is>
      </c>
      <c r="C351" s="2">
        <v>212972430</v>
      </c>
      <c r="D351" s="2" t="inlineStr">
        <is>
          <t>RIR-OE6624</t>
        </is>
      </c>
      <c r="E351" s="2" t="inlineStr">
        <is>
          <t>2039570144416</t>
        </is>
      </c>
      <c r="F351" s="2">
        <v>0</v>
      </c>
      <c r="G351" s="2">
        <v>1</v>
      </c>
      <c r="H351" s="2" t="inlineStr">
        <is>
          <t/>
        </is>
      </c>
      <c r="I351" s="2" t="inlineStr">
        <is>
          <t>850</t>
        </is>
      </c>
      <c r="J351" s="4"/>
      <c r="K351" s="2">
        <v>6</v>
      </c>
      <c r="L351" s="6"/>
      <c r="M351" s="2" t="str">
        <f>IF(J351="",ROUND(I351*(1-IF(ISBLANK(L351),K351,L351)/100),2),ROUND(J351*(1-IF(ISBLANK(L351),K351,L351)/100),2))</f>
      </c>
      <c r="N351" s="7" t="str">
        <f>IF(NOT(AND(J351="",L351="")),IF(OR(AND(L351&lt;&gt;"",NOT(ISNUMBER(L351))),IFERROR(MOD(L351,1),1)&gt;0,AND(ISNUMBER(L351),OR(L351&lt;0,L351&gt;95))),"Введите целое число от 0 до 95",IF(OR(AND(J351&lt;&gt;"",NOT(ISNUMBER(J351))),IFERROR(MOD(J351,1),1)&gt;0,AND(ISNUMBER(J351),OR(J351&lt;50,J351&gt;20000000))),"Введите целое число от 50 до 20000000",IF(NOT(ABS(IFERROR(VALUE(LEFT(M351,FIND("-",M351)-1)),M351)*100-(5000+2000000000)/2)&lt;=ABS(5000-2000000000)/2),"Цена со скидкой должна быть от 50 до 20000000",IF(IFERROR(VALUE(LEFT(M351,FIND("-",M351)-1)),M351)*210&lt;79900,"Вы уменьшили цену в несколько раз, товар попадет в карантин цен","")))),"")</f>
      </c>
    </row>
    <row r="352">
      <c r="A352" s="2" t="inlineStr">
        <is>
          <t>LYNXAuto</t>
        </is>
      </c>
      <c r="B352" s="2" t="inlineStr">
        <is>
          <t>Шаровые опоры</t>
        </is>
      </c>
      <c r="C352" s="2">
        <v>191953573</v>
      </c>
      <c r="D352" s="2" t="inlineStr">
        <is>
          <t>RIR-C1138LR</t>
        </is>
      </c>
      <c r="E352" s="2" t="inlineStr">
        <is>
          <t>2039055808178</t>
        </is>
      </c>
      <c r="F352" s="2">
        <v>0</v>
      </c>
      <c r="G352" s="2">
        <v>2</v>
      </c>
      <c r="H352" s="2" t="inlineStr">
        <is>
          <t/>
        </is>
      </c>
      <c r="I352" s="2" t="inlineStr">
        <is>
          <t>1050</t>
        </is>
      </c>
      <c r="J352" s="4"/>
      <c r="K352" s="2">
        <v>2</v>
      </c>
      <c r="L352" s="6"/>
      <c r="M352" s="2" t="str">
        <f>IF(J352="",ROUND(I352*(1-IF(ISBLANK(L352),K352,L352)/100),2),ROUND(J352*(1-IF(ISBLANK(L352),K352,L352)/100),2))</f>
      </c>
      <c r="N352" s="7" t="str">
        <f>IF(NOT(AND(J352="",L352="")),IF(OR(AND(L352&lt;&gt;"",NOT(ISNUMBER(L352))),IFERROR(MOD(L352,1),1)&gt;0,AND(ISNUMBER(L352),OR(L352&lt;0,L352&gt;95))),"Введите целое число от 0 до 95",IF(OR(AND(J352&lt;&gt;"",NOT(ISNUMBER(J352))),IFERROR(MOD(J352,1),1)&gt;0,AND(ISNUMBER(J352),OR(J352&lt;50,J352&gt;20000000))),"Введите целое число от 50 до 20000000",IF(NOT(ABS(IFERROR(VALUE(LEFT(M352,FIND("-",M352)-1)),M352)*100-(5000+2000000000)/2)&lt;=ABS(5000-2000000000)/2),"Цена со скидкой должна быть от 50 до 20000000",IF(IFERROR(VALUE(LEFT(M352,FIND("-",M352)-1)),M352)*210&lt;102900,"Вы уменьшили цену в несколько раз, товар попадет в карантин цен","")))),"")</f>
      </c>
    </row>
    <row r="353">
      <c r="A353" s="2" t="inlineStr">
        <is>
          <t>AMD</t>
        </is>
      </c>
      <c r="B353" s="2" t="inlineStr">
        <is>
          <t>Фильтры масляные</t>
        </is>
      </c>
      <c r="C353" s="2">
        <v>178418013</v>
      </c>
      <c r="D353" s="2" t="inlineStr">
        <is>
          <t>RIR-AMDFL718</t>
        </is>
      </c>
      <c r="E353" s="2" t="inlineStr">
        <is>
          <t>2038668321883</t>
        </is>
      </c>
      <c r="F353" s="2">
        <v>0</v>
      </c>
      <c r="G353" s="2">
        <v>1</v>
      </c>
      <c r="H353" s="2">
        <v>1</v>
      </c>
      <c r="I353" s="2" t="inlineStr">
        <is>
          <t>560</t>
        </is>
      </c>
      <c r="J353" s="4"/>
      <c r="K353" s="2">
        <v>2</v>
      </c>
      <c r="L353" s="6"/>
      <c r="M353" s="2" t="str">
        <f>IF(J353="",ROUND(I353*(1-IF(ISBLANK(L353),K353,L353)/100),2),ROUND(J353*(1-IF(ISBLANK(L353),K353,L353)/100),2))</f>
      </c>
      <c r="N353" s="7" t="str">
        <f>IF(NOT(AND(J353="",L353="")),IF(OR(AND(L353&lt;&gt;"",NOT(ISNUMBER(L353))),IFERROR(MOD(L353,1),1)&gt;0,AND(ISNUMBER(L353),OR(L353&lt;0,L353&gt;95))),"Введите целое число от 0 до 95",IF(OR(AND(J353&lt;&gt;"",NOT(ISNUMBER(J353))),IFERROR(MOD(J353,1),1)&gt;0,AND(ISNUMBER(J353),OR(J353&lt;50,J353&gt;20000000))),"Введите целое число от 50 до 20000000",IF(NOT(ABS(IFERROR(VALUE(LEFT(M353,FIND("-",M353)-1)),M353)*100-(5000+2000000000)/2)&lt;=ABS(5000-2000000000)/2),"Цена со скидкой должна быть от 50 до 20000000",IF(IFERROR(VALUE(LEFT(M353,FIND("-",M353)-1)),M353)*210&lt;54879,"Вы уменьшили цену в несколько раз, товар попадет в карантин цен","")))),"")</f>
      </c>
    </row>
    <row r="354">
      <c r="A354" s="2" t="inlineStr">
        <is>
          <t>LYNXauto</t>
        </is>
      </c>
      <c r="B354" s="2" t="inlineStr">
        <is>
          <t>Свечи зажигания</t>
        </is>
      </c>
      <c r="C354" s="2">
        <v>147440929</v>
      </c>
      <c r="D354" s="2" t="inlineStr">
        <is>
          <t>RIR-SP245</t>
        </is>
      </c>
      <c r="E354" s="2" t="inlineStr">
        <is>
          <t>2037493265249</t>
        </is>
      </c>
      <c r="F354" s="2">
        <v>0</v>
      </c>
      <c r="G354" s="2">
        <v>1</v>
      </c>
      <c r="H354" s="2">
        <v>1</v>
      </c>
      <c r="I354" s="2" t="inlineStr">
        <is>
          <t>2475</t>
        </is>
      </c>
      <c r="J354" s="4"/>
      <c r="K354" s="2">
        <v>2</v>
      </c>
      <c r="L354" s="6"/>
      <c r="M354" s="2" t="str">
        <f>IF(J354="",ROUND(I354*(1-IF(ISBLANK(L354),K354,L354)/100),2),ROUND(J354*(1-IF(ISBLANK(L354),K354,L354)/100),2))</f>
      </c>
      <c r="N354" s="7" t="str">
        <f>IF(NOT(AND(J354="",L354="")),IF(OR(AND(L354&lt;&gt;"",NOT(ISNUMBER(L354))),IFERROR(MOD(L354,1),1)&gt;0,AND(ISNUMBER(L354),OR(L354&lt;0,L354&gt;95))),"Введите целое число от 0 до 95",IF(OR(AND(J354&lt;&gt;"",NOT(ISNUMBER(J354))),IFERROR(MOD(J354,1),1)&gt;0,AND(ISNUMBER(J354),OR(J354&lt;50,J354&gt;20000000))),"Введите целое число от 50 до 20000000",IF(NOT(ABS(IFERROR(VALUE(LEFT(M354,FIND("-",M354)-1)),M354)*100-(5000+2000000000)/2)&lt;=ABS(5000-2000000000)/2),"Цена со скидкой должна быть от 50 до 20000000",IF(IFERROR(VALUE(LEFT(M354,FIND("-",M354)-1)),M354)*210&lt;242550,"Вы уменьшили цену в несколько раз, товар попадет в карантин цен","")))),"")</f>
      </c>
    </row>
    <row r="355">
      <c r="A355" s="2" t="inlineStr">
        <is>
          <t>Avantech</t>
        </is>
      </c>
      <c r="B355" s="2" t="inlineStr">
        <is>
          <t>Ремни приводные</t>
        </is>
      </c>
      <c r="C355" s="2">
        <v>174039291</v>
      </c>
      <c r="D355" s="2" t="inlineStr">
        <is>
          <t>4PK1070A</t>
        </is>
      </c>
      <c r="E355" s="2" t="inlineStr">
        <is>
          <t>2038462335208</t>
        </is>
      </c>
      <c r="F355" s="2">
        <v>0</v>
      </c>
      <c r="G355" s="2">
        <v>1</v>
      </c>
      <c r="H355" s="2" t="inlineStr">
        <is>
          <t/>
        </is>
      </c>
      <c r="I355" s="2" t="inlineStr">
        <is>
          <t>440</t>
        </is>
      </c>
      <c r="J355" s="4"/>
      <c r="K355" s="2">
        <v>2</v>
      </c>
      <c r="L355" s="6"/>
      <c r="M355" s="2" t="str">
        <f>IF(J355="",ROUND(I355*(1-IF(ISBLANK(L355),K355,L355)/100),2),ROUND(J355*(1-IF(ISBLANK(L355),K355,L355)/100),2))</f>
      </c>
      <c r="N355" s="7" t="str">
        <f>IF(NOT(AND(J355="",L355="")),IF(OR(AND(L355&lt;&gt;"",NOT(ISNUMBER(L355))),IFERROR(MOD(L355,1),1)&gt;0,AND(ISNUMBER(L355),OR(L355&lt;0,L355&gt;95))),"Введите целое число от 0 до 95",IF(OR(AND(J355&lt;&gt;"",NOT(ISNUMBER(J355))),IFERROR(MOD(J355,1),1)&gt;0,AND(ISNUMBER(J355),OR(J355&lt;50,J355&gt;20000000))),"Введите целое число от 50 до 20000000",IF(NOT(ABS(IFERROR(VALUE(LEFT(M355,FIND("-",M355)-1)),M355)*100-(5000+2000000000)/2)&lt;=ABS(5000-2000000000)/2),"Цена со скидкой должна быть от 50 до 20000000",IF(IFERROR(VALUE(LEFT(M355,FIND("-",M355)-1)),M355)*210&lt;43120,"Вы уменьшили цену в несколько раз, товар попадет в карантин цен","")))),"")</f>
      </c>
    </row>
    <row r="356">
      <c r="A356" s="2" t="inlineStr">
        <is>
          <t>SANGSIN / HI-Q</t>
        </is>
      </c>
      <c r="B356" s="2" t="inlineStr">
        <is>
          <t>Колодки автомобильные</t>
        </is>
      </c>
      <c r="C356" s="2">
        <v>144812388</v>
      </c>
      <c r="D356" s="2" t="inlineStr">
        <is>
          <t>RIR-SP1399A</t>
        </is>
      </c>
      <c r="E356" s="2" t="inlineStr">
        <is>
          <t>2037424175357</t>
        </is>
      </c>
      <c r="F356" s="2">
        <v>0</v>
      </c>
      <c r="G356" s="2">
        <v>1</v>
      </c>
      <c r="H356" s="2">
        <v>1</v>
      </c>
      <c r="I356" s="2" t="inlineStr">
        <is>
          <t>2250</t>
        </is>
      </c>
      <c r="J356" s="4"/>
      <c r="K356" s="2">
        <v>0</v>
      </c>
      <c r="L356" s="6"/>
      <c r="M356" s="2" t="str">
        <f>IF(J356="",ROUND(I356*(1-IF(ISBLANK(L356),K356,L356)/100),2),ROUND(J356*(1-IF(ISBLANK(L356),K356,L356)/100),2))</f>
      </c>
      <c r="N356" s="7" t="str">
        <f>IF(NOT(AND(J356="",L356="")),IF(OR(AND(L356&lt;&gt;"",NOT(ISNUMBER(L356))),IFERROR(MOD(L356,1),1)&gt;0,AND(ISNUMBER(L356),OR(L356&lt;0,L356&gt;95))),"Введите целое число от 0 до 95",IF(OR(AND(J356&lt;&gt;"",NOT(ISNUMBER(J356))),IFERROR(MOD(J356,1),1)&gt;0,AND(ISNUMBER(J356),OR(J356&lt;50,J356&gt;20000000))),"Введите целое число от 50 до 20000000",IF(NOT(ABS(IFERROR(VALUE(LEFT(M356,FIND("-",M356)-1)),M356)*100-(5000+2000000000)/2)&lt;=ABS(5000-2000000000)/2),"Цена со скидкой должна быть от 50 до 20000000",IF(IFERROR(VALUE(LEFT(M356,FIND("-",M356)-1)),M356)*210&lt;225000,"Вы уменьшили цену в несколько раз, товар попадет в карантин цен","")))),"")</f>
      </c>
    </row>
    <row r="357">
      <c r="A357" s="2" t="inlineStr">
        <is>
          <t>MARSHALL Autoparts</t>
        </is>
      </c>
      <c r="B357" s="2" t="inlineStr">
        <is>
          <t>Колодки автомобильные</t>
        </is>
      </c>
      <c r="C357" s="2">
        <v>393854995</v>
      </c>
      <c r="D357" s="2" t="inlineStr">
        <is>
          <t>RIR-M2622106</t>
        </is>
      </c>
      <c r="E357" s="2" t="inlineStr">
        <is>
          <t>2043713006608</t>
        </is>
      </c>
      <c r="F357" s="2">
        <v>0</v>
      </c>
      <c r="G357" s="2">
        <v>1</v>
      </c>
      <c r="H357" s="2" t="inlineStr">
        <is>
          <t/>
        </is>
      </c>
      <c r="I357" s="2" t="inlineStr">
        <is>
          <t>2600</t>
        </is>
      </c>
      <c r="J357" s="4"/>
      <c r="K357" s="2">
        <v>28</v>
      </c>
      <c r="L357" s="6"/>
      <c r="M357" s="2" t="str">
        <f>IF(J357="",ROUND(I357*(1-IF(ISBLANK(L357),K357,L357)/100),2),ROUND(J357*(1-IF(ISBLANK(L357),K357,L357)/100),2))</f>
      </c>
      <c r="N357" s="7" t="str">
        <f>IF(NOT(AND(J357="",L357="")),IF(OR(AND(L357&lt;&gt;"",NOT(ISNUMBER(L357))),IFERROR(MOD(L357,1),1)&gt;0,AND(ISNUMBER(L357),OR(L357&lt;0,L357&gt;95))),"Введите целое число от 0 до 95",IF(OR(AND(J357&lt;&gt;"",NOT(ISNUMBER(J357))),IFERROR(MOD(J357,1),1)&gt;0,AND(ISNUMBER(J357),OR(J357&lt;50,J357&gt;20000000))),"Введите целое число от 50 до 20000000",IF(NOT(ABS(IFERROR(VALUE(LEFT(M357,FIND("-",M357)-1)),M357)*100-(5000+2000000000)/2)&lt;=ABS(5000-2000000000)/2),"Цена со скидкой должна быть от 50 до 20000000",IF(IFERROR(VALUE(LEFT(M357,FIND("-",M357)-1)),M357)*210&lt;187200,"Вы уменьшили цену в несколько раз, товар попадет в карантин цен","")))),"")</f>
      </c>
    </row>
    <row r="358">
      <c r="A358" s="2" t="inlineStr">
        <is>
          <t>CTR</t>
        </is>
      </c>
      <c r="B358" s="2" t="inlineStr">
        <is>
          <t>Наконечники рулевой тяги</t>
        </is>
      </c>
      <c r="C358" s="2">
        <v>151302466</v>
      </c>
      <c r="D358" s="2" t="inlineStr">
        <is>
          <t>RIR-CE0894L</t>
        </is>
      </c>
      <c r="E358" s="2" t="inlineStr">
        <is>
          <t>2037595899090</t>
        </is>
      </c>
      <c r="F358" s="2">
        <v>0</v>
      </c>
      <c r="G358" s="2">
        <v>0</v>
      </c>
      <c r="H358" s="2">
        <v>1</v>
      </c>
      <c r="I358" s="2" t="inlineStr">
        <is>
          <t>2350</t>
        </is>
      </c>
      <c r="J358" s="4"/>
      <c r="K358" s="2">
        <v>0</v>
      </c>
      <c r="L358" s="6"/>
      <c r="M358" s="2" t="str">
        <f>IF(J358="",ROUND(I358*(1-IF(ISBLANK(L358),K358,L358)/100),2),ROUND(J358*(1-IF(ISBLANK(L358),K358,L358)/100),2))</f>
      </c>
      <c r="N358" s="7" t="str">
        <f>IF(NOT(AND(J358="",L358="")),IF(OR(AND(L358&lt;&gt;"",NOT(ISNUMBER(L358))),IFERROR(MOD(L358,1),1)&gt;0,AND(ISNUMBER(L358),OR(L358&lt;0,L358&gt;95))),"Введите целое число от 0 до 95",IF(OR(AND(J358&lt;&gt;"",NOT(ISNUMBER(J358))),IFERROR(MOD(J358,1),1)&gt;0,AND(ISNUMBER(J358),OR(J358&lt;50,J358&gt;20000000))),"Введите целое число от 50 до 20000000",IF(NOT(ABS(IFERROR(VALUE(LEFT(M358,FIND("-",M358)-1)),M358)*100-(5000+2000000000)/2)&lt;=ABS(5000-2000000000)/2),"Цена со скидкой должна быть от 50 до 20000000",IF(IFERROR(VALUE(LEFT(M358,FIND("-",M358)-1)),M358)*210&lt;235000,"Вы уменьшили цену в несколько раз, товар попадет в карантин цен","")))),"")</f>
      </c>
    </row>
    <row r="359">
      <c r="A359" s="2" t="inlineStr">
        <is>
          <t>AVANTECH</t>
        </is>
      </c>
      <c r="B359" s="2" t="inlineStr">
        <is>
          <t>Колодки автомобильные</t>
        </is>
      </c>
      <c r="C359" s="2">
        <v>394060235</v>
      </c>
      <c r="D359" s="2" t="inlineStr">
        <is>
          <t>RIR-AV450</t>
        </is>
      </c>
      <c r="E359" s="2" t="inlineStr">
        <is>
          <t>2043716550863</t>
        </is>
      </c>
      <c r="F359" s="2">
        <v>0</v>
      </c>
      <c r="G359" s="2">
        <v>1</v>
      </c>
      <c r="H359" s="2" t="inlineStr">
        <is>
          <t/>
        </is>
      </c>
      <c r="I359" s="2" t="inlineStr">
        <is>
          <t>2300</t>
        </is>
      </c>
      <c r="J359" s="4"/>
      <c r="K359" s="2">
        <v>25</v>
      </c>
      <c r="L359" s="6"/>
      <c r="M359" s="2" t="str">
        <f>IF(J359="",ROUND(I359*(1-IF(ISBLANK(L359),K359,L359)/100),2),ROUND(J359*(1-IF(ISBLANK(L359),K359,L359)/100),2))</f>
      </c>
      <c r="N359" s="7" t="str">
        <f>IF(NOT(AND(J359="",L359="")),IF(OR(AND(L359&lt;&gt;"",NOT(ISNUMBER(L359))),IFERROR(MOD(L359,1),1)&gt;0,AND(ISNUMBER(L359),OR(L359&lt;0,L359&gt;95))),"Введите целое число от 0 до 95",IF(OR(AND(J359&lt;&gt;"",NOT(ISNUMBER(J359))),IFERROR(MOD(J359,1),1)&gt;0,AND(ISNUMBER(J359),OR(J359&lt;50,J359&gt;20000000))),"Введите целое число от 50 до 20000000",IF(NOT(ABS(IFERROR(VALUE(LEFT(M359,FIND("-",M359)-1)),M359)*100-(5000+2000000000)/2)&lt;=ABS(5000-2000000000)/2),"Цена со скидкой должна быть от 50 до 20000000",IF(IFERROR(VALUE(LEFT(M359,FIND("-",M359)-1)),M359)*210&lt;172500,"Вы уменьшили цену в несколько раз, товар попадет в карантин цен","")))),"")</f>
      </c>
    </row>
    <row r="360">
      <c r="A360" s="2" t="inlineStr">
        <is>
          <t>LYNXAuto</t>
        </is>
      </c>
      <c r="B360" s="2" t="inlineStr">
        <is>
          <t>Прокладки клапанной крышки</t>
        </is>
      </c>
      <c r="C360" s="2">
        <v>232984445</v>
      </c>
      <c r="D360" s="2" t="inlineStr">
        <is>
          <t>RIR-SG1057</t>
        </is>
      </c>
      <c r="E360" s="2" t="inlineStr">
        <is>
          <t>2040079204341</t>
        </is>
      </c>
      <c r="F360" s="2">
        <v>0</v>
      </c>
      <c r="G360" s="2">
        <v>1</v>
      </c>
      <c r="H360" s="2">
        <v>1</v>
      </c>
      <c r="I360" s="2" t="inlineStr">
        <is>
          <t>1160</t>
        </is>
      </c>
      <c r="J360" s="4"/>
      <c r="K360" s="2">
        <v>2</v>
      </c>
      <c r="L360" s="6"/>
      <c r="M360" s="2" t="str">
        <f>IF(J360="",ROUND(I360*(1-IF(ISBLANK(L360),K360,L360)/100),2),ROUND(J360*(1-IF(ISBLANK(L360),K360,L360)/100),2))</f>
      </c>
      <c r="N360" s="7" t="str">
        <f>IF(NOT(AND(J360="",L360="")),IF(OR(AND(L360&lt;&gt;"",NOT(ISNUMBER(L360))),IFERROR(MOD(L360,1),1)&gt;0,AND(ISNUMBER(L360),OR(L360&lt;0,L360&gt;95))),"Введите целое число от 0 до 95",IF(OR(AND(J360&lt;&gt;"",NOT(ISNUMBER(J360))),IFERROR(MOD(J360,1),1)&gt;0,AND(ISNUMBER(J360),OR(J360&lt;50,J360&gt;20000000))),"Введите целое число от 50 до 20000000",IF(NOT(ABS(IFERROR(VALUE(LEFT(M360,FIND("-",M360)-1)),M360)*100-(5000+2000000000)/2)&lt;=ABS(5000-2000000000)/2),"Цена со скидкой должна быть от 50 до 20000000",IF(IFERROR(VALUE(LEFT(M360,FIND("-",M360)-1)),M360)*210&lt;113680,"Вы уменьшили цену в несколько раз, товар попадет в карантин цен","")))),"")</f>
      </c>
    </row>
    <row r="361">
      <c r="A361" s="2" t="inlineStr">
        <is>
          <t>SANGSIN / HI-Q</t>
        </is>
      </c>
      <c r="B361" s="2" t="inlineStr">
        <is>
          <t>Колодки автомобильные</t>
        </is>
      </c>
      <c r="C361" s="2">
        <v>154971182</v>
      </c>
      <c r="D361" s="2" t="inlineStr">
        <is>
          <t>RIR-SP1399</t>
        </is>
      </c>
      <c r="E361" s="2" t="inlineStr">
        <is>
          <t>2037672660803</t>
        </is>
      </c>
      <c r="F361" s="2">
        <v>0</v>
      </c>
      <c r="G361" s="2">
        <v>1</v>
      </c>
      <c r="H361" s="2">
        <v>1</v>
      </c>
      <c r="I361" s="2" t="inlineStr">
        <is>
          <t>1950</t>
        </is>
      </c>
      <c r="J361" s="4"/>
      <c r="K361" s="2">
        <v>2</v>
      </c>
      <c r="L361" s="6"/>
      <c r="M361" s="2" t="str">
        <f>IF(J361="",ROUND(I361*(1-IF(ISBLANK(L361),K361,L361)/100),2),ROUND(J361*(1-IF(ISBLANK(L361),K361,L361)/100),2))</f>
      </c>
      <c r="N361" s="7" t="str">
        <f>IF(NOT(AND(J361="",L361="")),IF(OR(AND(L361&lt;&gt;"",NOT(ISNUMBER(L361))),IFERROR(MOD(L361,1),1)&gt;0,AND(ISNUMBER(L361),OR(L361&lt;0,L361&gt;95))),"Введите целое число от 0 до 95",IF(OR(AND(J361&lt;&gt;"",NOT(ISNUMBER(J361))),IFERROR(MOD(J361,1),1)&gt;0,AND(ISNUMBER(J361),OR(J361&lt;50,J361&gt;20000000))),"Введите целое число от 50 до 20000000",IF(NOT(ABS(IFERROR(VALUE(LEFT(M361,FIND("-",M361)-1)),M361)*100-(5000+2000000000)/2)&lt;=ABS(5000-2000000000)/2),"Цена со скидкой должна быть от 50 до 20000000",IF(IFERROR(VALUE(LEFT(M361,FIND("-",M361)-1)),M361)*210&lt;191100,"Вы уменьшили цену в несколько раз, товар попадет в карантин цен","")))),"")</f>
      </c>
    </row>
    <row r="362">
      <c r="A362" s="2" t="inlineStr">
        <is>
          <t>MAHLE</t>
        </is>
      </c>
      <c r="B362" s="2" t="inlineStr">
        <is>
          <t>Фильтры масляные</t>
        </is>
      </c>
      <c r="C362" s="2">
        <v>161681231</v>
      </c>
      <c r="D362" s="2" t="inlineStr">
        <is>
          <t>RIR-OC384</t>
        </is>
      </c>
      <c r="E362" s="2" t="inlineStr">
        <is>
          <t>2037857553968</t>
        </is>
      </c>
      <c r="F362" s="2">
        <v>0</v>
      </c>
      <c r="G362" s="2">
        <v>0</v>
      </c>
      <c r="H362" s="2">
        <v>1</v>
      </c>
      <c r="I362" s="2" t="inlineStr">
        <is>
          <t>950</t>
        </is>
      </c>
      <c r="J362" s="4"/>
      <c r="K362" s="2">
        <v>10</v>
      </c>
      <c r="L362" s="6"/>
      <c r="M362" s="2" t="str">
        <f>IF(J362="",ROUND(I362*(1-IF(ISBLANK(L362),K362,L362)/100),2),ROUND(J362*(1-IF(ISBLANK(L362),K362,L362)/100),2))</f>
      </c>
      <c r="N362" s="7" t="str">
        <f>IF(NOT(AND(J362="",L362="")),IF(OR(AND(L362&lt;&gt;"",NOT(ISNUMBER(L362))),IFERROR(MOD(L362,1),1)&gt;0,AND(ISNUMBER(L362),OR(L362&lt;0,L362&gt;95))),"Введите целое число от 0 до 95",IF(OR(AND(J362&lt;&gt;"",NOT(ISNUMBER(J362))),IFERROR(MOD(J362,1),1)&gt;0,AND(ISNUMBER(J362),OR(J362&lt;50,J362&gt;20000000))),"Введите целое число от 50 до 20000000",IF(NOT(ABS(IFERROR(VALUE(LEFT(M362,FIND("-",M362)-1)),M362)*100-(5000+2000000000)/2)&lt;=ABS(5000-2000000000)/2),"Цена со скидкой должна быть от 50 до 20000000",IF(IFERROR(VALUE(LEFT(M362,FIND("-",M362)-1)),M362)*210&lt;85500,"Вы уменьшили цену в несколько раз, товар попадет в карантин цен","")))),"")</f>
      </c>
    </row>
    <row r="363">
      <c r="A363" s="2" t="inlineStr">
        <is>
          <t>AMD</t>
        </is>
      </c>
      <c r="B363" s="2" t="inlineStr">
        <is>
          <t>Фильтры топливные</t>
        </is>
      </c>
      <c r="C363" s="2">
        <v>111312877</v>
      </c>
      <c r="D363" s="2" t="inlineStr">
        <is>
          <t>RIR-AMDFF45</t>
        </is>
      </c>
      <c r="E363" s="2" t="inlineStr">
        <is>
          <t>2037766185625</t>
        </is>
      </c>
      <c r="F363" s="2">
        <v>0</v>
      </c>
      <c r="G363" s="2">
        <v>1</v>
      </c>
      <c r="H363" s="2">
        <v>0</v>
      </c>
      <c r="I363" s="2" t="inlineStr">
        <is>
          <t>1250</t>
        </is>
      </c>
      <c r="J363" s="4"/>
      <c r="K363" s="2">
        <v>0</v>
      </c>
      <c r="L363" s="6"/>
      <c r="M363" s="2" t="str">
        <f>IF(J363="",ROUND(I363*(1-IF(ISBLANK(L363),K363,L363)/100),2),ROUND(J363*(1-IF(ISBLANK(L363),K363,L363)/100),2))</f>
      </c>
      <c r="N363" s="7" t="str">
        <f>IF(NOT(AND(J363="",L363="")),IF(OR(AND(L363&lt;&gt;"",NOT(ISNUMBER(L363))),IFERROR(MOD(L363,1),1)&gt;0,AND(ISNUMBER(L363),OR(L363&lt;0,L363&gt;95))),"Введите целое число от 0 до 95",IF(OR(AND(J363&lt;&gt;"",NOT(ISNUMBER(J363))),IFERROR(MOD(J363,1),1)&gt;0,AND(ISNUMBER(J363),OR(J363&lt;50,J363&gt;20000000))),"Введите целое число от 50 до 20000000",IF(NOT(ABS(IFERROR(VALUE(LEFT(M363,FIND("-",M363)-1)),M363)*100-(5000+2000000000)/2)&lt;=ABS(5000-2000000000)/2),"Цена со скидкой должна быть от 50 до 20000000",IF(IFERROR(VALUE(LEFT(M363,FIND("-",M363)-1)),M363)*210&lt;125000,"Вы уменьшили цену в несколько раз, товар попадет в карантин цен","")))),"")</f>
      </c>
    </row>
    <row r="364">
      <c r="A364" s="2" t="inlineStr">
        <is>
          <t>Masuma</t>
        </is>
      </c>
      <c r="B364" s="2" t="inlineStr">
        <is>
          <t>Фильтры масляные</t>
        </is>
      </c>
      <c r="C364" s="2">
        <v>164609697</v>
      </c>
      <c r="D364" s="2" t="inlineStr">
        <is>
          <t>RIR-MFT1044</t>
        </is>
      </c>
      <c r="E364" s="2" t="inlineStr">
        <is>
          <t>2037985432913</t>
        </is>
      </c>
      <c r="F364" s="2">
        <v>0</v>
      </c>
      <c r="G364" s="2">
        <v>1</v>
      </c>
      <c r="H364" s="2">
        <v>1</v>
      </c>
      <c r="I364" s="2" t="inlineStr">
        <is>
          <t>1300</t>
        </is>
      </c>
      <c r="J364" s="4"/>
      <c r="K364" s="2">
        <v>0</v>
      </c>
      <c r="L364" s="6"/>
      <c r="M364" s="2" t="str">
        <f>IF(J364="",ROUND(I364*(1-IF(ISBLANK(L364),K364,L364)/100),2),ROUND(J364*(1-IF(ISBLANK(L364),K364,L364)/100),2))</f>
      </c>
      <c r="N364" s="7" t="str">
        <f>IF(NOT(AND(J364="",L364="")),IF(OR(AND(L364&lt;&gt;"",NOT(ISNUMBER(L364))),IFERROR(MOD(L364,1),1)&gt;0,AND(ISNUMBER(L364),OR(L364&lt;0,L364&gt;95))),"Введите целое число от 0 до 95",IF(OR(AND(J364&lt;&gt;"",NOT(ISNUMBER(J364))),IFERROR(MOD(J364,1),1)&gt;0,AND(ISNUMBER(J364),OR(J364&lt;50,J364&gt;20000000))),"Введите целое число от 50 до 20000000",IF(NOT(ABS(IFERROR(VALUE(LEFT(M364,FIND("-",M364)-1)),M364)*100-(5000+2000000000)/2)&lt;=ABS(5000-2000000000)/2),"Цена со скидкой должна быть от 50 до 20000000",IF(IFERROR(VALUE(LEFT(M364,FIND("-",M364)-1)),M364)*210&lt;130000,"Вы уменьшили цену в несколько раз, товар попадет в карантин цен","")))),"")</f>
      </c>
    </row>
    <row r="365">
      <c r="A365" s="2" t="inlineStr">
        <is>
          <t>SUN</t>
        </is>
      </c>
      <c r="B365" s="2" t="inlineStr">
        <is>
          <t>Ремни приводные</t>
        </is>
      </c>
      <c r="C365" s="2">
        <v>85978743</v>
      </c>
      <c r="D365" s="2" t="inlineStr">
        <is>
          <t>4PK1720</t>
        </is>
      </c>
      <c r="E365" s="2" t="inlineStr">
        <is>
          <t>2033698164721</t>
        </is>
      </c>
      <c r="F365" s="2">
        <v>0</v>
      </c>
      <c r="G365" s="2">
        <v>5</v>
      </c>
      <c r="H365" s="2">
        <v>0</v>
      </c>
      <c r="I365" s="2" t="inlineStr">
        <is>
          <t>740</t>
        </is>
      </c>
      <c r="J365" s="4"/>
      <c r="K365" s="2">
        <v>2</v>
      </c>
      <c r="L365" s="6"/>
      <c r="M365" s="2" t="str">
        <f>IF(J365="",ROUND(I365*(1-IF(ISBLANK(L365),K365,L365)/100),2),ROUND(J365*(1-IF(ISBLANK(L365),K365,L365)/100),2))</f>
      </c>
      <c r="N365" s="7" t="str">
        <f>IF(NOT(AND(J365="",L365="")),IF(OR(AND(L365&lt;&gt;"",NOT(ISNUMBER(L365))),IFERROR(MOD(L365,1),1)&gt;0,AND(ISNUMBER(L365),OR(L365&lt;0,L365&gt;95))),"Введите целое число от 0 до 95",IF(OR(AND(J365&lt;&gt;"",NOT(ISNUMBER(J365))),IFERROR(MOD(J365,1),1)&gt;0,AND(ISNUMBER(J365),OR(J365&lt;50,J365&gt;20000000))),"Введите целое число от 50 до 20000000",IF(NOT(ABS(IFERROR(VALUE(LEFT(M365,FIND("-",M365)-1)),M365)*100-(5000+2000000000)/2)&lt;=ABS(5000-2000000000)/2),"Цена со скидкой должна быть от 50 до 20000000",IF(IFERROR(VALUE(LEFT(M365,FIND("-",M365)-1)),M365)*210&lt;72520,"Вы уменьшили цену в несколько раз, товар попадет в карантин цен","")))),"")</f>
      </c>
    </row>
    <row r="366">
      <c r="A366" s="2" t="inlineStr">
        <is>
          <t>Masuma</t>
        </is>
      </c>
      <c r="B366" s="2" t="inlineStr">
        <is>
          <t>Колодки автомобильные</t>
        </is>
      </c>
      <c r="C366" s="2">
        <v>162883417</v>
      </c>
      <c r="D366" s="2" t="inlineStr">
        <is>
          <t>RIR-MS2903</t>
        </is>
      </c>
      <c r="E366" s="2" t="inlineStr">
        <is>
          <t>2037903162816</t>
        </is>
      </c>
      <c r="F366" s="2">
        <v>0</v>
      </c>
      <c r="G366" s="2">
        <v>0</v>
      </c>
      <c r="H366" s="2" t="inlineStr">
        <is>
          <t/>
        </is>
      </c>
      <c r="I366" s="2" t="inlineStr">
        <is>
          <t>2100</t>
        </is>
      </c>
      <c r="J366" s="4"/>
      <c r="K366" s="2">
        <v>0</v>
      </c>
      <c r="L366" s="6"/>
      <c r="M366" s="2" t="str">
        <f>IF(J366="",ROUND(I366*(1-IF(ISBLANK(L366),K366,L366)/100),2),ROUND(J366*(1-IF(ISBLANK(L366),K366,L366)/100),2))</f>
      </c>
      <c r="N366" s="7" t="str">
        <f>IF(NOT(AND(J366="",L366="")),IF(OR(AND(L366&lt;&gt;"",NOT(ISNUMBER(L366))),IFERROR(MOD(L366,1),1)&gt;0,AND(ISNUMBER(L366),OR(L366&lt;0,L366&gt;95))),"Введите целое число от 0 до 95",IF(OR(AND(J366&lt;&gt;"",NOT(ISNUMBER(J366))),IFERROR(MOD(J366,1),1)&gt;0,AND(ISNUMBER(J366),OR(J366&lt;50,J366&gt;20000000))),"Введите целое число от 50 до 20000000",IF(NOT(ABS(IFERROR(VALUE(LEFT(M366,FIND("-",M366)-1)),M366)*100-(5000+2000000000)/2)&lt;=ABS(5000-2000000000)/2),"Цена со скидкой должна быть от 50 до 20000000",IF(IFERROR(VALUE(LEFT(M366,FIND("-",M366)-1)),M366)*210&lt;210000,"Вы уменьшили цену в несколько раз, товар попадет в карантин цен","")))),"")</f>
      </c>
    </row>
    <row r="367">
      <c r="A367" s="2" t="inlineStr">
        <is>
          <t>LYNXAUTO</t>
        </is>
      </c>
      <c r="B367" s="2" t="inlineStr">
        <is>
          <t>Фильтры масляные</t>
        </is>
      </c>
      <c r="C367" s="2">
        <v>312834100</v>
      </c>
      <c r="D367" s="2" t="inlineStr">
        <is>
          <t>RIR-LC171</t>
        </is>
      </c>
      <c r="E367" s="2" t="inlineStr">
        <is>
          <t>2042498770704</t>
        </is>
      </c>
      <c r="F367" s="2">
        <v>0</v>
      </c>
      <c r="G367" s="2">
        <v>1</v>
      </c>
      <c r="H367" s="2" t="inlineStr">
        <is>
          <t/>
        </is>
      </c>
      <c r="I367" s="2" t="inlineStr">
        <is>
          <t>630</t>
        </is>
      </c>
      <c r="J367" s="4"/>
      <c r="K367" s="2">
        <v>2</v>
      </c>
      <c r="L367" s="6"/>
      <c r="M367" s="2" t="str">
        <f>IF(J367="",ROUND(I367*(1-IF(ISBLANK(L367),K367,L367)/100),2),ROUND(J367*(1-IF(ISBLANK(L367),K367,L367)/100),2))</f>
      </c>
      <c r="N367" s="7" t="str">
        <f>IF(NOT(AND(J367="",L367="")),IF(OR(AND(L367&lt;&gt;"",NOT(ISNUMBER(L367))),IFERROR(MOD(L367,1),1)&gt;0,AND(ISNUMBER(L367),OR(L367&lt;0,L367&gt;95))),"Введите целое число от 0 до 95",IF(OR(AND(J367&lt;&gt;"",NOT(ISNUMBER(J367))),IFERROR(MOD(J367,1),1)&gt;0,AND(ISNUMBER(J367),OR(J367&lt;50,J367&gt;20000000))),"Введите целое число от 50 до 20000000",IF(NOT(ABS(IFERROR(VALUE(LEFT(M367,FIND("-",M367)-1)),M367)*100-(5000+2000000000)/2)&lt;=ABS(5000-2000000000)/2),"Цена со скидкой должна быть от 50 до 20000000",IF(IFERROR(VALUE(LEFT(M367,FIND("-",M367)-1)),M367)*210&lt;61740,"Вы уменьшили цену в несколько раз, товар попадет в карантин цен","")))),"")</f>
      </c>
    </row>
    <row r="368">
      <c r="A368" s="2" t="inlineStr">
        <is>
          <t>CWORKS</t>
        </is>
      </c>
      <c r="B368" s="2" t="inlineStr">
        <is>
          <t>Фильтры масляные</t>
        </is>
      </c>
      <c r="C368" s="2">
        <v>230588762</v>
      </c>
      <c r="D368" s="2" t="inlineStr">
        <is>
          <t>RIR-B19CR1036</t>
        </is>
      </c>
      <c r="E368" s="2" t="inlineStr">
        <is>
          <t>2039971661536</t>
        </is>
      </c>
      <c r="F368" s="2">
        <v>0</v>
      </c>
      <c r="G368" s="2">
        <v>1</v>
      </c>
      <c r="H368" s="2">
        <v>1</v>
      </c>
      <c r="I368" s="2" t="inlineStr">
        <is>
          <t>1020</t>
        </is>
      </c>
      <c r="J368" s="4"/>
      <c r="K368" s="2">
        <v>0</v>
      </c>
      <c r="L368" s="6"/>
      <c r="M368" s="2" t="str">
        <f>IF(J368="",ROUND(I368*(1-IF(ISBLANK(L368),K368,L368)/100),2),ROUND(J368*(1-IF(ISBLANK(L368),K368,L368)/100),2))</f>
      </c>
      <c r="N368" s="7" t="str">
        <f>IF(NOT(AND(J368="",L368="")),IF(OR(AND(L368&lt;&gt;"",NOT(ISNUMBER(L368))),IFERROR(MOD(L368,1),1)&gt;0,AND(ISNUMBER(L368),OR(L368&lt;0,L368&gt;95))),"Введите целое число от 0 до 95",IF(OR(AND(J368&lt;&gt;"",NOT(ISNUMBER(J368))),IFERROR(MOD(J368,1),1)&gt;0,AND(ISNUMBER(J368),OR(J368&lt;50,J368&gt;20000000))),"Введите целое число от 50 до 20000000",IF(NOT(ABS(IFERROR(VALUE(LEFT(M368,FIND("-",M368)-1)),M368)*100-(5000+2000000000)/2)&lt;=ABS(5000-2000000000)/2),"Цена со скидкой должна быть от 50 до 20000000",IF(IFERROR(VALUE(LEFT(M368,FIND("-",M368)-1)),M368)*210&lt;102000,"Вы уменьшили цену в несколько раз, товар попадет в карантин цен","")))),"")</f>
      </c>
    </row>
    <row r="369">
      <c r="A369" s="2" t="inlineStr">
        <is>
          <t>Avantech</t>
        </is>
      </c>
      <c r="B369" s="2" t="inlineStr">
        <is>
          <t>Ремни приводные</t>
        </is>
      </c>
      <c r="C369" s="2">
        <v>174041156</v>
      </c>
      <c r="D369" s="2" t="inlineStr">
        <is>
          <t>4PK1720A</t>
        </is>
      </c>
      <c r="E369" s="2" t="inlineStr">
        <is>
          <t>2038462383766</t>
        </is>
      </c>
      <c r="F369" s="2">
        <v>0</v>
      </c>
      <c r="G369" s="2">
        <v>5</v>
      </c>
      <c r="H369" s="2" t="inlineStr">
        <is>
          <t/>
        </is>
      </c>
      <c r="I369" s="2" t="inlineStr">
        <is>
          <t>450</t>
        </is>
      </c>
      <c r="J369" s="4"/>
      <c r="K369" s="2">
        <v>2</v>
      </c>
      <c r="L369" s="6"/>
      <c r="M369" s="2" t="str">
        <f>IF(J369="",ROUND(I369*(1-IF(ISBLANK(L369),K369,L369)/100),2),ROUND(J369*(1-IF(ISBLANK(L369),K369,L369)/100),2))</f>
      </c>
      <c r="N369" s="7" t="str">
        <f>IF(NOT(AND(J369="",L369="")),IF(OR(AND(L369&lt;&gt;"",NOT(ISNUMBER(L369))),IFERROR(MOD(L369,1),1)&gt;0,AND(ISNUMBER(L369),OR(L369&lt;0,L369&gt;95))),"Введите целое число от 0 до 95",IF(OR(AND(J369&lt;&gt;"",NOT(ISNUMBER(J369))),IFERROR(MOD(J369,1),1)&gt;0,AND(ISNUMBER(J369),OR(J369&lt;50,J369&gt;20000000))),"Введите целое число от 50 до 20000000",IF(NOT(ABS(IFERROR(VALUE(LEFT(M369,FIND("-",M369)-1)),M369)*100-(5000+2000000000)/2)&lt;=ABS(5000-2000000000)/2),"Цена со скидкой должна быть от 50 до 20000000",IF(IFERROR(VALUE(LEFT(M369,FIND("-",M369)-1)),M369)*210&lt;44100,"Вы уменьшили цену в несколько раз, товар попадет в карантин цен","")))),"")</f>
      </c>
    </row>
    <row r="370">
      <c r="A370" s="2" t="inlineStr">
        <is>
          <t>Zekkert</t>
        </is>
      </c>
      <c r="B370" s="2" t="inlineStr">
        <is>
          <t>Фильтры масляные</t>
        </is>
      </c>
      <c r="C370" s="2">
        <v>232438091</v>
      </c>
      <c r="D370" s="2" t="inlineStr">
        <is>
          <t>RIR-OF4036E</t>
        </is>
      </c>
      <c r="E370" s="2" t="inlineStr">
        <is>
          <t>2040054292950</t>
        </is>
      </c>
      <c r="F370" s="2">
        <v>0</v>
      </c>
      <c r="G370" s="2">
        <v>1</v>
      </c>
      <c r="H370" s="2" t="inlineStr">
        <is>
          <t/>
        </is>
      </c>
      <c r="I370" s="2" t="inlineStr">
        <is>
          <t>430</t>
        </is>
      </c>
      <c r="J370" s="4"/>
      <c r="K370" s="2">
        <v>2</v>
      </c>
      <c r="L370" s="6"/>
      <c r="M370" s="2" t="str">
        <f>IF(J370="",ROUND(I370*(1-IF(ISBLANK(L370),K370,L370)/100),2),ROUND(J370*(1-IF(ISBLANK(L370),K370,L370)/100),2))</f>
      </c>
      <c r="N370" s="7" t="str">
        <f>IF(NOT(AND(J370="",L370="")),IF(OR(AND(L370&lt;&gt;"",NOT(ISNUMBER(L370))),IFERROR(MOD(L370,1),1)&gt;0,AND(ISNUMBER(L370),OR(L370&lt;0,L370&gt;95))),"Введите целое число от 0 до 95",IF(OR(AND(J370&lt;&gt;"",NOT(ISNUMBER(J370))),IFERROR(MOD(J370,1),1)&gt;0,AND(ISNUMBER(J370),OR(J370&lt;50,J370&gt;20000000))),"Введите целое число от 50 до 20000000",IF(NOT(ABS(IFERROR(VALUE(LEFT(M370,FIND("-",M370)-1)),M370)*100-(5000+2000000000)/2)&lt;=ABS(5000-2000000000)/2),"Цена со скидкой должна быть от 50 до 20000000",IF(IFERROR(VALUE(LEFT(M370,FIND("-",M370)-1)),M370)*210&lt;42140,"Вы уменьшили цену в несколько раз, товар попадет в карантин цен","")))),"")</f>
      </c>
    </row>
    <row r="371">
      <c r="A371" s="2" t="inlineStr">
        <is>
          <t>AMD</t>
        </is>
      </c>
      <c r="B371" s="2" t="inlineStr">
        <is>
          <t>Фильтры салонные</t>
        </is>
      </c>
      <c r="C371" s="2">
        <v>160371308</v>
      </c>
      <c r="D371" s="2" t="inlineStr">
        <is>
          <t>RIR-AMDJFC96C</t>
        </is>
      </c>
      <c r="E371" s="2" t="inlineStr">
        <is>
          <t>2037811644756</t>
        </is>
      </c>
      <c r="F371" s="2">
        <v>0</v>
      </c>
      <c r="G371" s="2">
        <v>1</v>
      </c>
      <c r="H371" s="2">
        <v>0</v>
      </c>
      <c r="I371" s="2" t="inlineStr">
        <is>
          <t>600</t>
        </is>
      </c>
      <c r="J371" s="4"/>
      <c r="K371" s="2">
        <v>2</v>
      </c>
      <c r="L371" s="6"/>
      <c r="M371" s="2" t="str">
        <f>IF(J371="",ROUND(I371*(1-IF(ISBLANK(L371),K371,L371)/100),2),ROUND(J371*(1-IF(ISBLANK(L371),K371,L371)/100),2))</f>
      </c>
      <c r="N371" s="7" t="str">
        <f>IF(NOT(AND(J371="",L371="")),IF(OR(AND(L371&lt;&gt;"",NOT(ISNUMBER(L371))),IFERROR(MOD(L371,1),1)&gt;0,AND(ISNUMBER(L371),OR(L371&lt;0,L371&gt;95))),"Введите целое число от 0 до 95",IF(OR(AND(J371&lt;&gt;"",NOT(ISNUMBER(J371))),IFERROR(MOD(J371,1),1)&gt;0,AND(ISNUMBER(J371),OR(J371&lt;50,J371&gt;20000000))),"Введите целое число от 50 до 20000000",IF(NOT(ABS(IFERROR(VALUE(LEFT(M371,FIND("-",M371)-1)),M371)*100-(5000+2000000000)/2)&lt;=ABS(5000-2000000000)/2),"Цена со скидкой должна быть от 50 до 20000000",IF(IFERROR(VALUE(LEFT(M371,FIND("-",M371)-1)),M371)*210&lt;58800,"Вы уменьшили цену в несколько раз, товар попадет в карантин цен","")))),"")</f>
      </c>
    </row>
    <row r="372">
      <c r="A372" s="2" t="inlineStr">
        <is>
          <t>AMD</t>
        </is>
      </c>
      <c r="B372" s="2" t="inlineStr">
        <is>
          <t>Фильтры салонные</t>
        </is>
      </c>
      <c r="C372" s="2">
        <v>159999007</v>
      </c>
      <c r="D372" s="2" t="inlineStr">
        <is>
          <t>RIR-AMDFC753A</t>
        </is>
      </c>
      <c r="E372" s="2" t="inlineStr">
        <is>
          <t>2037791806823</t>
        </is>
      </c>
      <c r="F372" s="2">
        <v>0</v>
      </c>
      <c r="G372" s="2">
        <v>1</v>
      </c>
      <c r="H372" s="2">
        <v>0</v>
      </c>
      <c r="I372" s="2" t="inlineStr">
        <is>
          <t>900</t>
        </is>
      </c>
      <c r="J372" s="4"/>
      <c r="K372" s="2">
        <v>18</v>
      </c>
      <c r="L372" s="6"/>
      <c r="M372" s="2" t="str">
        <f>IF(J372="",ROUND(I372*(1-IF(ISBLANK(L372),K372,L372)/100),2),ROUND(J372*(1-IF(ISBLANK(L372),K372,L372)/100),2))</f>
      </c>
      <c r="N372" s="7" t="str">
        <f>IF(NOT(AND(J372="",L372="")),IF(OR(AND(L372&lt;&gt;"",NOT(ISNUMBER(L372))),IFERROR(MOD(L372,1),1)&gt;0,AND(ISNUMBER(L372),OR(L372&lt;0,L372&gt;95))),"Введите целое число от 0 до 95",IF(OR(AND(J372&lt;&gt;"",NOT(ISNUMBER(J372))),IFERROR(MOD(J372,1),1)&gt;0,AND(ISNUMBER(J372),OR(J372&lt;50,J372&gt;20000000))),"Введите целое число от 50 до 20000000",IF(NOT(ABS(IFERROR(VALUE(LEFT(M372,FIND("-",M372)-1)),M372)*100-(5000+2000000000)/2)&lt;=ABS(5000-2000000000)/2),"Цена со скидкой должна быть от 50 до 20000000",IF(IFERROR(VALUE(LEFT(M372,FIND("-",M372)-1)),M372)*210&lt;73800,"Вы уменьшили цену в несколько раз, товар попадет в карантин цен","")))),"")</f>
      </c>
    </row>
    <row r="373">
      <c r="A373" s="2" t="inlineStr">
        <is>
          <t>LYNXAuto</t>
        </is>
      </c>
      <c r="B373" s="2" t="inlineStr">
        <is>
          <t>Колодки автомобильные</t>
        </is>
      </c>
      <c r="C373" s="2">
        <v>200543462</v>
      </c>
      <c r="D373" s="2" t="inlineStr">
        <is>
          <t>RIR-BD5747</t>
        </is>
      </c>
      <c r="E373" s="2" t="inlineStr">
        <is>
          <t>2039317563555</t>
        </is>
      </c>
      <c r="F373" s="2">
        <v>0</v>
      </c>
      <c r="G373" s="2">
        <v>0</v>
      </c>
      <c r="H373" s="2" t="inlineStr">
        <is>
          <t/>
        </is>
      </c>
      <c r="I373" s="2" t="inlineStr">
        <is>
          <t>2900</t>
        </is>
      </c>
      <c r="J373" s="4"/>
      <c r="K373" s="2">
        <v>0</v>
      </c>
      <c r="L373" s="6"/>
      <c r="M373" s="2" t="str">
        <f>IF(J373="",ROUND(I373*(1-IF(ISBLANK(L373),K373,L373)/100),2),ROUND(J373*(1-IF(ISBLANK(L373),K373,L373)/100),2))</f>
      </c>
      <c r="N373" s="7" t="str">
        <f>IF(NOT(AND(J373="",L373="")),IF(OR(AND(L373&lt;&gt;"",NOT(ISNUMBER(L373))),IFERROR(MOD(L373,1),1)&gt;0,AND(ISNUMBER(L373),OR(L373&lt;0,L373&gt;95))),"Введите целое число от 0 до 95",IF(OR(AND(J373&lt;&gt;"",NOT(ISNUMBER(J373))),IFERROR(MOD(J373,1),1)&gt;0,AND(ISNUMBER(J373),OR(J373&lt;50,J373&gt;20000000))),"Введите целое число от 50 до 20000000",IF(NOT(ABS(IFERROR(VALUE(LEFT(M373,FIND("-",M373)-1)),M373)*100-(5000+2000000000)/2)&lt;=ABS(5000-2000000000)/2),"Цена со скидкой должна быть от 50 до 20000000",IF(IFERROR(VALUE(LEFT(M373,FIND("-",M373)-1)),M373)*210&lt;290000,"Вы уменьшили цену в несколько раз, товар попадет в карантин цен","")))),"")</f>
      </c>
    </row>
    <row r="374">
      <c r="A374" s="2" t="inlineStr">
        <is>
          <t>Sufix</t>
        </is>
      </c>
      <c r="B374" s="2" t="inlineStr">
        <is>
          <t>Фильтры масляные</t>
        </is>
      </c>
      <c r="C374" s="2">
        <v>220367859</v>
      </c>
      <c r="D374" s="2" t="inlineStr">
        <is>
          <t>RIR-SP1028</t>
        </is>
      </c>
      <c r="E374" s="2" t="inlineStr">
        <is>
          <t>2039738587840</t>
        </is>
      </c>
      <c r="F374" s="2">
        <v>0</v>
      </c>
      <c r="G374" s="2">
        <v>1</v>
      </c>
      <c r="H374" s="2" t="inlineStr">
        <is>
          <t/>
        </is>
      </c>
      <c r="I374" s="2" t="inlineStr">
        <is>
          <t>470</t>
        </is>
      </c>
      <c r="J374" s="4"/>
      <c r="K374" s="2">
        <v>5</v>
      </c>
      <c r="L374" s="6"/>
      <c r="M374" s="2" t="str">
        <f>IF(J374="",ROUND(I374*(1-IF(ISBLANK(L374),K374,L374)/100),2),ROUND(J374*(1-IF(ISBLANK(L374),K374,L374)/100),2))</f>
      </c>
      <c r="N374" s="7" t="str">
        <f>IF(NOT(AND(J374="",L374="")),IF(OR(AND(L374&lt;&gt;"",NOT(ISNUMBER(L374))),IFERROR(MOD(L374,1),1)&gt;0,AND(ISNUMBER(L374),OR(L374&lt;0,L374&gt;95))),"Введите целое число от 0 до 95",IF(OR(AND(J374&lt;&gt;"",NOT(ISNUMBER(J374))),IFERROR(MOD(J374,1),1)&gt;0,AND(ISNUMBER(J374),OR(J374&lt;50,J374&gt;20000000))),"Введите целое число от 50 до 20000000",IF(NOT(ABS(IFERROR(VALUE(LEFT(M374,FIND("-",M374)-1)),M374)*100-(5000+2000000000)/2)&lt;=ABS(5000-2000000000)/2),"Цена со скидкой должна быть от 50 до 20000000",IF(IFERROR(VALUE(LEFT(M374,FIND("-",M374)-1)),M374)*210&lt;44650,"Вы уменьшили цену в несколько раз, товар попадет в карантин цен","")))),"")</f>
      </c>
    </row>
    <row r="375">
      <c r="A375" s="2" t="inlineStr">
        <is>
          <t>LYNXAuto</t>
        </is>
      </c>
      <c r="B375" s="2" t="inlineStr">
        <is>
          <t>Свечи зажигания</t>
        </is>
      </c>
      <c r="C375" s="2">
        <v>150259882</v>
      </c>
      <c r="D375" s="2" t="inlineStr">
        <is>
          <t>RIR-SP154</t>
        </is>
      </c>
      <c r="E375" s="2" t="inlineStr">
        <is>
          <t>2037569002686</t>
        </is>
      </c>
      <c r="F375" s="2">
        <v>0</v>
      </c>
      <c r="G375" s="2">
        <v>1</v>
      </c>
      <c r="H375" s="2">
        <v>0</v>
      </c>
      <c r="I375" s="2" t="inlineStr">
        <is>
          <t>1400</t>
        </is>
      </c>
      <c r="J375" s="4"/>
      <c r="K375" s="2">
        <v>4</v>
      </c>
      <c r="L375" s="6"/>
      <c r="M375" s="2" t="str">
        <f>IF(J375="",ROUND(I375*(1-IF(ISBLANK(L375),K375,L375)/100),2),ROUND(J375*(1-IF(ISBLANK(L375),K375,L375)/100),2))</f>
      </c>
      <c r="N375" s="7" t="str">
        <f>IF(NOT(AND(J375="",L375="")),IF(OR(AND(L375&lt;&gt;"",NOT(ISNUMBER(L375))),IFERROR(MOD(L375,1),1)&gt;0,AND(ISNUMBER(L375),OR(L375&lt;0,L375&gt;95))),"Введите целое число от 0 до 95",IF(OR(AND(J375&lt;&gt;"",NOT(ISNUMBER(J375))),IFERROR(MOD(J375,1),1)&gt;0,AND(ISNUMBER(J375),OR(J375&lt;50,J375&gt;20000000))),"Введите целое число от 50 до 20000000",IF(NOT(ABS(IFERROR(VALUE(LEFT(M375,FIND("-",M375)-1)),M375)*100-(5000+2000000000)/2)&lt;=ABS(5000-2000000000)/2),"Цена со скидкой должна быть от 50 до 20000000",IF(IFERROR(VALUE(LEFT(M375,FIND("-",M375)-1)),M375)*210&lt;134400,"Вы уменьшили цену в несколько раз, товар попадет в карантин цен","")))),"")</f>
      </c>
    </row>
    <row r="376">
      <c r="A376" s="2" t="inlineStr">
        <is>
          <t>LYNXauto</t>
        </is>
      </c>
      <c r="B376" s="2" t="inlineStr">
        <is>
          <t>Провода высоковольтные</t>
        </is>
      </c>
      <c r="C376" s="2">
        <v>149923396</v>
      </c>
      <c r="D376" s="2" t="inlineStr">
        <is>
          <t>RIR-SPE6343</t>
        </is>
      </c>
      <c r="E376" s="2" t="inlineStr">
        <is>
          <t>2037558067443</t>
        </is>
      </c>
      <c r="F376" s="2">
        <v>0</v>
      </c>
      <c r="G376" s="2">
        <v>0</v>
      </c>
      <c r="H376" s="2" t="inlineStr">
        <is>
          <t/>
        </is>
      </c>
      <c r="I376" s="2" t="inlineStr">
        <is>
          <t>1350</t>
        </is>
      </c>
      <c r="J376" s="4"/>
      <c r="K376" s="2">
        <v>0</v>
      </c>
      <c r="L376" s="6"/>
      <c r="M376" s="2" t="str">
        <f>IF(J376="",ROUND(I376*(1-IF(ISBLANK(L376),K376,L376)/100),2),ROUND(J376*(1-IF(ISBLANK(L376),K376,L376)/100),2))</f>
      </c>
      <c r="N376" s="7" t="str">
        <f>IF(NOT(AND(J376="",L376="")),IF(OR(AND(L376&lt;&gt;"",NOT(ISNUMBER(L376))),IFERROR(MOD(L376,1),1)&gt;0,AND(ISNUMBER(L376),OR(L376&lt;0,L376&gt;95))),"Введите целое число от 0 до 95",IF(OR(AND(J376&lt;&gt;"",NOT(ISNUMBER(J376))),IFERROR(MOD(J376,1),1)&gt;0,AND(ISNUMBER(J376),OR(J376&lt;50,J376&gt;20000000))),"Введите целое число от 50 до 20000000",IF(NOT(ABS(IFERROR(VALUE(LEFT(M376,FIND("-",M376)-1)),M376)*100-(5000+2000000000)/2)&lt;=ABS(5000-2000000000)/2),"Цена со скидкой должна быть от 50 до 20000000",IF(IFERROR(VALUE(LEFT(M376,FIND("-",M376)-1)),M376)*210&lt;135000,"Вы уменьшили цену в несколько раз, товар попадет в карантин цен","")))),"")</f>
      </c>
    </row>
    <row r="377">
      <c r="A377" s="2" t="inlineStr">
        <is>
          <t>CTR</t>
        </is>
      </c>
      <c r="B377" s="2" t="inlineStr">
        <is>
          <t>Тяги рулевые</t>
        </is>
      </c>
      <c r="C377" s="2">
        <v>117253276</v>
      </c>
      <c r="D377" s="2" t="inlineStr">
        <is>
          <t>RIR-CRKH41R</t>
        </is>
      </c>
      <c r="E377" s="2" t="inlineStr">
        <is>
          <t>2041941299625</t>
        </is>
      </c>
      <c r="F377" s="2">
        <v>0</v>
      </c>
      <c r="G377" s="2">
        <v>0</v>
      </c>
      <c r="H377" s="2">
        <v>1</v>
      </c>
      <c r="I377" s="2" t="inlineStr">
        <is>
          <t>1870</t>
        </is>
      </c>
      <c r="J377" s="4"/>
      <c r="K377" s="2">
        <v>0</v>
      </c>
      <c r="L377" s="6"/>
      <c r="M377" s="2" t="str">
        <f>IF(J377="",ROUND(I377*(1-IF(ISBLANK(L377),K377,L377)/100),2),ROUND(J377*(1-IF(ISBLANK(L377),K377,L377)/100),2))</f>
      </c>
      <c r="N377" s="7" t="str">
        <f>IF(NOT(AND(J377="",L377="")),IF(OR(AND(L377&lt;&gt;"",NOT(ISNUMBER(L377))),IFERROR(MOD(L377,1),1)&gt;0,AND(ISNUMBER(L377),OR(L377&lt;0,L377&gt;95))),"Введите целое число от 0 до 95",IF(OR(AND(J377&lt;&gt;"",NOT(ISNUMBER(J377))),IFERROR(MOD(J377,1),1)&gt;0,AND(ISNUMBER(J377),OR(J377&lt;50,J377&gt;20000000))),"Введите целое число от 50 до 20000000",IF(NOT(ABS(IFERROR(VALUE(LEFT(M377,FIND("-",M377)-1)),M377)*100-(5000+2000000000)/2)&lt;=ABS(5000-2000000000)/2),"Цена со скидкой должна быть от 50 до 20000000",IF(IFERROR(VALUE(LEFT(M377,FIND("-",M377)-1)),M377)*210&lt;187000,"Вы уменьшили цену в несколько раз, товар попадет в карантин цен","")))),"")</f>
      </c>
    </row>
    <row r="378">
      <c r="A378" s="2" t="inlineStr">
        <is>
          <t>LYNXauto</t>
        </is>
      </c>
      <c r="B378" s="2" t="inlineStr">
        <is>
          <t>Провода высоковольтные</t>
        </is>
      </c>
      <c r="C378" s="2">
        <v>149923394</v>
      </c>
      <c r="D378" s="2" t="inlineStr">
        <is>
          <t>RIR-SPC6343</t>
        </is>
      </c>
      <c r="E378" s="2" t="inlineStr">
        <is>
          <t>2037558091752</t>
        </is>
      </c>
      <c r="F378" s="2">
        <v>0</v>
      </c>
      <c r="G378" s="2">
        <v>0</v>
      </c>
      <c r="H378" s="2" t="inlineStr">
        <is>
          <t/>
        </is>
      </c>
      <c r="I378" s="2" t="inlineStr">
        <is>
          <t>2180</t>
        </is>
      </c>
      <c r="J378" s="4"/>
      <c r="K378" s="2">
        <v>0</v>
      </c>
      <c r="L378" s="6"/>
      <c r="M378" s="2" t="str">
        <f>IF(J378="",ROUND(I378*(1-IF(ISBLANK(L378),K378,L378)/100),2),ROUND(J378*(1-IF(ISBLANK(L378),K378,L378)/100),2))</f>
      </c>
      <c r="N378" s="7" t="str">
        <f>IF(NOT(AND(J378="",L378="")),IF(OR(AND(L378&lt;&gt;"",NOT(ISNUMBER(L378))),IFERROR(MOD(L378,1),1)&gt;0,AND(ISNUMBER(L378),OR(L378&lt;0,L378&gt;95))),"Введите целое число от 0 до 95",IF(OR(AND(J378&lt;&gt;"",NOT(ISNUMBER(J378))),IFERROR(MOD(J378,1),1)&gt;0,AND(ISNUMBER(J378),OR(J378&lt;50,J378&gt;20000000))),"Введите целое число от 50 до 20000000",IF(NOT(ABS(IFERROR(VALUE(LEFT(M378,FIND("-",M378)-1)),M378)*100-(5000+2000000000)/2)&lt;=ABS(5000-2000000000)/2),"Цена со скидкой должна быть от 50 до 20000000",IF(IFERROR(VALUE(LEFT(M378,FIND("-",M378)-1)),M378)*210&lt;218000,"Вы уменьшили цену в несколько раз, товар попадет в карантин цен","")))),"")</f>
      </c>
    </row>
    <row r="379">
      <c r="A379" s="2" t="inlineStr">
        <is>
          <t>LivCar</t>
        </is>
      </c>
      <c r="B379" s="2" t="inlineStr">
        <is>
          <t>Фильтры салонные</t>
        </is>
      </c>
      <c r="C379" s="2">
        <v>163806663</v>
      </c>
      <c r="D379" s="2" t="inlineStr">
        <is>
          <t>RIR-LCY00023019S</t>
        </is>
      </c>
      <c r="E379" s="2" t="inlineStr">
        <is>
          <t>2037938676753</t>
        </is>
      </c>
      <c r="F379" s="2">
        <v>0</v>
      </c>
      <c r="G379" s="2">
        <v>1</v>
      </c>
      <c r="H379" s="2">
        <v>1</v>
      </c>
      <c r="I379" s="2" t="inlineStr">
        <is>
          <t>740</t>
        </is>
      </c>
      <c r="J379" s="4"/>
      <c r="K379" s="2">
        <v>5</v>
      </c>
      <c r="L379" s="6"/>
      <c r="M379" s="2" t="str">
        <f>IF(J379="",ROUND(I379*(1-IF(ISBLANK(L379),K379,L379)/100),2),ROUND(J379*(1-IF(ISBLANK(L379),K379,L379)/100),2))</f>
      </c>
      <c r="N379" s="7" t="str">
        <f>IF(NOT(AND(J379="",L379="")),IF(OR(AND(L379&lt;&gt;"",NOT(ISNUMBER(L379))),IFERROR(MOD(L379,1),1)&gt;0,AND(ISNUMBER(L379),OR(L379&lt;0,L379&gt;95))),"Введите целое число от 0 до 95",IF(OR(AND(J379&lt;&gt;"",NOT(ISNUMBER(J379))),IFERROR(MOD(J379,1),1)&gt;0,AND(ISNUMBER(J379),OR(J379&lt;50,J379&gt;20000000))),"Введите целое число от 50 до 20000000",IF(NOT(ABS(IFERROR(VALUE(LEFT(M379,FIND("-",M379)-1)),M379)*100-(5000+2000000000)/2)&lt;=ABS(5000-2000000000)/2),"Цена со скидкой должна быть от 50 до 20000000",IF(IFERROR(VALUE(LEFT(M379,FIND("-",M379)-1)),M379)*210&lt;70300,"Вы уменьшили цену в несколько раз, товар попадет в карантин цен","")))),"")</f>
      </c>
    </row>
    <row r="380">
      <c r="A380" s="2" t="inlineStr">
        <is>
          <t>Cargo</t>
        </is>
      </c>
      <c r="B380" s="2" t="inlineStr">
        <is>
          <t>Катушки зажигания</t>
        </is>
      </c>
      <c r="C380" s="2">
        <v>145451336</v>
      </c>
      <c r="D380" s="2" t="inlineStr">
        <is>
          <t>RIR-150505</t>
        </is>
      </c>
      <c r="E380" s="2" t="inlineStr">
        <is>
          <t>2037440780894</t>
        </is>
      </c>
      <c r="F380" s="2">
        <v>0</v>
      </c>
      <c r="G380" s="2">
        <v>0</v>
      </c>
      <c r="H380" s="2" t="inlineStr">
        <is>
          <t/>
        </is>
      </c>
      <c r="I380" s="2" t="inlineStr">
        <is>
          <t>1950</t>
        </is>
      </c>
      <c r="J380" s="4"/>
      <c r="K380" s="2">
        <v>0</v>
      </c>
      <c r="L380" s="6"/>
      <c r="M380" s="2" t="str">
        <f>IF(J380="",ROUND(I380*(1-IF(ISBLANK(L380),K380,L380)/100),2),ROUND(J380*(1-IF(ISBLANK(L380),K380,L380)/100),2))</f>
      </c>
      <c r="N380" s="7" t="str">
        <f>IF(NOT(AND(J380="",L380="")),IF(OR(AND(L380&lt;&gt;"",NOT(ISNUMBER(L380))),IFERROR(MOD(L380,1),1)&gt;0,AND(ISNUMBER(L380),OR(L380&lt;0,L380&gt;95))),"Введите целое число от 0 до 95",IF(OR(AND(J380&lt;&gt;"",NOT(ISNUMBER(J380))),IFERROR(MOD(J380,1),1)&gt;0,AND(ISNUMBER(J380),OR(J380&lt;50,J380&gt;20000000))),"Введите целое число от 50 до 20000000",IF(NOT(ABS(IFERROR(VALUE(LEFT(M380,FIND("-",M380)-1)),M380)*100-(5000+2000000000)/2)&lt;=ABS(5000-2000000000)/2),"Цена со скидкой должна быть от 50 до 20000000",IF(IFERROR(VALUE(LEFT(M380,FIND("-",M380)-1)),M380)*210&lt;195000,"Вы уменьшили цену в несколько раз, товар попадет в карантин цен","")))),"")</f>
      </c>
    </row>
    <row r="381">
      <c r="A381" s="2" t="inlineStr">
        <is>
          <t>FENOX</t>
        </is>
      </c>
      <c r="B381" s="2" t="inlineStr">
        <is>
          <t>Катушки зажигания</t>
        </is>
      </c>
      <c r="C381" s="2">
        <v>100214387</v>
      </c>
      <c r="D381" s="2" t="inlineStr">
        <is>
          <t>RIR-IC16085</t>
        </is>
      </c>
      <c r="E381" s="2" t="inlineStr">
        <is>
          <t>2036809924894</t>
        </is>
      </c>
      <c r="F381" s="2">
        <v>0</v>
      </c>
      <c r="G381" s="2">
        <v>0</v>
      </c>
      <c r="H381" s="2" t="inlineStr">
        <is>
          <t/>
        </is>
      </c>
      <c r="I381" s="2" t="inlineStr">
        <is>
          <t>2320</t>
        </is>
      </c>
      <c r="J381" s="4"/>
      <c r="K381" s="2">
        <v>0</v>
      </c>
      <c r="L381" s="6"/>
      <c r="M381" s="2" t="str">
        <f>IF(J381="",ROUND(I381*(1-IF(ISBLANK(L381),K381,L381)/100),2),ROUND(J381*(1-IF(ISBLANK(L381),K381,L381)/100),2))</f>
      </c>
      <c r="N381" s="7" t="str">
        <f>IF(NOT(AND(J381="",L381="")),IF(OR(AND(L381&lt;&gt;"",NOT(ISNUMBER(L381))),IFERROR(MOD(L381,1),1)&gt;0,AND(ISNUMBER(L381),OR(L381&lt;0,L381&gt;95))),"Введите целое число от 0 до 95",IF(OR(AND(J381&lt;&gt;"",NOT(ISNUMBER(J381))),IFERROR(MOD(J381,1),1)&gt;0,AND(ISNUMBER(J381),OR(J381&lt;50,J381&gt;20000000))),"Введите целое число от 50 до 20000000",IF(NOT(ABS(IFERROR(VALUE(LEFT(M381,FIND("-",M381)-1)),M381)*100-(5000+2000000000)/2)&lt;=ABS(5000-2000000000)/2),"Цена со скидкой должна быть от 50 до 20000000",IF(IFERROR(VALUE(LEFT(M381,FIND("-",M381)-1)),M381)*210&lt;232000,"Вы уменьшили цену в несколько раз, товар попадет в карантин цен","")))),"")</f>
      </c>
    </row>
    <row r="382">
      <c r="A382" s="2" t="inlineStr">
        <is>
          <t>S&amp;K GMBH</t>
        </is>
      </c>
      <c r="B382" s="2" t="inlineStr">
        <is>
          <t>Фильтры масляные</t>
        </is>
      </c>
      <c r="C382" s="2">
        <v>312845207</v>
      </c>
      <c r="D382" s="2" t="inlineStr">
        <is>
          <t>RIR-SKOF1062</t>
        </is>
      </c>
      <c r="E382" s="2" t="inlineStr">
        <is>
          <t>2042498981810</t>
        </is>
      </c>
      <c r="F382" s="2">
        <v>0</v>
      </c>
      <c r="G382" s="2">
        <v>0</v>
      </c>
      <c r="H382" s="2" t="inlineStr">
        <is>
          <t/>
        </is>
      </c>
      <c r="I382" s="2" t="inlineStr">
        <is>
          <t>400</t>
        </is>
      </c>
      <c r="J382" s="4"/>
      <c r="K382" s="2">
        <v>0</v>
      </c>
      <c r="L382" s="6"/>
      <c r="M382" s="2" t="str">
        <f>IF(J382="",ROUND(I382*(1-IF(ISBLANK(L382),K382,L382)/100),2),ROUND(J382*(1-IF(ISBLANK(L382),K382,L382)/100),2))</f>
      </c>
      <c r="N382" s="7" t="str">
        <f>IF(NOT(AND(J382="",L382="")),IF(OR(AND(L382&lt;&gt;"",NOT(ISNUMBER(L382))),IFERROR(MOD(L382,1),1)&gt;0,AND(ISNUMBER(L382),OR(L382&lt;0,L382&gt;95))),"Введите целое число от 0 до 95",IF(OR(AND(J382&lt;&gt;"",NOT(ISNUMBER(J382))),IFERROR(MOD(J382,1),1)&gt;0,AND(ISNUMBER(J382),OR(J382&lt;50,J382&gt;20000000))),"Введите целое число от 50 до 20000000",IF(NOT(ABS(IFERROR(VALUE(LEFT(M382,FIND("-",M382)-1)),M382)*100-(5000+2000000000)/2)&lt;=ABS(5000-2000000000)/2),"Цена со скидкой должна быть от 50 до 20000000",IF(IFERROR(VALUE(LEFT(M382,FIND("-",M382)-1)),M382)*210&lt;40000,"Вы уменьшили цену в несколько раз, товар попадет в карантин цен","")))),"")</f>
      </c>
    </row>
    <row r="383">
      <c r="A383" s="2" t="inlineStr">
        <is>
          <t>Sufix</t>
        </is>
      </c>
      <c r="B383" s="2" t="inlineStr">
        <is>
          <t>Стойки стабилизатора</t>
        </is>
      </c>
      <c r="C383" s="2">
        <v>150330119</v>
      </c>
      <c r="D383" s="2" t="inlineStr">
        <is>
          <t>RIR-SJ1118</t>
        </is>
      </c>
      <c r="E383" s="2" t="inlineStr">
        <is>
          <t>2037570492063</t>
        </is>
      </c>
      <c r="F383" s="2">
        <v>0</v>
      </c>
      <c r="G383" s="2">
        <v>2</v>
      </c>
      <c r="H383" s="2">
        <v>0</v>
      </c>
      <c r="I383" s="2" t="inlineStr">
        <is>
          <t>1100</t>
        </is>
      </c>
      <c r="J383" s="4"/>
      <c r="K383" s="2">
        <v>5</v>
      </c>
      <c r="L383" s="6"/>
      <c r="M383" s="2" t="str">
        <f>IF(J383="",ROUND(I383*(1-IF(ISBLANK(L383),K383,L383)/100),2),ROUND(J383*(1-IF(ISBLANK(L383),K383,L383)/100),2))</f>
      </c>
      <c r="N383" s="7" t="str">
        <f>IF(NOT(AND(J383="",L383="")),IF(OR(AND(L383&lt;&gt;"",NOT(ISNUMBER(L383))),IFERROR(MOD(L383,1),1)&gt;0,AND(ISNUMBER(L383),OR(L383&lt;0,L383&gt;95))),"Введите целое число от 0 до 95",IF(OR(AND(J383&lt;&gt;"",NOT(ISNUMBER(J383))),IFERROR(MOD(J383,1),1)&gt;0,AND(ISNUMBER(J383),OR(J383&lt;50,J383&gt;20000000))),"Введите целое число от 50 до 20000000",IF(NOT(ABS(IFERROR(VALUE(LEFT(M383,FIND("-",M383)-1)),M383)*100-(5000+2000000000)/2)&lt;=ABS(5000-2000000000)/2),"Цена со скидкой должна быть от 50 до 20000000",IF(IFERROR(VALUE(LEFT(M383,FIND("-",M383)-1)),M383)*210&lt;104500,"Вы уменьшили цену в несколько раз, товар попадет в карантин цен","")))),"")</f>
      </c>
    </row>
    <row r="384">
      <c r="A384" s="2" t="inlineStr">
        <is>
          <t>filtron</t>
        </is>
      </c>
      <c r="B384" s="2" t="inlineStr">
        <is>
          <t>Фильтры масляные</t>
        </is>
      </c>
      <c r="C384" s="2">
        <v>116681234</v>
      </c>
      <c r="D384" s="2" t="inlineStr">
        <is>
          <t>RIR-OE688</t>
        </is>
      </c>
      <c r="E384" s="2" t="inlineStr">
        <is>
          <t>2041792720620</t>
        </is>
      </c>
      <c r="F384" s="2">
        <v>0</v>
      </c>
      <c r="G384" s="2">
        <v>1</v>
      </c>
      <c r="H384" s="2">
        <v>1</v>
      </c>
      <c r="I384" s="2" t="inlineStr">
        <is>
          <t>550</t>
        </is>
      </c>
      <c r="J384" s="4"/>
      <c r="K384" s="2">
        <v>2</v>
      </c>
      <c r="L384" s="6"/>
      <c r="M384" s="2" t="str">
        <f>IF(J384="",ROUND(I384*(1-IF(ISBLANK(L384),K384,L384)/100),2),ROUND(J384*(1-IF(ISBLANK(L384),K384,L384)/100),2))</f>
      </c>
      <c r="N384" s="7" t="str">
        <f>IF(NOT(AND(J384="",L384="")),IF(OR(AND(L384&lt;&gt;"",NOT(ISNUMBER(L384))),IFERROR(MOD(L384,1),1)&gt;0,AND(ISNUMBER(L384),OR(L384&lt;0,L384&gt;95))),"Введите целое число от 0 до 95",IF(OR(AND(J384&lt;&gt;"",NOT(ISNUMBER(J384))),IFERROR(MOD(J384,1),1)&gt;0,AND(ISNUMBER(J384),OR(J384&lt;50,J384&gt;20000000))),"Введите целое число от 50 до 20000000",IF(NOT(ABS(IFERROR(VALUE(LEFT(M384,FIND("-",M384)-1)),M384)*100-(5000+2000000000)/2)&lt;=ABS(5000-2000000000)/2),"Цена со скидкой должна быть от 50 до 20000000",IF(IFERROR(VALUE(LEFT(M384,FIND("-",M384)-1)),M384)*210&lt;53900,"Вы уменьшили цену в несколько раз, товар попадет в карантин цен","")))),"")</f>
      </c>
    </row>
    <row r="385">
      <c r="A385" s="2" t="inlineStr">
        <is>
          <t>LYNXauto</t>
        </is>
      </c>
      <c r="B385" s="2" t="inlineStr">
        <is>
          <t>Ремни приводные</t>
        </is>
      </c>
      <c r="C385" s="2">
        <v>103614385</v>
      </c>
      <c r="D385" s="2" t="inlineStr">
        <is>
          <t>RIR-Lynx-6PK2137</t>
        </is>
      </c>
      <c r="E385" s="2" t="inlineStr">
        <is>
          <t>2036858026204</t>
        </is>
      </c>
      <c r="F385" s="2">
        <v>0</v>
      </c>
      <c r="G385" s="2">
        <v>1</v>
      </c>
      <c r="H385" s="2">
        <v>1</v>
      </c>
      <c r="I385" s="2" t="inlineStr">
        <is>
          <t>2300</t>
        </is>
      </c>
      <c r="J385" s="4"/>
      <c r="K385" s="2">
        <v>3</v>
      </c>
      <c r="L385" s="6"/>
      <c r="M385" s="2" t="str">
        <f>IF(J385="",ROUND(I385*(1-IF(ISBLANK(L385),K385,L385)/100),2),ROUND(J385*(1-IF(ISBLANK(L385),K385,L385)/100),2))</f>
      </c>
      <c r="N385" s="7" t="str">
        <f>IF(NOT(AND(J385="",L385="")),IF(OR(AND(L385&lt;&gt;"",NOT(ISNUMBER(L385))),IFERROR(MOD(L385,1),1)&gt;0,AND(ISNUMBER(L385),OR(L385&lt;0,L385&gt;95))),"Введите целое число от 0 до 95",IF(OR(AND(J385&lt;&gt;"",NOT(ISNUMBER(J385))),IFERROR(MOD(J385,1),1)&gt;0,AND(ISNUMBER(J385),OR(J385&lt;50,J385&gt;20000000))),"Введите целое число от 50 до 20000000",IF(NOT(ABS(IFERROR(VALUE(LEFT(M385,FIND("-",M385)-1)),M385)*100-(5000+2000000000)/2)&lt;=ABS(5000-2000000000)/2),"Цена со скидкой должна быть от 50 до 20000000",IF(IFERROR(VALUE(LEFT(M385,FIND("-",M385)-1)),M385)*210&lt;223100,"Вы уменьшили цену в несколько раз, товар попадет в карантин цен","")))),"")</f>
      </c>
    </row>
    <row r="386">
      <c r="A386" s="2" t="inlineStr">
        <is>
          <t>SUN</t>
        </is>
      </c>
      <c r="B386" s="2" t="inlineStr">
        <is>
          <t>Ремни приводные</t>
        </is>
      </c>
      <c r="C386" s="2">
        <v>85978749</v>
      </c>
      <c r="D386" s="2" t="inlineStr">
        <is>
          <t>4PK830</t>
        </is>
      </c>
      <c r="E386" s="2" t="inlineStr">
        <is>
          <t>2033698164677</t>
        </is>
      </c>
      <c r="F386" s="2">
        <v>0</v>
      </c>
      <c r="G386" s="2">
        <v>0</v>
      </c>
      <c r="H386" s="2">
        <v>0</v>
      </c>
      <c r="I386" s="2" t="inlineStr">
        <is>
          <t>560</t>
        </is>
      </c>
      <c r="J386" s="4"/>
      <c r="K386" s="2">
        <v>0</v>
      </c>
      <c r="L386" s="6"/>
      <c r="M386" s="2" t="str">
        <f>IF(J386="",ROUND(I386*(1-IF(ISBLANK(L386),K386,L386)/100),2),ROUND(J386*(1-IF(ISBLANK(L386),K386,L386)/100),2))</f>
      </c>
      <c r="N386" s="7" t="str">
        <f>IF(NOT(AND(J386="",L386="")),IF(OR(AND(L386&lt;&gt;"",NOT(ISNUMBER(L386))),IFERROR(MOD(L386,1),1)&gt;0,AND(ISNUMBER(L386),OR(L386&lt;0,L386&gt;95))),"Введите целое число от 0 до 95",IF(OR(AND(J386&lt;&gt;"",NOT(ISNUMBER(J386))),IFERROR(MOD(J386,1),1)&gt;0,AND(ISNUMBER(J386),OR(J386&lt;50,J386&gt;20000000))),"Введите целое число от 50 до 20000000",IF(NOT(ABS(IFERROR(VALUE(LEFT(M386,FIND("-",M386)-1)),M386)*100-(5000+2000000000)/2)&lt;=ABS(5000-2000000000)/2),"Цена со скидкой должна быть от 50 до 20000000",IF(IFERROR(VALUE(LEFT(M386,FIND("-",M386)-1)),M386)*210&lt;56000,"Вы уменьшили цену в несколько раз, товар попадет в карантин цен","")))),"")</f>
      </c>
    </row>
    <row r="387">
      <c r="A387" s="2" t="inlineStr">
        <is>
          <t>GANZ</t>
        </is>
      </c>
      <c r="B387" s="2" t="inlineStr">
        <is>
          <t>Фильтры масляные</t>
        </is>
      </c>
      <c r="C387" s="2">
        <v>228733867</v>
      </c>
      <c r="D387" s="2" t="inlineStr">
        <is>
          <t>RIR-GIH02009</t>
        </is>
      </c>
      <c r="E387" s="2" t="inlineStr">
        <is>
          <t>2039924746778</t>
        </is>
      </c>
      <c r="F387" s="2">
        <v>0</v>
      </c>
      <c r="G387" s="2">
        <v>1</v>
      </c>
      <c r="H387" s="2">
        <v>1</v>
      </c>
      <c r="I387" s="2" t="inlineStr">
        <is>
          <t>1290</t>
        </is>
      </c>
      <c r="J387" s="4"/>
      <c r="K387" s="2">
        <v>0</v>
      </c>
      <c r="L387" s="6"/>
      <c r="M387" s="2" t="str">
        <f>IF(J387="",ROUND(I387*(1-IF(ISBLANK(L387),K387,L387)/100),2),ROUND(J387*(1-IF(ISBLANK(L387),K387,L387)/100),2))</f>
      </c>
      <c r="N387" s="7" t="str">
        <f>IF(NOT(AND(J387="",L387="")),IF(OR(AND(L387&lt;&gt;"",NOT(ISNUMBER(L387))),IFERROR(MOD(L387,1),1)&gt;0,AND(ISNUMBER(L387),OR(L387&lt;0,L387&gt;95))),"Введите целое число от 0 до 95",IF(OR(AND(J387&lt;&gt;"",NOT(ISNUMBER(J387))),IFERROR(MOD(J387,1),1)&gt;0,AND(ISNUMBER(J387),OR(J387&lt;50,J387&gt;20000000))),"Введите целое число от 50 до 20000000",IF(NOT(ABS(IFERROR(VALUE(LEFT(M387,FIND("-",M387)-1)),M387)*100-(5000+2000000000)/2)&lt;=ABS(5000-2000000000)/2),"Цена со скидкой должна быть от 50 до 20000000",IF(IFERROR(VALUE(LEFT(M387,FIND("-",M387)-1)),M387)*210&lt;129000,"Вы уменьшили цену в несколько раз, товар попадет в карантин цен","")))),"")</f>
      </c>
    </row>
    <row r="388">
      <c r="A388" s="2" t="inlineStr">
        <is>
          <t>MANDO</t>
        </is>
      </c>
      <c r="B388" s="2" t="inlineStr">
        <is>
          <t>Катушки зажигания</t>
        </is>
      </c>
      <c r="C388" s="2">
        <v>100092928</v>
      </c>
      <c r="D388" s="2" t="inlineStr">
        <is>
          <t>RIR-ECI00008Y</t>
        </is>
      </c>
      <c r="E388" s="2" t="inlineStr">
        <is>
          <t>2036808106291</t>
        </is>
      </c>
      <c r="F388" s="2">
        <v>0</v>
      </c>
      <c r="G388" s="2">
        <v>0</v>
      </c>
      <c r="H388" s="2">
        <v>0</v>
      </c>
      <c r="I388" s="2" t="inlineStr">
        <is>
          <t>2740</t>
        </is>
      </c>
      <c r="J388" s="4"/>
      <c r="K388" s="2">
        <v>0</v>
      </c>
      <c r="L388" s="6"/>
      <c r="M388" s="2" t="str">
        <f>IF(J388="",ROUND(I388*(1-IF(ISBLANK(L388),K388,L388)/100),2),ROUND(J388*(1-IF(ISBLANK(L388),K388,L388)/100),2))</f>
      </c>
      <c r="N388" s="7" t="str">
        <f>IF(NOT(AND(J388="",L388="")),IF(OR(AND(L388&lt;&gt;"",NOT(ISNUMBER(L388))),IFERROR(MOD(L388,1),1)&gt;0,AND(ISNUMBER(L388),OR(L388&lt;0,L388&gt;95))),"Введите целое число от 0 до 95",IF(OR(AND(J388&lt;&gt;"",NOT(ISNUMBER(J388))),IFERROR(MOD(J388,1),1)&gt;0,AND(ISNUMBER(J388),OR(J388&lt;50,J388&gt;20000000))),"Введите целое число от 50 до 20000000",IF(NOT(ABS(IFERROR(VALUE(LEFT(M388,FIND("-",M388)-1)),M388)*100-(5000+2000000000)/2)&lt;=ABS(5000-2000000000)/2),"Цена со скидкой должна быть от 50 до 20000000",IF(IFERROR(VALUE(LEFT(M388,FIND("-",M388)-1)),M388)*210&lt;274000,"Вы уменьшили цену в несколько раз, товар попадет в карантин цен","")))),"")</f>
      </c>
    </row>
    <row r="389">
      <c r="A389" s="2" t="inlineStr">
        <is>
          <t>AMD</t>
        </is>
      </c>
      <c r="B389" s="2" t="inlineStr">
        <is>
          <t>Фильтры масляные</t>
        </is>
      </c>
      <c r="C389" s="2">
        <v>209973951</v>
      </c>
      <c r="D389" s="2" t="inlineStr">
        <is>
          <t>RIR-AMDFL719</t>
        </is>
      </c>
      <c r="E389" s="2" t="inlineStr">
        <is>
          <t>2039503853620</t>
        </is>
      </c>
      <c r="F389" s="2">
        <v>0</v>
      </c>
      <c r="G389" s="2">
        <v>1</v>
      </c>
      <c r="H389" s="2" t="inlineStr">
        <is>
          <t/>
        </is>
      </c>
      <c r="I389" s="2" t="inlineStr">
        <is>
          <t>600</t>
        </is>
      </c>
      <c r="J389" s="4"/>
      <c r="K389" s="2">
        <v>28</v>
      </c>
      <c r="L389" s="6"/>
      <c r="M389" s="2" t="str">
        <f>IF(J389="",ROUND(I389*(1-IF(ISBLANK(L389),K389,L389)/100),2),ROUND(J389*(1-IF(ISBLANK(L389),K389,L389)/100),2))</f>
      </c>
      <c r="N389" s="7" t="str">
        <f>IF(NOT(AND(J389="",L389="")),IF(OR(AND(L389&lt;&gt;"",NOT(ISNUMBER(L389))),IFERROR(MOD(L389,1),1)&gt;0,AND(ISNUMBER(L389),OR(L389&lt;0,L389&gt;95))),"Введите целое число от 0 до 95",IF(OR(AND(J389&lt;&gt;"",NOT(ISNUMBER(J389))),IFERROR(MOD(J389,1),1)&gt;0,AND(ISNUMBER(J389),OR(J389&lt;50,J389&gt;20000000))),"Введите целое число от 50 до 20000000",IF(NOT(ABS(IFERROR(VALUE(LEFT(M389,FIND("-",M389)-1)),M389)*100-(5000+2000000000)/2)&lt;=ABS(5000-2000000000)/2),"Цена со скидкой должна быть от 50 до 20000000",IF(IFERROR(VALUE(LEFT(M389,FIND("-",M389)-1)),M389)*210&lt;43200,"Вы уменьшили цену в несколько раз, товар попадет в карантин цен","")))),"")</f>
      </c>
    </row>
    <row r="390">
      <c r="A390" s="2" t="inlineStr">
        <is>
          <t>NORDFIL</t>
        </is>
      </c>
      <c r="B390" s="2" t="inlineStr">
        <is>
          <t>Фильтры воздушные</t>
        </is>
      </c>
      <c r="C390" s="2">
        <v>85698752</v>
      </c>
      <c r="D390" s="2" t="inlineStr">
        <is>
          <t>RIR-AN1024</t>
        </is>
      </c>
      <c r="E390" s="2" t="inlineStr">
        <is>
          <t>2033570838627</t>
        </is>
      </c>
      <c r="F390" s="2">
        <v>0</v>
      </c>
      <c r="G390" s="2">
        <v>1</v>
      </c>
      <c r="H390" s="2">
        <v>1</v>
      </c>
      <c r="I390" s="2" t="inlineStr">
        <is>
          <t>620</t>
        </is>
      </c>
      <c r="J390" s="4"/>
      <c r="K390" s="2">
        <v>0</v>
      </c>
      <c r="L390" s="6"/>
      <c r="M390" s="2" t="str">
        <f>IF(J390="",ROUND(I390*(1-IF(ISBLANK(L390),K390,L390)/100),2),ROUND(J390*(1-IF(ISBLANK(L390),K390,L390)/100),2))</f>
      </c>
      <c r="N390" s="7" t="str">
        <f>IF(NOT(AND(J390="",L390="")),IF(OR(AND(L390&lt;&gt;"",NOT(ISNUMBER(L390))),IFERROR(MOD(L390,1),1)&gt;0,AND(ISNUMBER(L390),OR(L390&lt;0,L390&gt;95))),"Введите целое число от 0 до 95",IF(OR(AND(J390&lt;&gt;"",NOT(ISNUMBER(J390))),IFERROR(MOD(J390,1),1)&gt;0,AND(ISNUMBER(J390),OR(J390&lt;50,J390&gt;20000000))),"Введите целое число от 50 до 20000000",IF(NOT(ABS(IFERROR(VALUE(LEFT(M390,FIND("-",M390)-1)),M390)*100-(5000+2000000000)/2)&lt;=ABS(5000-2000000000)/2),"Цена со скидкой должна быть от 50 до 20000000",IF(IFERROR(VALUE(LEFT(M390,FIND("-",M390)-1)),M390)*210&lt;62000,"Вы уменьшили цену в несколько раз, товар попадет в карантин цен","")))),"")</f>
      </c>
    </row>
    <row r="391">
      <c r="A391" s="2" t="inlineStr">
        <is>
          <t>LYNXAUTO</t>
        </is>
      </c>
      <c r="B391" s="2" t="inlineStr">
        <is>
          <t>Прокладки клапанной крышки</t>
        </is>
      </c>
      <c r="C391" s="2">
        <v>412153398</v>
      </c>
      <c r="D391" s="2" t="inlineStr">
        <is>
          <t>RIR-SG1066</t>
        </is>
      </c>
      <c r="E391" s="2" t="inlineStr">
        <is>
          <t>2043918270699</t>
        </is>
      </c>
      <c r="F391" s="2">
        <v>0</v>
      </c>
      <c r="G391" s="2">
        <v>1</v>
      </c>
      <c r="H391" s="2" t="inlineStr">
        <is>
          <t/>
        </is>
      </c>
      <c r="I391" s="2" t="inlineStr">
        <is>
          <t>750</t>
        </is>
      </c>
      <c r="J391" s="4"/>
      <c r="K391" s="2">
        <v>0</v>
      </c>
      <c r="L391" s="6"/>
      <c r="M391" s="2" t="str">
        <f>IF(J391="",ROUND(I391*(1-IF(ISBLANK(L391),K391,L391)/100),2),ROUND(J391*(1-IF(ISBLANK(L391),K391,L391)/100),2))</f>
      </c>
      <c r="N391" s="7" t="str">
        <f>IF(NOT(AND(J391="",L391="")),IF(OR(AND(L391&lt;&gt;"",NOT(ISNUMBER(L391))),IFERROR(MOD(L391,1),1)&gt;0,AND(ISNUMBER(L391),OR(L391&lt;0,L391&gt;95))),"Введите целое число от 0 до 95",IF(OR(AND(J391&lt;&gt;"",NOT(ISNUMBER(J391))),IFERROR(MOD(J391,1),1)&gt;0,AND(ISNUMBER(J391),OR(J391&lt;50,J391&gt;20000000))),"Введите целое число от 50 до 20000000",IF(NOT(ABS(IFERROR(VALUE(LEFT(M391,FIND("-",M391)-1)),M391)*100-(5000+2000000000)/2)&lt;=ABS(5000-2000000000)/2),"Цена со скидкой должна быть от 50 до 20000000",IF(IFERROR(VALUE(LEFT(M391,FIND("-",M391)-1)),M391)*210&lt;75000,"Вы уменьшили цену в несколько раз, товар попадет в карантин цен","")))),"")</f>
      </c>
    </row>
    <row r="392">
      <c r="A392" s="2" t="inlineStr">
        <is>
          <t>PATRON</t>
        </is>
      </c>
      <c r="B392" s="2" t="inlineStr">
        <is>
          <t>Катушки зажигания</t>
        </is>
      </c>
      <c r="C392" s="2">
        <v>100205960</v>
      </c>
      <c r="D392" s="2" t="inlineStr">
        <is>
          <t>RIR-PCI1208</t>
        </is>
      </c>
      <c r="E392" s="2" t="inlineStr">
        <is>
          <t>2036809866224</t>
        </is>
      </c>
      <c r="F392" s="2">
        <v>0</v>
      </c>
      <c r="G392" s="2">
        <v>0</v>
      </c>
      <c r="H392" s="2" t="inlineStr">
        <is>
          <t/>
        </is>
      </c>
      <c r="I392" s="2" t="inlineStr">
        <is>
          <t>1700</t>
        </is>
      </c>
      <c r="J392" s="4"/>
      <c r="K392" s="2">
        <v>0</v>
      </c>
      <c r="L392" s="6"/>
      <c r="M392" s="2" t="str">
        <f>IF(J392="",ROUND(I392*(1-IF(ISBLANK(L392),K392,L392)/100),2),ROUND(J392*(1-IF(ISBLANK(L392),K392,L392)/100),2))</f>
      </c>
      <c r="N392" s="7" t="str">
        <f>IF(NOT(AND(J392="",L392="")),IF(OR(AND(L392&lt;&gt;"",NOT(ISNUMBER(L392))),IFERROR(MOD(L392,1),1)&gt;0,AND(ISNUMBER(L392),OR(L392&lt;0,L392&gt;95))),"Введите целое число от 0 до 95",IF(OR(AND(J392&lt;&gt;"",NOT(ISNUMBER(J392))),IFERROR(MOD(J392,1),1)&gt;0,AND(ISNUMBER(J392),OR(J392&lt;50,J392&gt;20000000))),"Введите целое число от 50 до 20000000",IF(NOT(ABS(IFERROR(VALUE(LEFT(M392,FIND("-",M392)-1)),M392)*100-(5000+2000000000)/2)&lt;=ABS(5000-2000000000)/2),"Цена со скидкой должна быть от 50 до 20000000",IF(IFERROR(VALUE(LEFT(M392,FIND("-",M392)-1)),M392)*210&lt;170000,"Вы уменьшили цену в несколько раз, товар попадет в карантин цен","")))),"")</f>
      </c>
    </row>
    <row r="393">
      <c r="A393" s="2" t="inlineStr">
        <is>
          <t>filtron</t>
        </is>
      </c>
      <c r="B393" s="2" t="inlineStr">
        <is>
          <t>Фильтры масляные</t>
        </is>
      </c>
      <c r="C393" s="2">
        <v>209967851</v>
      </c>
      <c r="D393" s="2" t="inlineStr">
        <is>
          <t>RIR-OP6163</t>
        </is>
      </c>
      <c r="E393" s="2" t="inlineStr">
        <is>
          <t>2039503751391</t>
        </is>
      </c>
      <c r="F393" s="2">
        <v>0</v>
      </c>
      <c r="G393" s="2">
        <v>1</v>
      </c>
      <c r="H393" s="2" t="inlineStr">
        <is>
          <t/>
        </is>
      </c>
      <c r="I393" s="2" t="inlineStr">
        <is>
          <t>850</t>
        </is>
      </c>
      <c r="J393" s="4"/>
      <c r="K393" s="2">
        <v>5</v>
      </c>
      <c r="L393" s="6"/>
      <c r="M393" s="2" t="str">
        <f>IF(J393="",ROUND(I393*(1-IF(ISBLANK(L393),K393,L393)/100),2),ROUND(J393*(1-IF(ISBLANK(L393),K393,L393)/100),2))</f>
      </c>
      <c r="N393" s="7" t="str">
        <f>IF(NOT(AND(J393="",L393="")),IF(OR(AND(L393&lt;&gt;"",NOT(ISNUMBER(L393))),IFERROR(MOD(L393,1),1)&gt;0,AND(ISNUMBER(L393),OR(L393&lt;0,L393&gt;95))),"Введите целое число от 0 до 95",IF(OR(AND(J393&lt;&gt;"",NOT(ISNUMBER(J393))),IFERROR(MOD(J393,1),1)&gt;0,AND(ISNUMBER(J393),OR(J393&lt;50,J393&gt;20000000))),"Введите целое число от 50 до 20000000",IF(NOT(ABS(IFERROR(VALUE(LEFT(M393,FIND("-",M393)-1)),M393)*100-(5000+2000000000)/2)&lt;=ABS(5000-2000000000)/2),"Цена со скидкой должна быть от 50 до 20000000",IF(IFERROR(VALUE(LEFT(M393,FIND("-",M393)-1)),M393)*210&lt;80750,"Вы уменьшили цену в несколько раз, товар попадет в карантин цен","")))),"")</f>
      </c>
    </row>
    <row r="394">
      <c r="A394" s="2" t="inlineStr">
        <is>
          <t>Masuma</t>
        </is>
      </c>
      <c r="B394" s="2" t="inlineStr">
        <is>
          <t>Фильтры масляные</t>
        </is>
      </c>
      <c r="C394" s="2">
        <v>160131943</v>
      </c>
      <c r="D394" s="2" t="inlineStr">
        <is>
          <t>RIR-MFT1045</t>
        </is>
      </c>
      <c r="E394" s="2" t="inlineStr">
        <is>
          <t>2037797551772</t>
        </is>
      </c>
      <c r="F394" s="2">
        <v>0</v>
      </c>
      <c r="G394" s="2">
        <v>1</v>
      </c>
      <c r="H394" s="2">
        <v>1</v>
      </c>
      <c r="I394" s="2" t="inlineStr">
        <is>
          <t>1400</t>
        </is>
      </c>
      <c r="J394" s="4"/>
      <c r="K394" s="2">
        <v>0</v>
      </c>
      <c r="L394" s="6"/>
      <c r="M394" s="2" t="str">
        <f>IF(J394="",ROUND(I394*(1-IF(ISBLANK(L394),K394,L394)/100),2),ROUND(J394*(1-IF(ISBLANK(L394),K394,L394)/100),2))</f>
      </c>
      <c r="N394" s="7" t="str">
        <f>IF(NOT(AND(J394="",L394="")),IF(OR(AND(L394&lt;&gt;"",NOT(ISNUMBER(L394))),IFERROR(MOD(L394,1),1)&gt;0,AND(ISNUMBER(L394),OR(L394&lt;0,L394&gt;95))),"Введите целое число от 0 до 95",IF(OR(AND(J394&lt;&gt;"",NOT(ISNUMBER(J394))),IFERROR(MOD(J394,1),1)&gt;0,AND(ISNUMBER(J394),OR(J394&lt;50,J394&gt;20000000))),"Введите целое число от 50 до 20000000",IF(NOT(ABS(IFERROR(VALUE(LEFT(M394,FIND("-",M394)-1)),M394)*100-(5000+2000000000)/2)&lt;=ABS(5000-2000000000)/2),"Цена со скидкой должна быть от 50 до 20000000",IF(IFERROR(VALUE(LEFT(M394,FIND("-",M394)-1)),M394)*210&lt;140000,"Вы уменьшили цену в несколько раз, товар попадет в карантин цен","")))),"")</f>
      </c>
    </row>
    <row r="395">
      <c r="A395" s="2" t="inlineStr">
        <is>
          <t>LYNXauto</t>
        </is>
      </c>
      <c r="B395" s="2" t="inlineStr">
        <is>
          <t>Колодки автомобильные</t>
        </is>
      </c>
      <c r="C395" s="2">
        <v>160861795</v>
      </c>
      <c r="D395" s="2" t="inlineStr">
        <is>
          <t>RIR-BD7542</t>
        </is>
      </c>
      <c r="E395" s="2" t="inlineStr">
        <is>
          <t>2037829479371</t>
        </is>
      </c>
      <c r="F395" s="2">
        <v>0</v>
      </c>
      <c r="G395" s="2">
        <v>1</v>
      </c>
      <c r="H395" s="2">
        <v>0</v>
      </c>
      <c r="I395" s="2" t="inlineStr">
        <is>
          <t>2400</t>
        </is>
      </c>
      <c r="J395" s="4"/>
      <c r="K395" s="2">
        <v>3</v>
      </c>
      <c r="L395" s="6"/>
      <c r="M395" s="2" t="str">
        <f>IF(J395="",ROUND(I395*(1-IF(ISBLANK(L395),K395,L395)/100),2),ROUND(J395*(1-IF(ISBLANK(L395),K395,L395)/100),2))</f>
      </c>
      <c r="N395" s="7" t="str">
        <f>IF(NOT(AND(J395="",L395="")),IF(OR(AND(L395&lt;&gt;"",NOT(ISNUMBER(L395))),IFERROR(MOD(L395,1),1)&gt;0,AND(ISNUMBER(L395),OR(L395&lt;0,L395&gt;95))),"Введите целое число от 0 до 95",IF(OR(AND(J395&lt;&gt;"",NOT(ISNUMBER(J395))),IFERROR(MOD(J395,1),1)&gt;0,AND(ISNUMBER(J395),OR(J395&lt;50,J395&gt;20000000))),"Введите целое число от 50 до 20000000",IF(NOT(ABS(IFERROR(VALUE(LEFT(M395,FIND("-",M395)-1)),M395)*100-(5000+2000000000)/2)&lt;=ABS(5000-2000000000)/2),"Цена со скидкой должна быть от 50 до 20000000",IF(IFERROR(VALUE(LEFT(M395,FIND("-",M395)-1)),M395)*210&lt;232800,"Вы уменьшили цену в несколько раз, товар попадет в карантин цен","")))),"")</f>
      </c>
    </row>
    <row r="396">
      <c r="A396" s="2" t="inlineStr">
        <is>
          <t>SangSin</t>
        </is>
      </c>
      <c r="B396" s="2" t="inlineStr">
        <is>
          <t>Колодки автомобильные</t>
        </is>
      </c>
      <c r="C396" s="2">
        <v>226658818</v>
      </c>
      <c r="D396" s="2" t="inlineStr">
        <is>
          <t>RIR-SA193</t>
        </is>
      </c>
      <c r="E396" s="2" t="inlineStr">
        <is>
          <t>2039887065305</t>
        </is>
      </c>
      <c r="F396" s="2">
        <v>0</v>
      </c>
      <c r="G396" s="2">
        <v>1</v>
      </c>
      <c r="H396" s="2">
        <v>1</v>
      </c>
      <c r="I396" s="2" t="inlineStr">
        <is>
          <t>2590</t>
        </is>
      </c>
      <c r="J396" s="4"/>
      <c r="K396" s="2">
        <v>6</v>
      </c>
      <c r="L396" s="6"/>
      <c r="M396" s="2" t="str">
        <f>IF(J396="",ROUND(I396*(1-IF(ISBLANK(L396),K396,L396)/100),2),ROUND(J396*(1-IF(ISBLANK(L396),K396,L396)/100),2))</f>
      </c>
      <c r="N396" s="7" t="str">
        <f>IF(NOT(AND(J396="",L396="")),IF(OR(AND(L396&lt;&gt;"",NOT(ISNUMBER(L396))),IFERROR(MOD(L396,1),1)&gt;0,AND(ISNUMBER(L396),OR(L396&lt;0,L396&gt;95))),"Введите целое число от 0 до 95",IF(OR(AND(J396&lt;&gt;"",NOT(ISNUMBER(J396))),IFERROR(MOD(J396,1),1)&gt;0,AND(ISNUMBER(J396),OR(J396&lt;50,J396&gt;20000000))),"Введите целое число от 50 до 20000000",IF(NOT(ABS(IFERROR(VALUE(LEFT(M396,FIND("-",M396)-1)),M396)*100-(5000+2000000000)/2)&lt;=ABS(5000-2000000000)/2),"Цена со скидкой должна быть от 50 до 20000000",IF(IFERROR(VALUE(LEFT(M396,FIND("-",M396)-1)),M396)*210&lt;243460,"Вы уменьшили цену в несколько раз, товар попадет в карантин цен","")))),"")</f>
      </c>
    </row>
    <row r="397">
      <c r="A397" s="2" t="inlineStr">
        <is>
          <t>DONGIL</t>
        </is>
      </c>
      <c r="B397" s="2" t="inlineStr">
        <is>
          <t>Ремни приводные</t>
        </is>
      </c>
      <c r="C397" s="2">
        <v>102448664</v>
      </c>
      <c r="D397" s="2" t="inlineStr">
        <is>
          <t>RIR-Dongil-6PK2137</t>
        </is>
      </c>
      <c r="E397" s="2" t="inlineStr">
        <is>
          <t>2036842526703</t>
        </is>
      </c>
      <c r="F397" s="2">
        <v>0</v>
      </c>
      <c r="G397" s="2">
        <v>0</v>
      </c>
      <c r="H397" s="2">
        <v>1</v>
      </c>
      <c r="I397" s="2" t="inlineStr">
        <is>
          <t>1600</t>
        </is>
      </c>
      <c r="J397" s="4"/>
      <c r="K397" s="2">
        <v>0</v>
      </c>
      <c r="L397" s="6"/>
      <c r="M397" s="2" t="str">
        <f>IF(J397="",ROUND(I397*(1-IF(ISBLANK(L397),K397,L397)/100),2),ROUND(J397*(1-IF(ISBLANK(L397),K397,L397)/100),2))</f>
      </c>
      <c r="N397" s="7" t="str">
        <f>IF(NOT(AND(J397="",L397="")),IF(OR(AND(L397&lt;&gt;"",NOT(ISNUMBER(L397))),IFERROR(MOD(L397,1),1)&gt;0,AND(ISNUMBER(L397),OR(L397&lt;0,L397&gt;95))),"Введите целое число от 0 до 95",IF(OR(AND(J397&lt;&gt;"",NOT(ISNUMBER(J397))),IFERROR(MOD(J397,1),1)&gt;0,AND(ISNUMBER(J397),OR(J397&lt;50,J397&gt;20000000))),"Введите целое число от 50 до 20000000",IF(NOT(ABS(IFERROR(VALUE(LEFT(M397,FIND("-",M397)-1)),M397)*100-(5000+2000000000)/2)&lt;=ABS(5000-2000000000)/2),"Цена со скидкой должна быть от 50 до 20000000",IF(IFERROR(VALUE(LEFT(M397,FIND("-",M397)-1)),M397)*210&lt;160000,"Вы уменьшили цену в несколько раз, товар попадет в карантин цен","")))),"")</f>
      </c>
    </row>
    <row r="398">
      <c r="A398" s="2" t="inlineStr">
        <is>
          <t>GMB</t>
        </is>
      </c>
      <c r="B398" s="2" t="inlineStr">
        <is>
          <t>Рулевое управление</t>
        </is>
      </c>
      <c r="C398" s="2">
        <v>85954451</v>
      </c>
      <c r="D398" s="2" t="inlineStr">
        <is>
          <t>ST-1639</t>
        </is>
      </c>
      <c r="E398" s="2" t="inlineStr">
        <is>
          <t>2033685576629</t>
        </is>
      </c>
      <c r="F398" s="2">
        <v>0</v>
      </c>
      <c r="G398" s="2">
        <v>1</v>
      </c>
      <c r="H398" s="2">
        <v>1</v>
      </c>
      <c r="I398" s="2" t="inlineStr">
        <is>
          <t>1000</t>
        </is>
      </c>
      <c r="J398" s="4"/>
      <c r="K398" s="2">
        <v>2</v>
      </c>
      <c r="L398" s="6"/>
      <c r="M398" s="2" t="str">
        <f>IF(J398="",ROUND(I398*(1-IF(ISBLANK(L398),K398,L398)/100),2),ROUND(J398*(1-IF(ISBLANK(L398),K398,L398)/100),2))</f>
      </c>
      <c r="N398" s="7" t="str">
        <f>IF(NOT(AND(J398="",L398="")),IF(OR(AND(L398&lt;&gt;"",NOT(ISNUMBER(L398))),IFERROR(MOD(L398,1),1)&gt;0,AND(ISNUMBER(L398),OR(L398&lt;0,L398&gt;95))),"Введите целое число от 0 до 95",IF(OR(AND(J398&lt;&gt;"",NOT(ISNUMBER(J398))),IFERROR(MOD(J398,1),1)&gt;0,AND(ISNUMBER(J398),OR(J398&lt;50,J398&gt;20000000))),"Введите целое число от 50 до 20000000",IF(NOT(ABS(IFERROR(VALUE(LEFT(M398,FIND("-",M398)-1)),M398)*100-(5000+2000000000)/2)&lt;=ABS(5000-2000000000)/2),"Цена со скидкой должна быть от 50 до 20000000",IF(IFERROR(VALUE(LEFT(M398,FIND("-",M398)-1)),M398)*210&lt;98000,"Вы уменьшили цену в несколько раз, товар попадет в карантин цен","")))),"")</f>
      </c>
    </row>
    <row r="399">
      <c r="A399" s="2" t="inlineStr">
        <is>
          <t>SUN</t>
        </is>
      </c>
      <c r="B399" s="2" t="inlineStr">
        <is>
          <t>Ремни приводные</t>
        </is>
      </c>
      <c r="C399" s="2">
        <v>85978681</v>
      </c>
      <c r="D399" s="2" t="inlineStr">
        <is>
          <t>4PK890</t>
        </is>
      </c>
      <c r="E399" s="2" t="inlineStr">
        <is>
          <t>2033698164745</t>
        </is>
      </c>
      <c r="F399" s="2">
        <v>0</v>
      </c>
      <c r="G399" s="2">
        <v>0</v>
      </c>
      <c r="H399" s="2">
        <v>0</v>
      </c>
      <c r="I399" s="2" t="inlineStr">
        <is>
          <t>600</t>
        </is>
      </c>
      <c r="J399" s="4"/>
      <c r="K399" s="2">
        <v>0</v>
      </c>
      <c r="L399" s="6"/>
      <c r="M399" s="2" t="str">
        <f>IF(J399="",ROUND(I399*(1-IF(ISBLANK(L399),K399,L399)/100),2),ROUND(J399*(1-IF(ISBLANK(L399),K399,L399)/100),2))</f>
      </c>
      <c r="N399" s="7" t="str">
        <f>IF(NOT(AND(J399="",L399="")),IF(OR(AND(L399&lt;&gt;"",NOT(ISNUMBER(L399))),IFERROR(MOD(L399,1),1)&gt;0,AND(ISNUMBER(L399),OR(L399&lt;0,L399&gt;95))),"Введите целое число от 0 до 95",IF(OR(AND(J399&lt;&gt;"",NOT(ISNUMBER(J399))),IFERROR(MOD(J399,1),1)&gt;0,AND(ISNUMBER(J399),OR(J399&lt;50,J399&gt;20000000))),"Введите целое число от 50 до 20000000",IF(NOT(ABS(IFERROR(VALUE(LEFT(M399,FIND("-",M399)-1)),M399)*100-(5000+2000000000)/2)&lt;=ABS(5000-2000000000)/2),"Цена со скидкой должна быть от 50 до 20000000",IF(IFERROR(VALUE(LEFT(M399,FIND("-",M399)-1)),M399)*210&lt;60000,"Вы уменьшили цену в несколько раз, товар попадет в карантин цен","")))),"")</f>
      </c>
    </row>
    <row r="400">
      <c r="A400" s="2" t="inlineStr">
        <is>
          <t>MAHLE</t>
        </is>
      </c>
      <c r="B400" s="2" t="inlineStr">
        <is>
          <t>Фильтры масляные</t>
        </is>
      </c>
      <c r="C400" s="2">
        <v>159700867</v>
      </c>
      <c r="D400" s="2" t="inlineStr">
        <is>
          <t>RIR-OC1051</t>
        </is>
      </c>
      <c r="E400" s="2" t="inlineStr">
        <is>
          <t>2037782207097</t>
        </is>
      </c>
      <c r="F400" s="2">
        <v>0</v>
      </c>
      <c r="G400" s="2">
        <v>0</v>
      </c>
      <c r="H400" s="2">
        <v>0</v>
      </c>
      <c r="I400" s="2" t="inlineStr">
        <is>
          <t>660</t>
        </is>
      </c>
      <c r="J400" s="4"/>
      <c r="K400" s="2">
        <v>0</v>
      </c>
      <c r="L400" s="6"/>
      <c r="M400" s="2" t="str">
        <f>IF(J400="",ROUND(I400*(1-IF(ISBLANK(L400),K400,L400)/100),2),ROUND(J400*(1-IF(ISBLANK(L400),K400,L400)/100),2))</f>
      </c>
      <c r="N400" s="7" t="str">
        <f>IF(NOT(AND(J400="",L400="")),IF(OR(AND(L400&lt;&gt;"",NOT(ISNUMBER(L400))),IFERROR(MOD(L400,1),1)&gt;0,AND(ISNUMBER(L400),OR(L400&lt;0,L400&gt;95))),"Введите целое число от 0 до 95",IF(OR(AND(J400&lt;&gt;"",NOT(ISNUMBER(J400))),IFERROR(MOD(J400,1),1)&gt;0,AND(ISNUMBER(J400),OR(J400&lt;50,J400&gt;20000000))),"Введите целое число от 50 до 20000000",IF(NOT(ABS(IFERROR(VALUE(LEFT(M400,FIND("-",M400)-1)),M400)*100-(5000+2000000000)/2)&lt;=ABS(5000-2000000000)/2),"Цена со скидкой должна быть от 50 до 20000000",IF(IFERROR(VALUE(LEFT(M400,FIND("-",M400)-1)),M400)*210&lt;66000,"Вы уменьшили цену в несколько раз, товар попадет в карантин цен","")))),"")</f>
      </c>
    </row>
    <row r="401">
      <c r="A401" s="2" t="inlineStr">
        <is>
          <t>Miles</t>
        </is>
      </c>
      <c r="B401" s="2" t="inlineStr">
        <is>
          <t>Колодки автомобильные</t>
        </is>
      </c>
      <c r="C401" s="2">
        <v>232457234</v>
      </c>
      <c r="D401" s="2" t="inlineStr">
        <is>
          <t>RIR-E500036</t>
        </is>
      </c>
      <c r="E401" s="2" t="inlineStr">
        <is>
          <t>2040054816682</t>
        </is>
      </c>
      <c r="F401" s="2">
        <v>0</v>
      </c>
      <c r="G401" s="2">
        <v>0</v>
      </c>
      <c r="H401" s="2" t="inlineStr">
        <is>
          <t/>
        </is>
      </c>
      <c r="I401" s="2" t="inlineStr">
        <is>
          <t>2350</t>
        </is>
      </c>
      <c r="J401" s="4"/>
      <c r="K401" s="2">
        <v>3</v>
      </c>
      <c r="L401" s="6"/>
      <c r="M401" s="2" t="str">
        <f>IF(J401="",ROUND(I401*(1-IF(ISBLANK(L401),K401,L401)/100),2),ROUND(J401*(1-IF(ISBLANK(L401),K401,L401)/100),2))</f>
      </c>
      <c r="N401" s="7" t="str">
        <f>IF(NOT(AND(J401="",L401="")),IF(OR(AND(L401&lt;&gt;"",NOT(ISNUMBER(L401))),IFERROR(MOD(L401,1),1)&gt;0,AND(ISNUMBER(L401),OR(L401&lt;0,L401&gt;95))),"Введите целое число от 0 до 95",IF(OR(AND(J401&lt;&gt;"",NOT(ISNUMBER(J401))),IFERROR(MOD(J401,1),1)&gt;0,AND(ISNUMBER(J401),OR(J401&lt;50,J401&gt;20000000))),"Введите целое число от 50 до 20000000",IF(NOT(ABS(IFERROR(VALUE(LEFT(M401,FIND("-",M401)-1)),M401)*100-(5000+2000000000)/2)&lt;=ABS(5000-2000000000)/2),"Цена со скидкой должна быть от 50 до 20000000",IF(IFERROR(VALUE(LEFT(M401,FIND("-",M401)-1)),M401)*210&lt;227950,"Вы уменьшили цену в несколько раз, товар попадет в карантин цен","")))),"")</f>
      </c>
    </row>
    <row r="402">
      <c r="A402" s="2" t="inlineStr">
        <is>
          <t>filtron</t>
        </is>
      </c>
      <c r="B402" s="2" t="inlineStr">
        <is>
          <t>Фильтры масляные</t>
        </is>
      </c>
      <c r="C402" s="2">
        <v>85966703</v>
      </c>
      <c r="D402" s="2" t="inlineStr">
        <is>
          <t>RIR-OP617</t>
        </is>
      </c>
      <c r="E402" s="2" t="inlineStr">
        <is>
          <t>2033688705620</t>
        </is>
      </c>
      <c r="F402" s="2">
        <v>0</v>
      </c>
      <c r="G402" s="2">
        <v>1</v>
      </c>
      <c r="H402" s="2">
        <v>1</v>
      </c>
      <c r="I402" s="2" t="inlineStr">
        <is>
          <t>800</t>
        </is>
      </c>
      <c r="J402" s="4"/>
      <c r="K402" s="2">
        <v>15</v>
      </c>
      <c r="L402" s="6"/>
      <c r="M402" s="2" t="str">
        <f>IF(J402="",ROUND(I402*(1-IF(ISBLANK(L402),K402,L402)/100),2),ROUND(J402*(1-IF(ISBLANK(L402),K402,L402)/100),2))</f>
      </c>
      <c r="N402" s="7" t="str">
        <f>IF(NOT(AND(J402="",L402="")),IF(OR(AND(L402&lt;&gt;"",NOT(ISNUMBER(L402))),IFERROR(MOD(L402,1),1)&gt;0,AND(ISNUMBER(L402),OR(L402&lt;0,L402&gt;95))),"Введите целое число от 0 до 95",IF(OR(AND(J402&lt;&gt;"",NOT(ISNUMBER(J402))),IFERROR(MOD(J402,1),1)&gt;0,AND(ISNUMBER(J402),OR(J402&lt;50,J402&gt;20000000))),"Введите целое число от 50 до 20000000",IF(NOT(ABS(IFERROR(VALUE(LEFT(M402,FIND("-",M402)-1)),M402)*100-(5000+2000000000)/2)&lt;=ABS(5000-2000000000)/2),"Цена со скидкой должна быть от 50 до 20000000",IF(IFERROR(VALUE(LEFT(M402,FIND("-",M402)-1)),M402)*210&lt;68000,"Вы уменьшили цену в несколько раз, товар попадет в карантин цен","")))),"")</f>
      </c>
    </row>
    <row r="403">
      <c r="A403" s="2" t="inlineStr">
        <is>
          <t>LYNXauto</t>
        </is>
      </c>
      <c r="B403" s="2" t="inlineStr">
        <is>
          <t>Катушки зажигания</t>
        </is>
      </c>
      <c r="C403" s="2">
        <v>145452623</v>
      </c>
      <c r="D403" s="2" t="inlineStr">
        <is>
          <t>RIR-SPL1004</t>
        </is>
      </c>
      <c r="E403" s="2" t="inlineStr">
        <is>
          <t>2037440838823</t>
        </is>
      </c>
      <c r="F403" s="2">
        <v>0</v>
      </c>
      <c r="G403" s="2">
        <v>4</v>
      </c>
      <c r="H403" s="2">
        <v>0</v>
      </c>
      <c r="I403" s="2" t="inlineStr">
        <is>
          <t>2200</t>
        </is>
      </c>
      <c r="J403" s="4"/>
      <c r="K403" s="2">
        <v>20</v>
      </c>
      <c r="L403" s="6"/>
      <c r="M403" s="2" t="str">
        <f>IF(J403="",ROUND(I403*(1-IF(ISBLANK(L403),K403,L403)/100),2),ROUND(J403*(1-IF(ISBLANK(L403),K403,L403)/100),2))</f>
      </c>
      <c r="N403" s="7" t="str">
        <f>IF(NOT(AND(J403="",L403="")),IF(OR(AND(L403&lt;&gt;"",NOT(ISNUMBER(L403))),IFERROR(MOD(L403,1),1)&gt;0,AND(ISNUMBER(L403),OR(L403&lt;0,L403&gt;95))),"Введите целое число от 0 до 95",IF(OR(AND(J403&lt;&gt;"",NOT(ISNUMBER(J403))),IFERROR(MOD(J403,1),1)&gt;0,AND(ISNUMBER(J403),OR(J403&lt;50,J403&gt;20000000))),"Введите целое число от 50 до 20000000",IF(NOT(ABS(IFERROR(VALUE(LEFT(M403,FIND("-",M403)-1)),M403)*100-(5000+2000000000)/2)&lt;=ABS(5000-2000000000)/2),"Цена со скидкой должна быть от 50 до 20000000",IF(IFERROR(VALUE(LEFT(M403,FIND("-",M403)-1)),M403)*210&lt;176000,"Вы уменьшили цену в несколько раз, товар попадет в карантин цен","")))),"")</f>
      </c>
    </row>
    <row r="404">
      <c r="A404" s="2" t="inlineStr">
        <is>
          <t>AMD</t>
        </is>
      </c>
      <c r="B404" s="2" t="inlineStr">
        <is>
          <t>Фильтры салонные</t>
        </is>
      </c>
      <c r="C404" s="2">
        <v>151173901</v>
      </c>
      <c r="D404" s="2" t="inlineStr">
        <is>
          <t>RIR-AMDFC167A</t>
        </is>
      </c>
      <c r="E404" s="2" t="inlineStr">
        <is>
          <t>2037593685145</t>
        </is>
      </c>
      <c r="F404" s="2">
        <v>0</v>
      </c>
      <c r="G404" s="2">
        <v>1</v>
      </c>
      <c r="H404" s="2">
        <v>1</v>
      </c>
      <c r="I404" s="2" t="inlineStr">
        <is>
          <t>630</t>
        </is>
      </c>
      <c r="J404" s="4"/>
      <c r="K404" s="2">
        <v>3</v>
      </c>
      <c r="L404" s="6"/>
      <c r="M404" s="2" t="str">
        <f>IF(J404="",ROUND(I404*(1-IF(ISBLANK(L404),K404,L404)/100),2),ROUND(J404*(1-IF(ISBLANK(L404),K404,L404)/100),2))</f>
      </c>
      <c r="N404" s="7" t="str">
        <f>IF(NOT(AND(J404="",L404="")),IF(OR(AND(L404&lt;&gt;"",NOT(ISNUMBER(L404))),IFERROR(MOD(L404,1),1)&gt;0,AND(ISNUMBER(L404),OR(L404&lt;0,L404&gt;95))),"Введите целое число от 0 до 95",IF(OR(AND(J404&lt;&gt;"",NOT(ISNUMBER(J404))),IFERROR(MOD(J404,1),1)&gt;0,AND(ISNUMBER(J404),OR(J404&lt;50,J404&gt;20000000))),"Введите целое число от 50 до 20000000",IF(NOT(ABS(IFERROR(VALUE(LEFT(M404,FIND("-",M404)-1)),M404)*100-(5000+2000000000)/2)&lt;=ABS(5000-2000000000)/2),"Цена со скидкой должна быть от 50 до 20000000",IF(IFERROR(VALUE(LEFT(M404,FIND("-",M404)-1)),M404)*210&lt;61110,"Вы уменьшили цену в несколько раз, товар попадет в карантин цен","")))),"")</f>
      </c>
    </row>
    <row r="405">
      <c r="A405" s="2" t="inlineStr">
        <is>
          <t>S&amp;K</t>
        </is>
      </c>
      <c r="B405" s="2" t="inlineStr">
        <is>
          <t>Фильтры масляные</t>
        </is>
      </c>
      <c r="C405" s="2">
        <v>248492306</v>
      </c>
      <c r="D405" s="2" t="inlineStr">
        <is>
          <t>RIR-SKOF1003</t>
        </is>
      </c>
      <c r="E405" s="2" t="inlineStr">
        <is>
          <t>2040804729347</t>
        </is>
      </c>
      <c r="F405" s="2">
        <v>0</v>
      </c>
      <c r="G405" s="2">
        <v>1</v>
      </c>
      <c r="H405" s="2" t="inlineStr">
        <is>
          <t/>
        </is>
      </c>
      <c r="I405" s="2" t="inlineStr">
        <is>
          <t>400</t>
        </is>
      </c>
      <c r="J405" s="4"/>
      <c r="K405" s="2">
        <v>2</v>
      </c>
      <c r="L405" s="6"/>
      <c r="M405" s="2" t="str">
        <f>IF(J405="",ROUND(I405*(1-IF(ISBLANK(L405),K405,L405)/100),2),ROUND(J405*(1-IF(ISBLANK(L405),K405,L405)/100),2))</f>
      </c>
      <c r="N405" s="7" t="str">
        <f>IF(NOT(AND(J405="",L405="")),IF(OR(AND(L405&lt;&gt;"",NOT(ISNUMBER(L405))),IFERROR(MOD(L405,1),1)&gt;0,AND(ISNUMBER(L405),OR(L405&lt;0,L405&gt;95))),"Введите целое число от 0 до 95",IF(OR(AND(J405&lt;&gt;"",NOT(ISNUMBER(J405))),IFERROR(MOD(J405,1),1)&gt;0,AND(ISNUMBER(J405),OR(J405&lt;50,J405&gt;20000000))),"Введите целое число от 50 до 20000000",IF(NOT(ABS(IFERROR(VALUE(LEFT(M405,FIND("-",M405)-1)),M405)*100-(5000+2000000000)/2)&lt;=ABS(5000-2000000000)/2),"Цена со скидкой должна быть от 50 до 20000000",IF(IFERROR(VALUE(LEFT(M405,FIND("-",M405)-1)),M405)*210&lt;39200,"Вы уменьшили цену в несколько раз, товар попадет в карантин цен","")))),"")</f>
      </c>
    </row>
    <row r="406">
      <c r="A406" s="2" t="inlineStr">
        <is>
          <t>CuteShop</t>
        </is>
      </c>
      <c r="B406" s="2" t="inlineStr">
        <is>
          <t>Держатели для пустышек</t>
        </is>
      </c>
      <c r="C406" s="2">
        <v>183439095</v>
      </c>
      <c r="D406" s="2" t="inlineStr">
        <is>
          <t>StasOlen</t>
        </is>
      </c>
      <c r="E406" s="2" t="inlineStr">
        <is>
          <t>2038824594298</t>
        </is>
      </c>
      <c r="F406" s="2">
        <v>0</v>
      </c>
      <c r="G406" s="2">
        <v>0</v>
      </c>
      <c r="H406" s="2" t="inlineStr">
        <is>
          <t/>
        </is>
      </c>
      <c r="I406" s="2" t="inlineStr">
        <is>
          <t>1030</t>
        </is>
      </c>
      <c r="J406" s="4"/>
      <c r="K406" s="2">
        <v>10</v>
      </c>
      <c r="L406" s="6"/>
      <c r="M406" s="2" t="str">
        <f>IF(J406="",ROUND(I406*(1-IF(ISBLANK(L406),K406,L406)/100),2),ROUND(J406*(1-IF(ISBLANK(L406),K406,L406)/100),2))</f>
      </c>
      <c r="N406" s="7" t="str">
        <f>IF(NOT(AND(J406="",L406="")),IF(OR(AND(L406&lt;&gt;"",NOT(ISNUMBER(L406))),IFERROR(MOD(L406,1),1)&gt;0,AND(ISNUMBER(L406),OR(L406&lt;0,L406&gt;95))),"Введите целое число от 0 до 95",IF(OR(AND(J406&lt;&gt;"",NOT(ISNUMBER(J406))),IFERROR(MOD(J406,1),1)&gt;0,AND(ISNUMBER(J406),OR(J406&lt;50,J406&gt;20000000))),"Введите целое число от 50 до 20000000",IF(NOT(ABS(IFERROR(VALUE(LEFT(M406,FIND("-",M406)-1)),M406)*100-(5000+2000000000)/2)&lt;=ABS(5000-2000000000)/2),"Цена со скидкой должна быть от 50 до 20000000",IF(IFERROR(VALUE(LEFT(M406,FIND("-",M406)-1)),M406)*229&lt;92700,"Вы уменьшили цену в несколько раз, товар попадет в карантин цен","")))),"")</f>
      </c>
    </row>
    <row r="407">
      <c r="A407" s="2" t="inlineStr">
        <is>
          <t>CuteShop</t>
        </is>
      </c>
      <c r="B407" s="2" t="inlineStr">
        <is>
          <t>Держатели для пустышек</t>
        </is>
      </c>
      <c r="C407" s="2">
        <v>183439097</v>
      </c>
      <c r="D407" s="2" t="inlineStr">
        <is>
          <t>StasSob</t>
        </is>
      </c>
      <c r="E407" s="2" t="inlineStr">
        <is>
          <t>2038824597589</t>
        </is>
      </c>
      <c r="F407" s="2">
        <v>0</v>
      </c>
      <c r="G407" s="2">
        <v>0</v>
      </c>
      <c r="H407" s="2" t="inlineStr">
        <is>
          <t/>
        </is>
      </c>
      <c r="I407" s="2" t="inlineStr">
        <is>
          <t>1030</t>
        </is>
      </c>
      <c r="J407" s="4"/>
      <c r="K407" s="2">
        <v>10</v>
      </c>
      <c r="L407" s="6"/>
      <c r="M407" s="2" t="str">
        <f>IF(J407="",ROUND(I407*(1-IF(ISBLANK(L407),K407,L407)/100),2),ROUND(J407*(1-IF(ISBLANK(L407),K407,L407)/100),2))</f>
      </c>
      <c r="N407" s="7" t="str">
        <f>IF(NOT(AND(J407="",L407="")),IF(OR(AND(L407&lt;&gt;"",NOT(ISNUMBER(L407))),IFERROR(MOD(L407,1),1)&gt;0,AND(ISNUMBER(L407),OR(L407&lt;0,L407&gt;95))),"Введите целое число от 0 до 95",IF(OR(AND(J407&lt;&gt;"",NOT(ISNUMBER(J407))),IFERROR(MOD(J407,1),1)&gt;0,AND(ISNUMBER(J407),OR(J407&lt;50,J407&gt;20000000))),"Введите целое число от 50 до 20000000",IF(NOT(ABS(IFERROR(VALUE(LEFT(M407,FIND("-",M407)-1)),M407)*100-(5000+2000000000)/2)&lt;=ABS(5000-2000000000)/2),"Цена со скидкой должна быть от 50 до 20000000",IF(IFERROR(VALUE(LEFT(M407,FIND("-",M407)-1)),M407)*229&lt;92700,"Вы уменьшили цену в несколько раз, товар попадет в карантин цен","")))),"")</f>
      </c>
    </row>
    <row r="408">
      <c r="A408" s="2" t="inlineStr">
        <is>
          <t>CuteShop</t>
        </is>
      </c>
      <c r="B408" s="2" t="inlineStr">
        <is>
          <t>Держатели для пустышек</t>
        </is>
      </c>
      <c r="C408" s="2">
        <v>111031673</v>
      </c>
      <c r="D408" s="2" t="inlineStr">
        <is>
          <t>MaksimOl</t>
        </is>
      </c>
      <c r="E408" s="2" t="inlineStr">
        <is>
          <t>2037464394626</t>
        </is>
      </c>
      <c r="F408" s="2">
        <v>0</v>
      </c>
      <c r="G408" s="2">
        <v>0</v>
      </c>
      <c r="H408" s="2" t="inlineStr">
        <is>
          <t/>
        </is>
      </c>
      <c r="I408" s="2" t="inlineStr">
        <is>
          <t>1030</t>
        </is>
      </c>
      <c r="J408" s="4"/>
      <c r="K408" s="2">
        <v>10</v>
      </c>
      <c r="L408" s="6"/>
      <c r="M408" s="2" t="str">
        <f>IF(J408="",ROUND(I408*(1-IF(ISBLANK(L408),K408,L408)/100),2),ROUND(J408*(1-IF(ISBLANK(L408),K408,L408)/100),2))</f>
      </c>
      <c r="N408" s="7" t="str">
        <f>IF(NOT(AND(J408="",L408="")),IF(OR(AND(L408&lt;&gt;"",NOT(ISNUMBER(L408))),IFERROR(MOD(L408,1),1)&gt;0,AND(ISNUMBER(L408),OR(L408&lt;0,L408&gt;95))),"Введите целое число от 0 до 95",IF(OR(AND(J408&lt;&gt;"",NOT(ISNUMBER(J408))),IFERROR(MOD(J408,1),1)&gt;0,AND(ISNUMBER(J408),OR(J408&lt;50,J408&gt;20000000))),"Введите целое число от 50 до 20000000",IF(NOT(ABS(IFERROR(VALUE(LEFT(M408,FIND("-",M408)-1)),M408)*100-(5000+2000000000)/2)&lt;=ABS(5000-2000000000)/2),"Цена со скидкой должна быть от 50 до 20000000",IF(IFERROR(VALUE(LEFT(M408,FIND("-",M408)-1)),M408)*229&lt;92700,"Вы уменьшили цену в несколько раз, товар попадет в карантин цен","")))),"")</f>
      </c>
    </row>
    <row r="409">
      <c r="A409" s="2" t="inlineStr">
        <is>
          <t>CuteShop</t>
        </is>
      </c>
      <c r="B409" s="2" t="inlineStr">
        <is>
          <t>Держатели для пустышек</t>
        </is>
      </c>
      <c r="C409" s="2">
        <v>112947173</v>
      </c>
      <c r="D409" s="2" t="inlineStr">
        <is>
          <t>UlyanaSlonRoz</t>
        </is>
      </c>
      <c r="E409" s="2" t="inlineStr">
        <is>
          <t>2038996520620</t>
        </is>
      </c>
      <c r="F409" s="2">
        <v>0</v>
      </c>
      <c r="G409" s="2">
        <v>0</v>
      </c>
      <c r="H409" s="2" t="inlineStr">
        <is>
          <t/>
        </is>
      </c>
      <c r="I409" s="2" t="inlineStr">
        <is>
          <t>1030</t>
        </is>
      </c>
      <c r="J409" s="4"/>
      <c r="K409" s="2">
        <v>10</v>
      </c>
      <c r="L409" s="6"/>
      <c r="M409" s="2" t="str">
        <f>IF(J409="",ROUND(I409*(1-IF(ISBLANK(L409),K409,L409)/100),2),ROUND(J409*(1-IF(ISBLANK(L409),K409,L409)/100),2))</f>
      </c>
      <c r="N409" s="7" t="str">
        <f>IF(NOT(AND(J409="",L409="")),IF(OR(AND(L409&lt;&gt;"",NOT(ISNUMBER(L409))),IFERROR(MOD(L409,1),1)&gt;0,AND(ISNUMBER(L409),OR(L409&lt;0,L409&gt;95))),"Введите целое число от 0 до 95",IF(OR(AND(J409&lt;&gt;"",NOT(ISNUMBER(J409))),IFERROR(MOD(J409,1),1)&gt;0,AND(ISNUMBER(J409),OR(J409&lt;50,J409&gt;20000000))),"Введите целое число от 50 до 20000000",IF(NOT(ABS(IFERROR(VALUE(LEFT(M409,FIND("-",M409)-1)),M409)*100-(5000+2000000000)/2)&lt;=ABS(5000-2000000000)/2),"Цена со скидкой должна быть от 50 до 20000000",IF(IFERROR(VALUE(LEFT(M409,FIND("-",M409)-1)),M409)*229&lt;92700,"Вы уменьшили цену в несколько раз, товар попадет в карантин цен","")))),"")</f>
      </c>
    </row>
    <row r="410">
      <c r="A410" s="2" t="inlineStr">
        <is>
          <t>SUN</t>
        </is>
      </c>
      <c r="B410" s="2" t="inlineStr">
        <is>
          <t>Ремни приводные</t>
        </is>
      </c>
      <c r="C410" s="2">
        <v>85978694</v>
      </c>
      <c r="D410" s="2" t="inlineStr">
        <is>
          <t>4PK950</t>
        </is>
      </c>
      <c r="E410" s="2" t="inlineStr">
        <is>
          <t>2033698164752</t>
        </is>
      </c>
      <c r="F410" s="2">
        <v>0</v>
      </c>
      <c r="G410" s="2">
        <v>5</v>
      </c>
      <c r="H410" s="2">
        <v>0</v>
      </c>
      <c r="I410" s="2" t="inlineStr">
        <is>
          <t>500</t>
        </is>
      </c>
      <c r="J410" s="4"/>
      <c r="K410" s="2">
        <v>2</v>
      </c>
      <c r="L410" s="6"/>
      <c r="M410" s="2" t="str">
        <f>IF(J410="",ROUND(I410*(1-IF(ISBLANK(L410),K410,L410)/100),2),ROUND(J410*(1-IF(ISBLANK(L410),K410,L410)/100),2))</f>
      </c>
      <c r="N410" s="7" t="str">
        <f>IF(NOT(AND(J410="",L410="")),IF(OR(AND(L410&lt;&gt;"",NOT(ISNUMBER(L410))),IFERROR(MOD(L410,1),1)&gt;0,AND(ISNUMBER(L410),OR(L410&lt;0,L410&gt;95))),"Введите целое число от 0 до 95",IF(OR(AND(J410&lt;&gt;"",NOT(ISNUMBER(J410))),IFERROR(MOD(J410,1),1)&gt;0,AND(ISNUMBER(J410),OR(J410&lt;50,J410&gt;20000000))),"Введите целое число от 50 до 20000000",IF(NOT(ABS(IFERROR(VALUE(LEFT(M410,FIND("-",M410)-1)),M410)*100-(5000+2000000000)/2)&lt;=ABS(5000-2000000000)/2),"Цена со скидкой должна быть от 50 до 20000000",IF(IFERROR(VALUE(LEFT(M410,FIND("-",M410)-1)),M410)*210&lt;49000,"Вы уменьшили цену в несколько раз, товар попадет в карантин цен","")))),"")</f>
      </c>
    </row>
    <row r="411">
      <c r="A411" s="2" t="inlineStr">
        <is>
          <t>AMD</t>
        </is>
      </c>
      <c r="B411" s="2" t="inlineStr">
        <is>
          <t>Фильтры воздушные</t>
        </is>
      </c>
      <c r="C411" s="2">
        <v>135754021</v>
      </c>
      <c r="D411" s="2" t="inlineStr">
        <is>
          <t>RIR-AMDFA789</t>
        </is>
      </c>
      <c r="E411" s="2" t="inlineStr">
        <is>
          <t>2037164837621</t>
        </is>
      </c>
      <c r="F411" s="2">
        <v>0</v>
      </c>
      <c r="G411" s="2">
        <v>1</v>
      </c>
      <c r="H411" s="2">
        <v>1</v>
      </c>
      <c r="I411" s="2" t="inlineStr">
        <is>
          <t>540</t>
        </is>
      </c>
      <c r="J411" s="4"/>
      <c r="K411" s="2">
        <v>2</v>
      </c>
      <c r="L411" s="6"/>
      <c r="M411" s="2" t="str">
        <f>IF(J411="",ROUND(I411*(1-IF(ISBLANK(L411),K411,L411)/100),2),ROUND(J411*(1-IF(ISBLANK(L411),K411,L411)/100),2))</f>
      </c>
      <c r="N411" s="7" t="str">
        <f>IF(NOT(AND(J411="",L411="")),IF(OR(AND(L411&lt;&gt;"",NOT(ISNUMBER(L411))),IFERROR(MOD(L411,1),1)&gt;0,AND(ISNUMBER(L411),OR(L411&lt;0,L411&gt;95))),"Введите целое число от 0 до 95",IF(OR(AND(J411&lt;&gt;"",NOT(ISNUMBER(J411))),IFERROR(MOD(J411,1),1)&gt;0,AND(ISNUMBER(J411),OR(J411&lt;50,J411&gt;20000000))),"Введите целое число от 50 до 20000000",IF(NOT(ABS(IFERROR(VALUE(LEFT(M411,FIND("-",M411)-1)),M411)*100-(5000+2000000000)/2)&lt;=ABS(5000-2000000000)/2),"Цена со скидкой должна быть от 50 до 20000000",IF(IFERROR(VALUE(LEFT(M411,FIND("-",M411)-1)),M411)*210&lt;52920,"Вы уменьшили цену в несколько раз, товар попадет в карантин цен","")))),"")</f>
      </c>
    </row>
    <row r="412">
      <c r="A412" s="2" t="inlineStr">
        <is>
          <t>LYNXauto</t>
        </is>
      </c>
      <c r="B412" s="2" t="inlineStr">
        <is>
          <t>Колодки автомобильные</t>
        </is>
      </c>
      <c r="C412" s="2">
        <v>162882396</v>
      </c>
      <c r="D412" s="2" t="inlineStr">
        <is>
          <t>RIR-BD5739</t>
        </is>
      </c>
      <c r="E412" s="2" t="inlineStr">
        <is>
          <t>2037903142597</t>
        </is>
      </c>
      <c r="F412" s="2">
        <v>0</v>
      </c>
      <c r="G412" s="2">
        <v>0</v>
      </c>
      <c r="H412" s="2">
        <v>0</v>
      </c>
      <c r="I412" s="2" t="inlineStr">
        <is>
          <t>2200</t>
        </is>
      </c>
      <c r="J412" s="4"/>
      <c r="K412" s="2">
        <v>0</v>
      </c>
      <c r="L412" s="6"/>
      <c r="M412" s="2" t="str">
        <f>IF(J412="",ROUND(I412*(1-IF(ISBLANK(L412),K412,L412)/100),2),ROUND(J412*(1-IF(ISBLANK(L412),K412,L412)/100),2))</f>
      </c>
      <c r="N412" s="7" t="str">
        <f>IF(NOT(AND(J412="",L412="")),IF(OR(AND(L412&lt;&gt;"",NOT(ISNUMBER(L412))),IFERROR(MOD(L412,1),1)&gt;0,AND(ISNUMBER(L412),OR(L412&lt;0,L412&gt;95))),"Введите целое число от 0 до 95",IF(OR(AND(J412&lt;&gt;"",NOT(ISNUMBER(J412))),IFERROR(MOD(J412,1),1)&gt;0,AND(ISNUMBER(J412),OR(J412&lt;50,J412&gt;20000000))),"Введите целое число от 50 до 20000000",IF(NOT(ABS(IFERROR(VALUE(LEFT(M412,FIND("-",M412)-1)),M412)*100-(5000+2000000000)/2)&lt;=ABS(5000-2000000000)/2),"Цена со скидкой должна быть от 50 до 20000000",IF(IFERROR(VALUE(LEFT(M412,FIND("-",M412)-1)),M412)*210&lt;220000,"Вы уменьшили цену в несколько раз, товар попадет в карантин цен","")))),"")</f>
      </c>
    </row>
    <row r="413">
      <c r="A413" s="2" t="inlineStr">
        <is>
          <t>CuteShop</t>
        </is>
      </c>
      <c r="B413" s="2" t="inlineStr">
        <is>
          <t>Держатели для пустышек</t>
        </is>
      </c>
      <c r="C413" s="2">
        <v>87460469</v>
      </c>
      <c r="D413" s="2" t="inlineStr">
        <is>
          <t>SabinaBel</t>
        </is>
      </c>
      <c r="E413" s="2" t="inlineStr">
        <is>
          <t>2034791401621</t>
        </is>
      </c>
      <c r="F413" s="2">
        <v>0</v>
      </c>
      <c r="G413" s="2">
        <v>1</v>
      </c>
      <c r="H413" s="2">
        <v>0</v>
      </c>
      <c r="I413" s="2" t="inlineStr">
        <is>
          <t>1030</t>
        </is>
      </c>
      <c r="J413" s="4"/>
      <c r="K413" s="2">
        <v>10</v>
      </c>
      <c r="L413" s="6"/>
      <c r="M413" s="2" t="str">
        <f>IF(J413="",ROUND(I413*(1-IF(ISBLANK(L413),K413,L413)/100),2),ROUND(J413*(1-IF(ISBLANK(L413),K413,L413)/100),2))</f>
      </c>
      <c r="N413" s="7" t="str">
        <f>IF(NOT(AND(J413="",L413="")),IF(OR(AND(L413&lt;&gt;"",NOT(ISNUMBER(L413))),IFERROR(MOD(L413,1),1)&gt;0,AND(ISNUMBER(L413),OR(L413&lt;0,L413&gt;95))),"Введите целое число от 0 до 95",IF(OR(AND(J413&lt;&gt;"",NOT(ISNUMBER(J413))),IFERROR(MOD(J413,1),1)&gt;0,AND(ISNUMBER(J413),OR(J413&lt;50,J413&gt;20000000))),"Введите целое число от 50 до 20000000",IF(NOT(ABS(IFERROR(VALUE(LEFT(M413,FIND("-",M413)-1)),M413)*100-(5000+2000000000)/2)&lt;=ABS(5000-2000000000)/2),"Цена со скидкой должна быть от 50 до 20000000",IF(IFERROR(VALUE(LEFT(M413,FIND("-",M413)-1)),M413)*229&lt;92700,"Вы уменьшили цену в несколько раз, товар попадет в карантин цен","")))),"")</f>
      </c>
    </row>
    <row r="414">
      <c r="A414" s="2" t="inlineStr">
        <is>
          <t>Finwhale</t>
        </is>
      </c>
      <c r="B414" s="2" t="inlineStr">
        <is>
          <t>Свечи зажигания</t>
        </is>
      </c>
      <c r="C414" s="2">
        <v>104298827</v>
      </c>
      <c r="D414" s="2" t="inlineStr">
        <is>
          <t>RIR-FS46</t>
        </is>
      </c>
      <c r="E414" s="2" t="inlineStr">
        <is>
          <t>2036868500633</t>
        </is>
      </c>
      <c r="F414" s="2">
        <v>0</v>
      </c>
      <c r="G414" s="2">
        <v>1</v>
      </c>
      <c r="H414" s="2">
        <v>1</v>
      </c>
      <c r="I414" s="2" t="inlineStr">
        <is>
          <t>1100</t>
        </is>
      </c>
      <c r="J414" s="4"/>
      <c r="K414" s="2">
        <v>2</v>
      </c>
      <c r="L414" s="6"/>
      <c r="M414" s="2" t="str">
        <f>IF(J414="",ROUND(I414*(1-IF(ISBLANK(L414),K414,L414)/100),2),ROUND(J414*(1-IF(ISBLANK(L414),K414,L414)/100),2))</f>
      </c>
      <c r="N414" s="7" t="str">
        <f>IF(NOT(AND(J414="",L414="")),IF(OR(AND(L414&lt;&gt;"",NOT(ISNUMBER(L414))),IFERROR(MOD(L414,1),1)&gt;0,AND(ISNUMBER(L414),OR(L414&lt;0,L414&gt;95))),"Введите целое число от 0 до 95",IF(OR(AND(J414&lt;&gt;"",NOT(ISNUMBER(J414))),IFERROR(MOD(J414,1),1)&gt;0,AND(ISNUMBER(J414),OR(J414&lt;50,J414&gt;20000000))),"Введите целое число от 50 до 20000000",IF(NOT(ABS(IFERROR(VALUE(LEFT(M414,FIND("-",M414)-1)),M414)*100-(5000+2000000000)/2)&lt;=ABS(5000-2000000000)/2),"Цена со скидкой должна быть от 50 до 20000000",IF(IFERROR(VALUE(LEFT(M414,FIND("-",M414)-1)),M414)*210&lt;107800,"Вы уменьшили цену в несколько раз, товар попадет в карантин цен","")))),"")</f>
      </c>
    </row>
    <row r="415">
      <c r="A415" s="2" t="inlineStr">
        <is>
          <t>CuteShop</t>
        </is>
      </c>
      <c r="B415" s="2" t="inlineStr">
        <is>
          <t>Держатели для пустышек</t>
        </is>
      </c>
      <c r="C415" s="2">
        <v>371775674</v>
      </c>
      <c r="D415" s="2" t="inlineStr">
        <is>
          <t>KirushaBel</t>
        </is>
      </c>
      <c r="E415" s="2" t="inlineStr">
        <is>
          <t>2043388356268</t>
        </is>
      </c>
      <c r="F415" s="2">
        <v>0</v>
      </c>
      <c r="G415" s="2">
        <v>1</v>
      </c>
      <c r="H415" s="2" t="inlineStr">
        <is>
          <t/>
        </is>
      </c>
      <c r="I415" s="2" t="inlineStr">
        <is>
          <t>1030</t>
        </is>
      </c>
      <c r="J415" s="4"/>
      <c r="K415" s="2">
        <v>10</v>
      </c>
      <c r="L415" s="6"/>
      <c r="M415" s="2" t="str">
        <f>IF(J415="",ROUND(I415*(1-IF(ISBLANK(L415),K415,L415)/100),2),ROUND(J415*(1-IF(ISBLANK(L415),K415,L415)/100),2))</f>
      </c>
      <c r="N415" s="7" t="str">
        <f>IF(NOT(AND(J415="",L415="")),IF(OR(AND(L415&lt;&gt;"",NOT(ISNUMBER(L415))),IFERROR(MOD(L415,1),1)&gt;0,AND(ISNUMBER(L415),OR(L415&lt;0,L415&gt;95))),"Введите целое число от 0 до 95",IF(OR(AND(J415&lt;&gt;"",NOT(ISNUMBER(J415))),IFERROR(MOD(J415,1),1)&gt;0,AND(ISNUMBER(J415),OR(J415&lt;50,J415&gt;20000000))),"Введите целое число от 50 до 20000000",IF(NOT(ABS(IFERROR(VALUE(LEFT(M415,FIND("-",M415)-1)),M415)*100-(5000+2000000000)/2)&lt;=ABS(5000-2000000000)/2),"Цена со скидкой должна быть от 50 до 20000000",IF(IFERROR(VALUE(LEFT(M415,FIND("-",M415)-1)),M415)*229&lt;92700,"Вы уменьшили цену в несколько раз, товар попадет в карантин цен","")))),"")</f>
      </c>
    </row>
    <row r="416">
      <c r="A416" s="2" t="inlineStr">
        <is>
          <t>DONGIL</t>
        </is>
      </c>
      <c r="B416" s="2" t="inlineStr">
        <is>
          <t>Ремни приводные</t>
        </is>
      </c>
      <c r="C416" s="2">
        <v>171182459</v>
      </c>
      <c r="D416" s="2" t="inlineStr">
        <is>
          <t>RIR-6PK1257-Dongil</t>
        </is>
      </c>
      <c r="E416" s="2" t="inlineStr">
        <is>
          <t>2038246328259</t>
        </is>
      </c>
      <c r="F416" s="2">
        <v>0</v>
      </c>
      <c r="G416" s="2">
        <v>1</v>
      </c>
      <c r="H416" s="2">
        <v>1</v>
      </c>
      <c r="I416" s="2" t="inlineStr">
        <is>
          <t>1120</t>
        </is>
      </c>
      <c r="J416" s="4"/>
      <c r="K416" s="2">
        <v>0</v>
      </c>
      <c r="L416" s="6"/>
      <c r="M416" s="2" t="str">
        <f>IF(J416="",ROUND(I416*(1-IF(ISBLANK(L416),K416,L416)/100),2),ROUND(J416*(1-IF(ISBLANK(L416),K416,L416)/100),2))</f>
      </c>
      <c r="N416" s="7" t="str">
        <f>IF(NOT(AND(J416="",L416="")),IF(OR(AND(L416&lt;&gt;"",NOT(ISNUMBER(L416))),IFERROR(MOD(L416,1),1)&gt;0,AND(ISNUMBER(L416),OR(L416&lt;0,L416&gt;95))),"Введите целое число от 0 до 95",IF(OR(AND(J416&lt;&gt;"",NOT(ISNUMBER(J416))),IFERROR(MOD(J416,1),1)&gt;0,AND(ISNUMBER(J416),OR(J416&lt;50,J416&gt;20000000))),"Введите целое число от 50 до 20000000",IF(NOT(ABS(IFERROR(VALUE(LEFT(M416,FIND("-",M416)-1)),M416)*100-(5000+2000000000)/2)&lt;=ABS(5000-2000000000)/2),"Цена со скидкой должна быть от 50 до 20000000",IF(IFERROR(VALUE(LEFT(M416,FIND("-",M416)-1)),M416)*210&lt;112000,"Вы уменьшили цену в несколько раз, товар попадет в карантин цен","")))),"")</f>
      </c>
    </row>
    <row r="417">
      <c r="A417" s="2" t="inlineStr">
        <is>
          <t>CuteShop</t>
        </is>
      </c>
      <c r="B417" s="2" t="inlineStr">
        <is>
          <t>Держатели для пустышек</t>
        </is>
      </c>
      <c r="C417" s="2">
        <v>245134274</v>
      </c>
      <c r="D417" s="2" t="inlineStr">
        <is>
          <t>RuslanSob2</t>
        </is>
      </c>
      <c r="E417" s="2" t="inlineStr">
        <is>
          <t>2040698740480</t>
        </is>
      </c>
      <c r="F417" s="2">
        <v>0</v>
      </c>
      <c r="G417" s="2">
        <v>0</v>
      </c>
      <c r="H417" s="2" t="inlineStr">
        <is>
          <t/>
        </is>
      </c>
      <c r="I417" s="2" t="inlineStr">
        <is>
          <t>1030</t>
        </is>
      </c>
      <c r="J417" s="4"/>
      <c r="K417" s="2">
        <v>10</v>
      </c>
      <c r="L417" s="6"/>
      <c r="M417" s="2" t="str">
        <f>IF(J417="",ROUND(I417*(1-IF(ISBLANK(L417),K417,L417)/100),2),ROUND(J417*(1-IF(ISBLANK(L417),K417,L417)/100),2))</f>
      </c>
      <c r="N417" s="7" t="str">
        <f>IF(NOT(AND(J417="",L417="")),IF(OR(AND(L417&lt;&gt;"",NOT(ISNUMBER(L417))),IFERROR(MOD(L417,1),1)&gt;0,AND(ISNUMBER(L417),OR(L417&lt;0,L417&gt;95))),"Введите целое число от 0 до 95",IF(OR(AND(J417&lt;&gt;"",NOT(ISNUMBER(J417))),IFERROR(MOD(J417,1),1)&gt;0,AND(ISNUMBER(J417),OR(J417&lt;50,J417&gt;20000000))),"Введите целое число от 50 до 20000000",IF(NOT(ABS(IFERROR(VALUE(LEFT(M417,FIND("-",M417)-1)),M417)*100-(5000+2000000000)/2)&lt;=ABS(5000-2000000000)/2),"Цена со скидкой должна быть от 50 до 20000000",IF(IFERROR(VALUE(LEFT(M417,FIND("-",M417)-1)),M417)*229&lt;92700,"Вы уменьшили цену в несколько раз, товар попадет в карантин цен","")))),"")</f>
      </c>
    </row>
    <row r="418">
      <c r="A418" s="2" t="inlineStr">
        <is>
          <t>CuteShop</t>
        </is>
      </c>
      <c r="B418" s="2" t="inlineStr">
        <is>
          <t>Держатели для пустышек</t>
        </is>
      </c>
      <c r="C418" s="2">
        <v>245142193</v>
      </c>
      <c r="D418" s="2" t="inlineStr">
        <is>
          <t>RomaLis2</t>
        </is>
      </c>
      <c r="E418" s="2" t="inlineStr">
        <is>
          <t>2040698966279</t>
        </is>
      </c>
      <c r="F418" s="2">
        <v>0</v>
      </c>
      <c r="G418" s="2">
        <v>1</v>
      </c>
      <c r="H418" s="2" t="inlineStr">
        <is>
          <t/>
        </is>
      </c>
      <c r="I418" s="2" t="inlineStr">
        <is>
          <t>840</t>
        </is>
      </c>
      <c r="J418" s="4"/>
      <c r="K418" s="2">
        <v>10</v>
      </c>
      <c r="L418" s="6"/>
      <c r="M418" s="2" t="str">
        <f>IF(J418="",ROUND(I418*(1-IF(ISBLANK(L418),K418,L418)/100),2),ROUND(J418*(1-IF(ISBLANK(L418),K418,L418)/100),2))</f>
      </c>
      <c r="N418" s="7" t="str">
        <f>IF(NOT(AND(J418="",L418="")),IF(OR(AND(L418&lt;&gt;"",NOT(ISNUMBER(L418))),IFERROR(MOD(L418,1),1)&gt;0,AND(ISNUMBER(L418),OR(L418&lt;0,L418&gt;95))),"Введите целое число от 0 до 95",IF(OR(AND(J418&lt;&gt;"",NOT(ISNUMBER(J418))),IFERROR(MOD(J418,1),1)&gt;0,AND(ISNUMBER(J418),OR(J418&lt;50,J418&gt;20000000))),"Введите целое число от 50 до 20000000",IF(NOT(ABS(IFERROR(VALUE(LEFT(M418,FIND("-",M418)-1)),M418)*100-(5000+2000000000)/2)&lt;=ABS(5000-2000000000)/2),"Цена со скидкой должна быть от 50 до 20000000",IF(IFERROR(VALUE(LEFT(M418,FIND("-",M418)-1)),M418)*229&lt;75600,"Вы уменьшили цену в несколько раз, товар попадет в карантин цен","")))),"")</f>
      </c>
    </row>
    <row r="419">
      <c r="A419" s="2" t="inlineStr">
        <is>
          <t>Sufix</t>
        </is>
      </c>
      <c r="B419" s="2" t="inlineStr">
        <is>
          <t>Фильтры масляные</t>
        </is>
      </c>
      <c r="C419" s="2">
        <v>216431868</v>
      </c>
      <c r="D419" s="2" t="inlineStr">
        <is>
          <t>RIR-SP1041</t>
        </is>
      </c>
      <c r="E419" s="2" t="inlineStr">
        <is>
          <t>2039640820936</t>
        </is>
      </c>
      <c r="F419" s="2">
        <v>0</v>
      </c>
      <c r="G419" s="2">
        <v>1</v>
      </c>
      <c r="H419" s="2" t="inlineStr">
        <is>
          <t/>
        </is>
      </c>
      <c r="I419" s="2" t="inlineStr">
        <is>
          <t>440</t>
        </is>
      </c>
      <c r="J419" s="4"/>
      <c r="K419" s="2">
        <v>0</v>
      </c>
      <c r="L419" s="6"/>
      <c r="M419" s="2" t="str">
        <f>IF(J419="",ROUND(I419*(1-IF(ISBLANK(L419),K419,L419)/100),2),ROUND(J419*(1-IF(ISBLANK(L419),K419,L419)/100),2))</f>
      </c>
      <c r="N419" s="7" t="str">
        <f>IF(NOT(AND(J419="",L419="")),IF(OR(AND(L419&lt;&gt;"",NOT(ISNUMBER(L419))),IFERROR(MOD(L419,1),1)&gt;0,AND(ISNUMBER(L419),OR(L419&lt;0,L419&gt;95))),"Введите целое число от 0 до 95",IF(OR(AND(J419&lt;&gt;"",NOT(ISNUMBER(J419))),IFERROR(MOD(J419,1),1)&gt;0,AND(ISNUMBER(J419),OR(J419&lt;50,J419&gt;20000000))),"Введите целое число от 50 до 20000000",IF(NOT(ABS(IFERROR(VALUE(LEFT(M419,FIND("-",M419)-1)),M419)*100-(5000+2000000000)/2)&lt;=ABS(5000-2000000000)/2),"Цена со скидкой должна быть от 50 до 20000000",IF(IFERROR(VALUE(LEFT(M419,FIND("-",M419)-1)),M419)*210&lt;44000,"Вы уменьшили цену в несколько раз, товар попадет в карантин цен","")))),"")</f>
      </c>
    </row>
    <row r="420">
      <c r="A420" s="2" t="inlineStr">
        <is>
          <t>CuteShop</t>
        </is>
      </c>
      <c r="B420" s="2" t="inlineStr">
        <is>
          <t>Держатели для пустышек</t>
        </is>
      </c>
      <c r="C420" s="2">
        <v>87674022</v>
      </c>
      <c r="D420" s="2" t="inlineStr">
        <is>
          <t>MilenaMish</t>
        </is>
      </c>
      <c r="E420" s="2" t="inlineStr">
        <is>
          <t>2034876400624</t>
        </is>
      </c>
      <c r="F420" s="2">
        <v>0</v>
      </c>
      <c r="G420" s="2">
        <v>1</v>
      </c>
      <c r="H420" s="2">
        <v>0</v>
      </c>
      <c r="I420" s="2" t="inlineStr">
        <is>
          <t>1030</t>
        </is>
      </c>
      <c r="J420" s="4"/>
      <c r="K420" s="2">
        <v>10</v>
      </c>
      <c r="L420" s="6"/>
      <c r="M420" s="2" t="str">
        <f>IF(J420="",ROUND(I420*(1-IF(ISBLANK(L420),K420,L420)/100),2),ROUND(J420*(1-IF(ISBLANK(L420),K420,L420)/100),2))</f>
      </c>
      <c r="N420" s="7" t="str">
        <f>IF(NOT(AND(J420="",L420="")),IF(OR(AND(L420&lt;&gt;"",NOT(ISNUMBER(L420))),IFERROR(MOD(L420,1),1)&gt;0,AND(ISNUMBER(L420),OR(L420&lt;0,L420&gt;95))),"Введите целое число от 0 до 95",IF(OR(AND(J420&lt;&gt;"",NOT(ISNUMBER(J420))),IFERROR(MOD(J420,1),1)&gt;0,AND(ISNUMBER(J420),OR(J420&lt;50,J420&gt;20000000))),"Введите целое число от 50 до 20000000",IF(NOT(ABS(IFERROR(VALUE(LEFT(M420,FIND("-",M420)-1)),M420)*100-(5000+2000000000)/2)&lt;=ABS(5000-2000000000)/2),"Цена со скидкой должна быть от 50 до 20000000",IF(IFERROR(VALUE(LEFT(M420,FIND("-",M420)-1)),M420)*229&lt;92700,"Вы уменьшили цену в несколько раз, товар попадет в карантин цен","")))),"")</f>
      </c>
    </row>
    <row r="421">
      <c r="A421" s="2" t="inlineStr">
        <is>
          <t>SAT</t>
        </is>
      </c>
      <c r="B421" s="2" t="inlineStr">
        <is>
          <t>Фильтры масляные</t>
        </is>
      </c>
      <c r="C421" s="2">
        <v>231323971</v>
      </c>
      <c r="D421" s="2" t="inlineStr">
        <is>
          <t>RIR-ST1060011</t>
        </is>
      </c>
      <c r="E421" s="2" t="inlineStr">
        <is>
          <t>2040002305046</t>
        </is>
      </c>
      <c r="F421" s="2">
        <v>0</v>
      </c>
      <c r="G421" s="2">
        <v>1</v>
      </c>
      <c r="H421" s="2" t="inlineStr">
        <is>
          <t/>
        </is>
      </c>
      <c r="I421" s="2" t="inlineStr">
        <is>
          <t>1400</t>
        </is>
      </c>
      <c r="J421" s="4"/>
      <c r="K421" s="2">
        <v>2</v>
      </c>
      <c r="L421" s="6"/>
      <c r="M421" s="2" t="str">
        <f>IF(J421="",ROUND(I421*(1-IF(ISBLANK(L421),K421,L421)/100),2),ROUND(J421*(1-IF(ISBLANK(L421),K421,L421)/100),2))</f>
      </c>
      <c r="N421" s="7" t="str">
        <f>IF(NOT(AND(J421="",L421="")),IF(OR(AND(L421&lt;&gt;"",NOT(ISNUMBER(L421))),IFERROR(MOD(L421,1),1)&gt;0,AND(ISNUMBER(L421),OR(L421&lt;0,L421&gt;95))),"Введите целое число от 0 до 95",IF(OR(AND(J421&lt;&gt;"",NOT(ISNUMBER(J421))),IFERROR(MOD(J421,1),1)&gt;0,AND(ISNUMBER(J421),OR(J421&lt;50,J421&gt;20000000))),"Введите целое число от 50 до 20000000",IF(NOT(ABS(IFERROR(VALUE(LEFT(M421,FIND("-",M421)-1)),M421)*100-(5000+2000000000)/2)&lt;=ABS(5000-2000000000)/2),"Цена со скидкой должна быть от 50 до 20000000",IF(IFERROR(VALUE(LEFT(M421,FIND("-",M421)-1)),M421)*210&lt;137200,"Вы уменьшили цену в несколько раз, товар попадет в карантин цен","")))),"")</f>
      </c>
    </row>
    <row r="422">
      <c r="A422" s="2" t="inlineStr">
        <is>
          <t>CuteShop</t>
        </is>
      </c>
      <c r="B422" s="2" t="inlineStr">
        <is>
          <t>Держатели для пустышек</t>
        </is>
      </c>
      <c r="C422" s="2">
        <v>269134380</v>
      </c>
      <c r="D422" s="2" t="inlineStr">
        <is>
          <t>VikulyaBel</t>
        </is>
      </c>
      <c r="E422" s="2" t="inlineStr">
        <is>
          <t>2041429488947</t>
        </is>
      </c>
      <c r="F422" s="2">
        <v>0</v>
      </c>
      <c r="G422" s="2">
        <v>1</v>
      </c>
      <c r="H422" s="2" t="inlineStr">
        <is>
          <t/>
        </is>
      </c>
      <c r="I422" s="2" t="inlineStr">
        <is>
          <t>1030</t>
        </is>
      </c>
      <c r="J422" s="4"/>
      <c r="K422" s="2">
        <v>10</v>
      </c>
      <c r="L422" s="6"/>
      <c r="M422" s="2" t="str">
        <f>IF(J422="",ROUND(I422*(1-IF(ISBLANK(L422),K422,L422)/100),2),ROUND(J422*(1-IF(ISBLANK(L422),K422,L422)/100),2))</f>
      </c>
      <c r="N422" s="7" t="str">
        <f>IF(NOT(AND(J422="",L422="")),IF(OR(AND(L422&lt;&gt;"",NOT(ISNUMBER(L422))),IFERROR(MOD(L422,1),1)&gt;0,AND(ISNUMBER(L422),OR(L422&lt;0,L422&gt;95))),"Введите целое число от 0 до 95",IF(OR(AND(J422&lt;&gt;"",NOT(ISNUMBER(J422))),IFERROR(MOD(J422,1),1)&gt;0,AND(ISNUMBER(J422),OR(J422&lt;50,J422&gt;20000000))),"Введите целое число от 50 до 20000000",IF(NOT(ABS(IFERROR(VALUE(LEFT(M422,FIND("-",M422)-1)),M422)*100-(5000+2000000000)/2)&lt;=ABS(5000-2000000000)/2),"Цена со скидкой должна быть от 50 до 20000000",IF(IFERROR(VALUE(LEFT(M422,FIND("-",M422)-1)),M422)*229&lt;92700,"Вы уменьшили цену в несколько раз, товар попадет в карантин цен","")))),"")</f>
      </c>
    </row>
    <row r="423">
      <c r="A423" s="2" t="inlineStr">
        <is>
          <t>CuteShop</t>
        </is>
      </c>
      <c r="B423" s="2" t="inlineStr">
        <is>
          <t>Держатели для пустышек</t>
        </is>
      </c>
      <c r="C423" s="2">
        <v>230345614</v>
      </c>
      <c r="D423" s="2" t="inlineStr">
        <is>
          <t>MariyaMashaMish</t>
        </is>
      </c>
      <c r="E423" s="2" t="inlineStr">
        <is>
          <t>2039967583798</t>
        </is>
      </c>
      <c r="F423" s="2">
        <v>0</v>
      </c>
      <c r="G423" s="2">
        <v>1</v>
      </c>
      <c r="H423" s="2" t="inlineStr">
        <is>
          <t/>
        </is>
      </c>
      <c r="I423" s="2" t="inlineStr">
        <is>
          <t>1030</t>
        </is>
      </c>
      <c r="J423" s="4"/>
      <c r="K423" s="2">
        <v>10</v>
      </c>
      <c r="L423" s="6"/>
      <c r="M423" s="2" t="str">
        <f>IF(J423="",ROUND(I423*(1-IF(ISBLANK(L423),K423,L423)/100),2),ROUND(J423*(1-IF(ISBLANK(L423),K423,L423)/100),2))</f>
      </c>
      <c r="N423" s="7" t="str">
        <f>IF(NOT(AND(J423="",L423="")),IF(OR(AND(L423&lt;&gt;"",NOT(ISNUMBER(L423))),IFERROR(MOD(L423,1),1)&gt;0,AND(ISNUMBER(L423),OR(L423&lt;0,L423&gt;95))),"Введите целое число от 0 до 95",IF(OR(AND(J423&lt;&gt;"",NOT(ISNUMBER(J423))),IFERROR(MOD(J423,1),1)&gt;0,AND(ISNUMBER(J423),OR(J423&lt;50,J423&gt;20000000))),"Введите целое число от 50 до 20000000",IF(NOT(ABS(IFERROR(VALUE(LEFT(M423,FIND("-",M423)-1)),M423)*100-(5000+2000000000)/2)&lt;=ABS(5000-2000000000)/2),"Цена со скидкой должна быть от 50 до 20000000",IF(IFERROR(VALUE(LEFT(M423,FIND("-",M423)-1)),M423)*229&lt;92700,"Вы уменьшили цену в несколько раз, товар попадет в карантин цен","")))),"")</f>
      </c>
    </row>
    <row r="424">
      <c r="A424" s="2" t="inlineStr">
        <is>
          <t>AMD</t>
        </is>
      </c>
      <c r="B424" s="2" t="inlineStr">
        <is>
          <t>Фильтры масляные</t>
        </is>
      </c>
      <c r="C424" s="2">
        <v>212968621</v>
      </c>
      <c r="D424" s="2" t="inlineStr">
        <is>
          <t>RIR-AMDFL322</t>
        </is>
      </c>
      <c r="E424" s="2" t="inlineStr">
        <is>
          <t>2039570051158</t>
        </is>
      </c>
      <c r="F424" s="2">
        <v>0</v>
      </c>
      <c r="G424" s="2">
        <v>1</v>
      </c>
      <c r="H424" s="2" t="inlineStr">
        <is>
          <t/>
        </is>
      </c>
      <c r="I424" s="2" t="inlineStr">
        <is>
          <t>770</t>
        </is>
      </c>
      <c r="J424" s="4"/>
      <c r="K424" s="2">
        <v>2</v>
      </c>
      <c r="L424" s="6"/>
      <c r="M424" s="2" t="str">
        <f>IF(J424="",ROUND(I424*(1-IF(ISBLANK(L424),K424,L424)/100),2),ROUND(J424*(1-IF(ISBLANK(L424),K424,L424)/100),2))</f>
      </c>
      <c r="N424" s="7" t="str">
        <f>IF(NOT(AND(J424="",L424="")),IF(OR(AND(L424&lt;&gt;"",NOT(ISNUMBER(L424))),IFERROR(MOD(L424,1),1)&gt;0,AND(ISNUMBER(L424),OR(L424&lt;0,L424&gt;95))),"Введите целое число от 0 до 95",IF(OR(AND(J424&lt;&gt;"",NOT(ISNUMBER(J424))),IFERROR(MOD(J424,1),1)&gt;0,AND(ISNUMBER(J424),OR(J424&lt;50,J424&gt;20000000))),"Введите целое число от 50 до 20000000",IF(NOT(ABS(IFERROR(VALUE(LEFT(M424,FIND("-",M424)-1)),M424)*100-(5000+2000000000)/2)&lt;=ABS(5000-2000000000)/2),"Цена со скидкой должна быть от 50 до 20000000",IF(IFERROR(VALUE(LEFT(M424,FIND("-",M424)-1)),M424)*210&lt;75460,"Вы уменьшили цену в несколько раз, товар попадет в карантин цен","")))),"")</f>
      </c>
    </row>
    <row r="425">
      <c r="A425" s="2" t="inlineStr">
        <is>
          <t>CuteShop</t>
        </is>
      </c>
      <c r="B425" s="2" t="inlineStr">
        <is>
          <t>Держатели для пустышек</t>
        </is>
      </c>
      <c r="C425" s="2">
        <v>112399648</v>
      </c>
      <c r="D425" s="2" t="inlineStr">
        <is>
          <t>MiyaBG</t>
        </is>
      </c>
      <c r="E425" s="2" t="inlineStr">
        <is>
          <t>2038790180624</t>
        </is>
      </c>
      <c r="F425" s="2">
        <v>0</v>
      </c>
      <c r="G425" s="2">
        <v>1</v>
      </c>
      <c r="H425" s="2">
        <v>0</v>
      </c>
      <c r="I425" s="2" t="inlineStr">
        <is>
          <t>790</t>
        </is>
      </c>
      <c r="J425" s="4"/>
      <c r="K425" s="2">
        <v>10</v>
      </c>
      <c r="L425" s="6"/>
      <c r="M425" s="2" t="str">
        <f>IF(J425="",ROUND(I425*(1-IF(ISBLANK(L425),K425,L425)/100),2),ROUND(J425*(1-IF(ISBLANK(L425),K425,L425)/100),2))</f>
      </c>
      <c r="N425" s="7" t="str">
        <f>IF(NOT(AND(J425="",L425="")),IF(OR(AND(L425&lt;&gt;"",NOT(ISNUMBER(L425))),IFERROR(MOD(L425,1),1)&gt;0,AND(ISNUMBER(L425),OR(L425&lt;0,L425&gt;95))),"Введите целое число от 0 до 95",IF(OR(AND(J425&lt;&gt;"",NOT(ISNUMBER(J425))),IFERROR(MOD(J425,1),1)&gt;0,AND(ISNUMBER(J425),OR(J425&lt;50,J425&gt;20000000))),"Введите целое число от 50 до 20000000",IF(NOT(ABS(IFERROR(VALUE(LEFT(M425,FIND("-",M425)-1)),M425)*100-(5000+2000000000)/2)&lt;=ABS(5000-2000000000)/2),"Цена со скидкой должна быть от 50 до 20000000",IF(IFERROR(VALUE(LEFT(M425,FIND("-",M425)-1)),M425)*229&lt;71100,"Вы уменьшили цену в несколько раз, товар попадет в карантин цен","")))),"")</f>
      </c>
    </row>
    <row r="426">
      <c r="A426" s="2" t="inlineStr">
        <is>
          <t>Luzar</t>
        </is>
      </c>
      <c r="B426" s="2" t="inlineStr">
        <is>
          <t>Термостаты двигателя</t>
        </is>
      </c>
      <c r="C426" s="2">
        <v>248592850</v>
      </c>
      <c r="D426" s="2" t="inlineStr">
        <is>
          <t>RIR-LT0822</t>
        </is>
      </c>
      <c r="E426" s="2" t="inlineStr">
        <is>
          <t>2040806000925</t>
        </is>
      </c>
      <c r="F426" s="2">
        <v>0</v>
      </c>
      <c r="G426" s="2">
        <v>1</v>
      </c>
      <c r="H426" s="2" t="inlineStr">
        <is>
          <t/>
        </is>
      </c>
      <c r="I426" s="2" t="inlineStr">
        <is>
          <t>1150</t>
        </is>
      </c>
      <c r="J426" s="4"/>
      <c r="K426" s="2">
        <v>0</v>
      </c>
      <c r="L426" s="6"/>
      <c r="M426" s="2" t="str">
        <f>IF(J426="",ROUND(I426*(1-IF(ISBLANK(L426),K426,L426)/100),2),ROUND(J426*(1-IF(ISBLANK(L426),K426,L426)/100),2))</f>
      </c>
      <c r="N426" s="7" t="str">
        <f>IF(NOT(AND(J426="",L426="")),IF(OR(AND(L426&lt;&gt;"",NOT(ISNUMBER(L426))),IFERROR(MOD(L426,1),1)&gt;0,AND(ISNUMBER(L426),OR(L426&lt;0,L426&gt;95))),"Введите целое число от 0 до 95",IF(OR(AND(J426&lt;&gt;"",NOT(ISNUMBER(J426))),IFERROR(MOD(J426,1),1)&gt;0,AND(ISNUMBER(J426),OR(J426&lt;50,J426&gt;20000000))),"Введите целое число от 50 до 20000000",IF(NOT(ABS(IFERROR(VALUE(LEFT(M426,FIND("-",M426)-1)),M426)*100-(5000+2000000000)/2)&lt;=ABS(5000-2000000000)/2),"Цена со скидкой должна быть от 50 до 20000000",IF(IFERROR(VALUE(LEFT(M426,FIND("-",M426)-1)),M426)*210&lt;115000,"Вы уменьшили цену в несколько раз, товар попадет в карантин цен","")))),"")</f>
      </c>
    </row>
    <row r="427">
      <c r="A427" s="2" t="inlineStr">
        <is>
          <t>CuteShop</t>
        </is>
      </c>
      <c r="B427" s="2" t="inlineStr">
        <is>
          <t>Держатели для пустышек</t>
        </is>
      </c>
      <c r="C427" s="2">
        <v>153823033</v>
      </c>
      <c r="D427" s="2" t="inlineStr">
        <is>
          <t>SonyaBel</t>
        </is>
      </c>
      <c r="E427" s="2" t="inlineStr">
        <is>
          <t>2037641454921</t>
        </is>
      </c>
      <c r="F427" s="2">
        <v>0</v>
      </c>
      <c r="G427" s="2">
        <v>1</v>
      </c>
      <c r="H427" s="2">
        <v>0</v>
      </c>
      <c r="I427" s="2" t="inlineStr">
        <is>
          <t>1030</t>
        </is>
      </c>
      <c r="J427" s="4"/>
      <c r="K427" s="2">
        <v>10</v>
      </c>
      <c r="L427" s="6"/>
      <c r="M427" s="2" t="str">
        <f>IF(J427="",ROUND(I427*(1-IF(ISBLANK(L427),K427,L427)/100),2),ROUND(J427*(1-IF(ISBLANK(L427),K427,L427)/100),2))</f>
      </c>
      <c r="N427" s="7" t="str">
        <f>IF(NOT(AND(J427="",L427="")),IF(OR(AND(L427&lt;&gt;"",NOT(ISNUMBER(L427))),IFERROR(MOD(L427,1),1)&gt;0,AND(ISNUMBER(L427),OR(L427&lt;0,L427&gt;95))),"Введите целое число от 0 до 95",IF(OR(AND(J427&lt;&gt;"",NOT(ISNUMBER(J427))),IFERROR(MOD(J427,1),1)&gt;0,AND(ISNUMBER(J427),OR(J427&lt;50,J427&gt;20000000))),"Введите целое число от 50 до 20000000",IF(NOT(ABS(IFERROR(VALUE(LEFT(M427,FIND("-",M427)-1)),M427)*100-(5000+2000000000)/2)&lt;=ABS(5000-2000000000)/2),"Цена со скидкой должна быть от 50 до 20000000",IF(IFERROR(VALUE(LEFT(M427,FIND("-",M427)-1)),M427)*229&lt;92700,"Вы уменьшили цену в несколько раз, товар попадет в карантин цен","")))),"")</f>
      </c>
    </row>
    <row r="428">
      <c r="A428" s="2" t="inlineStr">
        <is>
          <t>CTR</t>
        </is>
      </c>
      <c r="B428" s="2" t="inlineStr">
        <is>
          <t>Тяги рулевые</t>
        </is>
      </c>
      <c r="C428" s="2">
        <v>268284153</v>
      </c>
      <c r="D428" s="2" t="inlineStr">
        <is>
          <t>RIR-CR0356</t>
        </is>
      </c>
      <c r="E428" s="2" t="inlineStr">
        <is>
          <t>2041391870344</t>
        </is>
      </c>
      <c r="F428" s="2">
        <v>0</v>
      </c>
      <c r="G428" s="2">
        <v>2</v>
      </c>
      <c r="H428" s="2" t="inlineStr">
        <is>
          <t/>
        </is>
      </c>
      <c r="I428" s="2" t="inlineStr">
        <is>
          <t>2000</t>
        </is>
      </c>
      <c r="J428" s="4"/>
      <c r="K428" s="2">
        <v>4</v>
      </c>
      <c r="L428" s="6"/>
      <c r="M428" s="2" t="str">
        <f>IF(J428="",ROUND(I428*(1-IF(ISBLANK(L428),K428,L428)/100),2),ROUND(J428*(1-IF(ISBLANK(L428),K428,L428)/100),2))</f>
      </c>
      <c r="N428" s="7" t="str">
        <f>IF(NOT(AND(J428="",L428="")),IF(OR(AND(L428&lt;&gt;"",NOT(ISNUMBER(L428))),IFERROR(MOD(L428,1),1)&gt;0,AND(ISNUMBER(L428),OR(L428&lt;0,L428&gt;95))),"Введите целое число от 0 до 95",IF(OR(AND(J428&lt;&gt;"",NOT(ISNUMBER(J428))),IFERROR(MOD(J428,1),1)&gt;0,AND(ISNUMBER(J428),OR(J428&lt;50,J428&gt;20000000))),"Введите целое число от 50 до 20000000",IF(NOT(ABS(IFERROR(VALUE(LEFT(M428,FIND("-",M428)-1)),M428)*100-(5000+2000000000)/2)&lt;=ABS(5000-2000000000)/2),"Цена со скидкой должна быть от 50 до 20000000",IF(IFERROR(VALUE(LEFT(M428,FIND("-",M428)-1)),M428)*210&lt;192000,"Вы уменьшили цену в несколько раз, товар попадет в карантин цен","")))),"")</f>
      </c>
    </row>
    <row r="429">
      <c r="A429" s="2" t="inlineStr">
        <is>
          <t>CuteShop</t>
        </is>
      </c>
      <c r="B429" s="2" t="inlineStr">
        <is>
          <t>Держатели для пустышек</t>
        </is>
      </c>
      <c r="C429" s="2">
        <v>179851859</v>
      </c>
      <c r="D429" s="2" t="inlineStr">
        <is>
          <t>AmirBG2</t>
        </is>
      </c>
      <c r="E429" s="2" t="inlineStr">
        <is>
          <t>2038716138579</t>
        </is>
      </c>
      <c r="F429" s="2">
        <v>0</v>
      </c>
      <c r="G429" s="2">
        <v>1</v>
      </c>
      <c r="H429" s="2" t="inlineStr">
        <is>
          <t/>
        </is>
      </c>
      <c r="I429" s="2" t="inlineStr">
        <is>
          <t>790</t>
        </is>
      </c>
      <c r="J429" s="4"/>
      <c r="K429" s="2">
        <v>10</v>
      </c>
      <c r="L429" s="6"/>
      <c r="M429" s="2" t="str">
        <f>IF(J429="",ROUND(I429*(1-IF(ISBLANK(L429),K429,L429)/100),2),ROUND(J429*(1-IF(ISBLANK(L429),K429,L429)/100),2))</f>
      </c>
      <c r="N429" s="7" t="str">
        <f>IF(NOT(AND(J429="",L429="")),IF(OR(AND(L429&lt;&gt;"",NOT(ISNUMBER(L429))),IFERROR(MOD(L429,1),1)&gt;0,AND(ISNUMBER(L429),OR(L429&lt;0,L429&gt;95))),"Введите целое число от 0 до 95",IF(OR(AND(J429&lt;&gt;"",NOT(ISNUMBER(J429))),IFERROR(MOD(J429,1),1)&gt;0,AND(ISNUMBER(J429),OR(J429&lt;50,J429&gt;20000000))),"Введите целое число от 50 до 20000000",IF(NOT(ABS(IFERROR(VALUE(LEFT(M429,FIND("-",M429)-1)),M429)*100-(5000+2000000000)/2)&lt;=ABS(5000-2000000000)/2),"Цена со скидкой должна быть от 50 до 20000000",IF(IFERROR(VALUE(LEFT(M429,FIND("-",M429)-1)),M429)*229&lt;71100,"Вы уменьшили цену в несколько раз, товар попадет в карантин цен","")))),"")</f>
      </c>
    </row>
    <row r="430">
      <c r="A430" s="2" t="inlineStr">
        <is>
          <t>CuteShop</t>
        </is>
      </c>
      <c r="B430" s="2" t="inlineStr">
        <is>
          <t>Держатели для пустышек</t>
        </is>
      </c>
      <c r="C430" s="2">
        <v>245136596</v>
      </c>
      <c r="D430" s="2" t="inlineStr">
        <is>
          <t>TimoshaOlen</t>
        </is>
      </c>
      <c r="E430" s="2" t="inlineStr">
        <is>
          <t>2040698831904</t>
        </is>
      </c>
      <c r="F430" s="2">
        <v>0</v>
      </c>
      <c r="G430" s="2">
        <v>0</v>
      </c>
      <c r="H430" s="2" t="inlineStr">
        <is>
          <t/>
        </is>
      </c>
      <c r="I430" s="2" t="inlineStr">
        <is>
          <t>880</t>
        </is>
      </c>
      <c r="J430" s="4"/>
      <c r="K430" s="2">
        <v>10</v>
      </c>
      <c r="L430" s="6"/>
      <c r="M430" s="2" t="str">
        <f>IF(J430="",ROUND(I430*(1-IF(ISBLANK(L430),K430,L430)/100),2),ROUND(J430*(1-IF(ISBLANK(L430),K430,L430)/100),2))</f>
      </c>
      <c r="N430" s="7" t="str">
        <f>IF(NOT(AND(J430="",L430="")),IF(OR(AND(L430&lt;&gt;"",NOT(ISNUMBER(L430))),IFERROR(MOD(L430,1),1)&gt;0,AND(ISNUMBER(L430),OR(L430&lt;0,L430&gt;95))),"Введите целое число от 0 до 95",IF(OR(AND(J430&lt;&gt;"",NOT(ISNUMBER(J430))),IFERROR(MOD(J430,1),1)&gt;0,AND(ISNUMBER(J430),OR(J430&lt;50,J430&gt;20000000))),"Введите целое число от 50 до 20000000",IF(NOT(ABS(IFERROR(VALUE(LEFT(M430,FIND("-",M430)-1)),M430)*100-(5000+2000000000)/2)&lt;=ABS(5000-2000000000)/2),"Цена со скидкой должна быть от 50 до 20000000",IF(IFERROR(VALUE(LEFT(M430,FIND("-",M430)-1)),M430)*229&lt;79200,"Вы уменьшили цену в несколько раз, товар попадет в карантин цен","")))),"")</f>
      </c>
    </row>
    <row r="431">
      <c r="A431" s="2" t="inlineStr">
        <is>
          <t>CuteShop</t>
        </is>
      </c>
      <c r="B431" s="2" t="inlineStr">
        <is>
          <t>Держатели для пустышек</t>
        </is>
      </c>
      <c r="C431" s="2">
        <v>87721388</v>
      </c>
      <c r="D431" s="2" t="inlineStr">
        <is>
          <t>TimMish</t>
        </is>
      </c>
      <c r="E431" s="2" t="inlineStr">
        <is>
          <t>2034891936627</t>
        </is>
      </c>
      <c r="F431" s="2">
        <v>0</v>
      </c>
      <c r="G431" s="2">
        <v>1</v>
      </c>
      <c r="H431" s="2">
        <v>0</v>
      </c>
      <c r="I431" s="2" t="inlineStr">
        <is>
          <t>1030</t>
        </is>
      </c>
      <c r="J431" s="4"/>
      <c r="K431" s="2">
        <v>10</v>
      </c>
      <c r="L431" s="6"/>
      <c r="M431" s="2" t="str">
        <f>IF(J431="",ROUND(I431*(1-IF(ISBLANK(L431),K431,L431)/100),2),ROUND(J431*(1-IF(ISBLANK(L431),K431,L431)/100),2))</f>
      </c>
      <c r="N431" s="7" t="str">
        <f>IF(NOT(AND(J431="",L431="")),IF(OR(AND(L431&lt;&gt;"",NOT(ISNUMBER(L431))),IFERROR(MOD(L431,1),1)&gt;0,AND(ISNUMBER(L431),OR(L431&lt;0,L431&gt;95))),"Введите целое число от 0 до 95",IF(OR(AND(J431&lt;&gt;"",NOT(ISNUMBER(J431))),IFERROR(MOD(J431,1),1)&gt;0,AND(ISNUMBER(J431),OR(J431&lt;50,J431&gt;20000000))),"Введите целое число от 50 до 20000000",IF(NOT(ABS(IFERROR(VALUE(LEFT(M431,FIND("-",M431)-1)),M431)*100-(5000+2000000000)/2)&lt;=ABS(5000-2000000000)/2),"Цена со скидкой должна быть от 50 до 20000000",IF(IFERROR(VALUE(LEFT(M431,FIND("-",M431)-1)),M431)*229&lt;92700,"Вы уменьшили цену в несколько раз, товар попадет в карантин цен","")))),"")</f>
      </c>
    </row>
    <row r="432">
      <c r="A432" s="2" t="inlineStr">
        <is>
          <t>CuteShop</t>
        </is>
      </c>
      <c r="B432" s="2" t="inlineStr">
        <is>
          <t>Держатели для пустышек</t>
        </is>
      </c>
      <c r="C432" s="2">
        <v>147192019</v>
      </c>
      <c r="D432" s="2" t="inlineStr">
        <is>
          <t>RomaLis</t>
        </is>
      </c>
      <c r="E432" s="2" t="inlineStr">
        <is>
          <t>2037486104869</t>
        </is>
      </c>
      <c r="F432" s="2">
        <v>0</v>
      </c>
      <c r="G432" s="2">
        <v>1</v>
      </c>
      <c r="H432" s="2">
        <v>0</v>
      </c>
      <c r="I432" s="2" t="inlineStr">
        <is>
          <t>1020</t>
        </is>
      </c>
      <c r="J432" s="4"/>
      <c r="K432" s="2">
        <v>10</v>
      </c>
      <c r="L432" s="6"/>
      <c r="M432" s="2" t="str">
        <f>IF(J432="",ROUND(I432*(1-IF(ISBLANK(L432),K432,L432)/100),2),ROUND(J432*(1-IF(ISBLANK(L432),K432,L432)/100),2))</f>
      </c>
      <c r="N432" s="7" t="str">
        <f>IF(NOT(AND(J432="",L432="")),IF(OR(AND(L432&lt;&gt;"",NOT(ISNUMBER(L432))),IFERROR(MOD(L432,1),1)&gt;0,AND(ISNUMBER(L432),OR(L432&lt;0,L432&gt;95))),"Введите целое число от 0 до 95",IF(OR(AND(J432&lt;&gt;"",NOT(ISNUMBER(J432))),IFERROR(MOD(J432,1),1)&gt;0,AND(ISNUMBER(J432),OR(J432&lt;50,J432&gt;20000000))),"Введите целое число от 50 до 20000000",IF(NOT(ABS(IFERROR(VALUE(LEFT(M432,FIND("-",M432)-1)),M432)*100-(5000+2000000000)/2)&lt;=ABS(5000-2000000000)/2),"Цена со скидкой должна быть от 50 до 20000000",IF(IFERROR(VALUE(LEFT(M432,FIND("-",M432)-1)),M432)*229&lt;91800,"Вы уменьшили цену в несколько раз, товар попадет в карантин цен","")))),"")</f>
      </c>
    </row>
    <row r="433">
      <c r="A433" s="2" t="inlineStr">
        <is>
          <t>CuteShop</t>
        </is>
      </c>
      <c r="B433" s="2" t="inlineStr">
        <is>
          <t>Держатели для пустышек</t>
        </is>
      </c>
      <c r="C433" s="2">
        <v>232764804</v>
      </c>
      <c r="D433" s="2" t="inlineStr">
        <is>
          <t>GabrielMash</t>
        </is>
      </c>
      <c r="E433" s="2" t="inlineStr">
        <is>
          <t>2040070728310</t>
        </is>
      </c>
      <c r="F433" s="2">
        <v>0</v>
      </c>
      <c r="G433" s="2">
        <v>0</v>
      </c>
      <c r="H433" s="2" t="inlineStr">
        <is>
          <t/>
        </is>
      </c>
      <c r="I433" s="2" t="inlineStr">
        <is>
          <t>1030</t>
        </is>
      </c>
      <c r="J433" s="4"/>
      <c r="K433" s="2">
        <v>10</v>
      </c>
      <c r="L433" s="6"/>
      <c r="M433" s="2" t="str">
        <f>IF(J433="",ROUND(I433*(1-IF(ISBLANK(L433),K433,L433)/100),2),ROUND(J433*(1-IF(ISBLANK(L433),K433,L433)/100),2))</f>
      </c>
      <c r="N433" s="7" t="str">
        <f>IF(NOT(AND(J433="",L433="")),IF(OR(AND(L433&lt;&gt;"",NOT(ISNUMBER(L433))),IFERROR(MOD(L433,1),1)&gt;0,AND(ISNUMBER(L433),OR(L433&lt;0,L433&gt;95))),"Введите целое число от 0 до 95",IF(OR(AND(J433&lt;&gt;"",NOT(ISNUMBER(J433))),IFERROR(MOD(J433,1),1)&gt;0,AND(ISNUMBER(J433),OR(J433&lt;50,J433&gt;20000000))),"Введите целое число от 50 до 20000000",IF(NOT(ABS(IFERROR(VALUE(LEFT(M433,FIND("-",M433)-1)),M433)*100-(5000+2000000000)/2)&lt;=ABS(5000-2000000000)/2),"Цена со скидкой должна быть от 50 до 20000000",IF(IFERROR(VALUE(LEFT(M433,FIND("-",M433)-1)),M433)*229&lt;92700,"Вы уменьшили цену в несколько раз, товар попадет в карантин цен","")))),"")</f>
      </c>
    </row>
    <row r="434">
      <c r="A434" s="2" t="inlineStr">
        <is>
          <t>CuteShop</t>
        </is>
      </c>
      <c r="B434" s="2" t="inlineStr">
        <is>
          <t>Держатели для пустышек</t>
        </is>
      </c>
      <c r="C434" s="2">
        <v>179192103</v>
      </c>
      <c r="D434" s="2" t="inlineStr">
        <is>
          <t>LeraBG4</t>
        </is>
      </c>
      <c r="E434" s="2" t="inlineStr">
        <is>
          <t>2038695337246</t>
        </is>
      </c>
      <c r="F434" s="2">
        <v>0</v>
      </c>
      <c r="G434" s="2">
        <v>1</v>
      </c>
      <c r="H434" s="2">
        <v>0</v>
      </c>
      <c r="I434" s="2" t="inlineStr">
        <is>
          <t>790</t>
        </is>
      </c>
      <c r="J434" s="4"/>
      <c r="K434" s="2">
        <v>10</v>
      </c>
      <c r="L434" s="6"/>
      <c r="M434" s="2" t="str">
        <f>IF(J434="",ROUND(I434*(1-IF(ISBLANK(L434),K434,L434)/100),2),ROUND(J434*(1-IF(ISBLANK(L434),K434,L434)/100),2))</f>
      </c>
      <c r="N434" s="7" t="str">
        <f>IF(NOT(AND(J434="",L434="")),IF(OR(AND(L434&lt;&gt;"",NOT(ISNUMBER(L434))),IFERROR(MOD(L434,1),1)&gt;0,AND(ISNUMBER(L434),OR(L434&lt;0,L434&gt;95))),"Введите целое число от 0 до 95",IF(OR(AND(J434&lt;&gt;"",NOT(ISNUMBER(J434))),IFERROR(MOD(J434,1),1)&gt;0,AND(ISNUMBER(J434),OR(J434&lt;50,J434&gt;20000000))),"Введите целое число от 50 до 20000000",IF(NOT(ABS(IFERROR(VALUE(LEFT(M434,FIND("-",M434)-1)),M434)*100-(5000+2000000000)/2)&lt;=ABS(5000-2000000000)/2),"Цена со скидкой должна быть от 50 до 20000000",IF(IFERROR(VALUE(LEFT(M434,FIND("-",M434)-1)),M434)*229&lt;71100,"Вы уменьшили цену в несколько раз, товар попадет в карантин цен","")))),"")</f>
      </c>
    </row>
    <row r="435">
      <c r="A435" s="2" t="inlineStr">
        <is>
          <t>CuteShop</t>
        </is>
      </c>
      <c r="B435" s="2" t="inlineStr">
        <is>
          <t>Держатели для пустышек</t>
        </is>
      </c>
      <c r="C435" s="2">
        <v>105656693</v>
      </c>
      <c r="D435" s="2" t="inlineStr">
        <is>
          <t>StepanBG2</t>
        </is>
      </c>
      <c r="E435" s="2" t="inlineStr">
        <is>
          <t>2036887642802</t>
        </is>
      </c>
      <c r="F435" s="2">
        <v>0</v>
      </c>
      <c r="G435" s="2">
        <v>1</v>
      </c>
      <c r="H435" s="2">
        <v>0</v>
      </c>
      <c r="I435" s="2" t="inlineStr">
        <is>
          <t>790</t>
        </is>
      </c>
      <c r="J435" s="4"/>
      <c r="K435" s="2">
        <v>10</v>
      </c>
      <c r="L435" s="6"/>
      <c r="M435" s="2" t="str">
        <f>IF(J435="",ROUND(I435*(1-IF(ISBLANK(L435),K435,L435)/100),2),ROUND(J435*(1-IF(ISBLANK(L435),K435,L435)/100),2))</f>
      </c>
      <c r="N435" s="7" t="str">
        <f>IF(NOT(AND(J435="",L435="")),IF(OR(AND(L435&lt;&gt;"",NOT(ISNUMBER(L435))),IFERROR(MOD(L435,1),1)&gt;0,AND(ISNUMBER(L435),OR(L435&lt;0,L435&gt;95))),"Введите целое число от 0 до 95",IF(OR(AND(J435&lt;&gt;"",NOT(ISNUMBER(J435))),IFERROR(MOD(J435,1),1)&gt;0,AND(ISNUMBER(J435),OR(J435&lt;50,J435&gt;20000000))),"Введите целое число от 50 до 20000000",IF(NOT(ABS(IFERROR(VALUE(LEFT(M435,FIND("-",M435)-1)),M435)*100-(5000+2000000000)/2)&lt;=ABS(5000-2000000000)/2),"Цена со скидкой должна быть от 50 до 20000000",IF(IFERROR(VALUE(LEFT(M435,FIND("-",M435)-1)),M435)*229&lt;71100,"Вы уменьшили цену в несколько раз, товар попадет в карантин цен","")))),"")</f>
      </c>
    </row>
    <row r="436">
      <c r="A436" s="2" t="inlineStr">
        <is>
          <t>CuteShop</t>
        </is>
      </c>
      <c r="B436" s="2" t="inlineStr">
        <is>
          <t>Держатели для пустышек</t>
        </is>
      </c>
      <c r="C436" s="2">
        <v>321132585</v>
      </c>
      <c r="D436" s="2" t="inlineStr">
        <is>
          <t>SergeyMishB</t>
        </is>
      </c>
      <c r="E436" s="2" t="inlineStr">
        <is>
          <t>2042657952163</t>
        </is>
      </c>
      <c r="F436" s="2">
        <v>0</v>
      </c>
      <c r="G436" s="2">
        <v>1</v>
      </c>
      <c r="H436" s="2" t="inlineStr">
        <is>
          <t/>
        </is>
      </c>
      <c r="I436" s="2" t="inlineStr">
        <is>
          <t>1030</t>
        </is>
      </c>
      <c r="J436" s="4"/>
      <c r="K436" s="2">
        <v>10</v>
      </c>
      <c r="L436" s="6"/>
      <c r="M436" s="2" t="str">
        <f>IF(J436="",ROUND(I436*(1-IF(ISBLANK(L436),K436,L436)/100),2),ROUND(J436*(1-IF(ISBLANK(L436),K436,L436)/100),2))</f>
      </c>
      <c r="N436" s="7" t="str">
        <f>IF(NOT(AND(J436="",L436="")),IF(OR(AND(L436&lt;&gt;"",NOT(ISNUMBER(L436))),IFERROR(MOD(L436,1),1)&gt;0,AND(ISNUMBER(L436),OR(L436&lt;0,L436&gt;95))),"Введите целое число от 0 до 95",IF(OR(AND(J436&lt;&gt;"",NOT(ISNUMBER(J436))),IFERROR(MOD(J436,1),1)&gt;0,AND(ISNUMBER(J436),OR(J436&lt;50,J436&gt;20000000))),"Введите целое число от 50 до 20000000",IF(NOT(ABS(IFERROR(VALUE(LEFT(M436,FIND("-",M436)-1)),M436)*100-(5000+2000000000)/2)&lt;=ABS(5000-2000000000)/2),"Цена со скидкой должна быть от 50 до 20000000",IF(IFERROR(VALUE(LEFT(M436,FIND("-",M436)-1)),M436)*229&lt;92700,"Вы уменьшили цену в несколько раз, товар попадет в карантин цен","")))),"")</f>
      </c>
    </row>
    <row r="437">
      <c r="A437" s="2" t="inlineStr">
        <is>
          <t>CuteShop</t>
        </is>
      </c>
      <c r="B437" s="2" t="inlineStr">
        <is>
          <t>Держатели для пустышек</t>
        </is>
      </c>
      <c r="C437" s="2">
        <v>132235565</v>
      </c>
      <c r="D437" s="2" t="inlineStr">
        <is>
          <t>SashaDevBG2</t>
        </is>
      </c>
      <c r="E437" s="2" t="inlineStr">
        <is>
          <t>2037042708258</t>
        </is>
      </c>
      <c r="F437" s="2">
        <v>0</v>
      </c>
      <c r="G437" s="2">
        <v>1</v>
      </c>
      <c r="H437" s="2" t="inlineStr">
        <is>
          <t/>
        </is>
      </c>
      <c r="I437" s="2" t="inlineStr">
        <is>
          <t>790</t>
        </is>
      </c>
      <c r="J437" s="4"/>
      <c r="K437" s="2">
        <v>10</v>
      </c>
      <c r="L437" s="6"/>
      <c r="M437" s="2" t="str">
        <f>IF(J437="",ROUND(I437*(1-IF(ISBLANK(L437),K437,L437)/100),2),ROUND(J437*(1-IF(ISBLANK(L437),K437,L437)/100),2))</f>
      </c>
      <c r="N437" s="7" t="str">
        <f>IF(NOT(AND(J437="",L437="")),IF(OR(AND(L437&lt;&gt;"",NOT(ISNUMBER(L437))),IFERROR(MOD(L437,1),1)&gt;0,AND(ISNUMBER(L437),OR(L437&lt;0,L437&gt;95))),"Введите целое число от 0 до 95",IF(OR(AND(J437&lt;&gt;"",NOT(ISNUMBER(J437))),IFERROR(MOD(J437,1),1)&gt;0,AND(ISNUMBER(J437),OR(J437&lt;50,J437&gt;20000000))),"Введите целое число от 50 до 20000000",IF(NOT(ABS(IFERROR(VALUE(LEFT(M437,FIND("-",M437)-1)),M437)*100-(5000+2000000000)/2)&lt;=ABS(5000-2000000000)/2),"Цена со скидкой должна быть от 50 до 20000000",IF(IFERROR(VALUE(LEFT(M437,FIND("-",M437)-1)),M437)*229&lt;71100,"Вы уменьшили цену в несколько раз, товар попадет в карантин цен","")))),"")</f>
      </c>
    </row>
    <row r="438">
      <c r="A438" s="2" t="inlineStr">
        <is>
          <t>CuteShop</t>
        </is>
      </c>
      <c r="B438" s="2" t="inlineStr">
        <is>
          <t>Держатели для пустышек</t>
        </is>
      </c>
      <c r="C438" s="2">
        <v>132235567</v>
      </c>
      <c r="D438" s="2" t="inlineStr">
        <is>
          <t>SashaDevZayRoz</t>
        </is>
      </c>
      <c r="E438" s="2" t="inlineStr">
        <is>
          <t>2037042721790</t>
        </is>
      </c>
      <c r="F438" s="2">
        <v>0</v>
      </c>
      <c r="G438" s="2">
        <v>1</v>
      </c>
      <c r="H438" s="2" t="inlineStr">
        <is>
          <t/>
        </is>
      </c>
      <c r="I438" s="2" t="inlineStr">
        <is>
          <t>1030</t>
        </is>
      </c>
      <c r="J438" s="4"/>
      <c r="K438" s="2">
        <v>10</v>
      </c>
      <c r="L438" s="6"/>
      <c r="M438" s="2" t="str">
        <f>IF(J438="",ROUND(I438*(1-IF(ISBLANK(L438),K438,L438)/100),2),ROUND(J438*(1-IF(ISBLANK(L438),K438,L438)/100),2))</f>
      </c>
      <c r="N438" s="7" t="str">
        <f>IF(NOT(AND(J438="",L438="")),IF(OR(AND(L438&lt;&gt;"",NOT(ISNUMBER(L438))),IFERROR(MOD(L438,1),1)&gt;0,AND(ISNUMBER(L438),OR(L438&lt;0,L438&gt;95))),"Введите целое число от 0 до 95",IF(OR(AND(J438&lt;&gt;"",NOT(ISNUMBER(J438))),IFERROR(MOD(J438,1),1)&gt;0,AND(ISNUMBER(J438),OR(J438&lt;50,J438&gt;20000000))),"Введите целое число от 50 до 20000000",IF(NOT(ABS(IFERROR(VALUE(LEFT(M438,FIND("-",M438)-1)),M438)*100-(5000+2000000000)/2)&lt;=ABS(5000-2000000000)/2),"Цена со скидкой должна быть от 50 до 20000000",IF(IFERROR(VALUE(LEFT(M438,FIND("-",M438)-1)),M438)*229&lt;92700,"Вы уменьшили цену в несколько раз, товар попадет в карантин цен","")))),"")</f>
      </c>
    </row>
    <row r="439">
      <c r="A439" s="2" t="inlineStr">
        <is>
          <t>CuteShop</t>
        </is>
      </c>
      <c r="B439" s="2" t="inlineStr">
        <is>
          <t>Держатели для пустышек</t>
        </is>
      </c>
      <c r="C439" s="2">
        <v>245140630</v>
      </c>
      <c r="D439" s="2" t="inlineStr">
        <is>
          <t>TimurBG2</t>
        </is>
      </c>
      <c r="E439" s="2" t="inlineStr">
        <is>
          <t>2040698910166</t>
        </is>
      </c>
      <c r="F439" s="2">
        <v>0</v>
      </c>
      <c r="G439" s="2">
        <v>1</v>
      </c>
      <c r="H439" s="2" t="inlineStr">
        <is>
          <t/>
        </is>
      </c>
      <c r="I439" s="2" t="inlineStr">
        <is>
          <t>700</t>
        </is>
      </c>
      <c r="J439" s="4"/>
      <c r="K439" s="2">
        <v>10</v>
      </c>
      <c r="L439" s="6"/>
      <c r="M439" s="2" t="str">
        <f>IF(J439="",ROUND(I439*(1-IF(ISBLANK(L439),K439,L439)/100),2),ROUND(J439*(1-IF(ISBLANK(L439),K439,L439)/100),2))</f>
      </c>
      <c r="N439" s="7" t="str">
        <f>IF(NOT(AND(J439="",L439="")),IF(OR(AND(L439&lt;&gt;"",NOT(ISNUMBER(L439))),IFERROR(MOD(L439,1),1)&gt;0,AND(ISNUMBER(L439),OR(L439&lt;0,L439&gt;95))),"Введите целое число от 0 до 95",IF(OR(AND(J439&lt;&gt;"",NOT(ISNUMBER(J439))),IFERROR(MOD(J439,1),1)&gt;0,AND(ISNUMBER(J439),OR(J439&lt;50,J439&gt;20000000))),"Введите целое число от 50 до 20000000",IF(NOT(ABS(IFERROR(VALUE(LEFT(M439,FIND("-",M439)-1)),M439)*100-(5000+2000000000)/2)&lt;=ABS(5000-2000000000)/2),"Цена со скидкой должна быть от 50 до 20000000",IF(IFERROR(VALUE(LEFT(M439,FIND("-",M439)-1)),M439)*229&lt;63000,"Вы уменьшили цену в несколько раз, товар попадет в карантин цен","")))),"")</f>
      </c>
    </row>
    <row r="440">
      <c r="A440" s="2" t="inlineStr">
        <is>
          <t>CuteShop</t>
        </is>
      </c>
      <c r="B440" s="2" t="inlineStr">
        <is>
          <t>Держатели для пустышек</t>
        </is>
      </c>
      <c r="C440" s="2">
        <v>146355732</v>
      </c>
      <c r="D440" s="2" t="inlineStr">
        <is>
          <t>RuslanBG</t>
        </is>
      </c>
      <c r="E440" s="2" t="inlineStr">
        <is>
          <t>2037465639290</t>
        </is>
      </c>
      <c r="F440" s="2">
        <v>0</v>
      </c>
      <c r="G440" s="2">
        <v>1</v>
      </c>
      <c r="H440" s="2">
        <v>0</v>
      </c>
      <c r="I440" s="2" t="inlineStr">
        <is>
          <t>790</t>
        </is>
      </c>
      <c r="J440" s="4"/>
      <c r="K440" s="2">
        <v>10</v>
      </c>
      <c r="L440" s="6"/>
      <c r="M440" s="2" t="str">
        <f>IF(J440="",ROUND(I440*(1-IF(ISBLANK(L440),K440,L440)/100),2),ROUND(J440*(1-IF(ISBLANK(L440),K440,L440)/100),2))</f>
      </c>
      <c r="N440" s="7" t="str">
        <f>IF(NOT(AND(J440="",L440="")),IF(OR(AND(L440&lt;&gt;"",NOT(ISNUMBER(L440))),IFERROR(MOD(L440,1),1)&gt;0,AND(ISNUMBER(L440),OR(L440&lt;0,L440&gt;95))),"Введите целое число от 0 до 95",IF(OR(AND(J440&lt;&gt;"",NOT(ISNUMBER(J440))),IFERROR(MOD(J440,1),1)&gt;0,AND(ISNUMBER(J440),OR(J440&lt;50,J440&gt;20000000))),"Введите целое число от 50 до 20000000",IF(NOT(ABS(IFERROR(VALUE(LEFT(M440,FIND("-",M440)-1)),M440)*100-(5000+2000000000)/2)&lt;=ABS(5000-2000000000)/2),"Цена со скидкой должна быть от 50 до 20000000",IF(IFERROR(VALUE(LEFT(M440,FIND("-",M440)-1)),M440)*229&lt;71100,"Вы уменьшили цену в несколько раз, товар попадет в карантин цен","")))),"")</f>
      </c>
    </row>
    <row r="441">
      <c r="A441" s="2" t="inlineStr">
        <is>
          <t>SUFIX автозапчасти</t>
        </is>
      </c>
      <c r="B441" s="2" t="inlineStr">
        <is>
          <t>Фильтры масляные</t>
        </is>
      </c>
      <c r="C441" s="2">
        <v>411590658</v>
      </c>
      <c r="D441" s="2" t="inlineStr">
        <is>
          <t>RIR-SP1005</t>
        </is>
      </c>
      <c r="E441" s="2" t="inlineStr">
        <is>
          <t>2043909546192</t>
        </is>
      </c>
      <c r="F441" s="2">
        <v>0</v>
      </c>
      <c r="G441" s="2">
        <v>1</v>
      </c>
      <c r="H441" s="2" t="inlineStr">
        <is>
          <t/>
        </is>
      </c>
      <c r="I441" s="2" t="inlineStr">
        <is>
          <t>460</t>
        </is>
      </c>
      <c r="J441" s="4"/>
      <c r="K441" s="2">
        <v>0</v>
      </c>
      <c r="L441" s="6"/>
      <c r="M441" s="2" t="str">
        <f>IF(J441="",ROUND(I441*(1-IF(ISBLANK(L441),K441,L441)/100),2),ROUND(J441*(1-IF(ISBLANK(L441),K441,L441)/100),2))</f>
      </c>
      <c r="N441" s="7" t="str">
        <f>IF(NOT(AND(J441="",L441="")),IF(OR(AND(L441&lt;&gt;"",NOT(ISNUMBER(L441))),IFERROR(MOD(L441,1),1)&gt;0,AND(ISNUMBER(L441),OR(L441&lt;0,L441&gt;95))),"Введите целое число от 0 до 95",IF(OR(AND(J441&lt;&gt;"",NOT(ISNUMBER(J441))),IFERROR(MOD(J441,1),1)&gt;0,AND(ISNUMBER(J441),OR(J441&lt;50,J441&gt;20000000))),"Введите целое число от 50 до 20000000",IF(NOT(ABS(IFERROR(VALUE(LEFT(M441,FIND("-",M441)-1)),M441)*100-(5000+2000000000)/2)&lt;=ABS(5000-2000000000)/2),"Цена со скидкой должна быть от 50 до 20000000",IF(IFERROR(VALUE(LEFT(M441,FIND("-",M441)-1)),M441)*210&lt;46000,"Вы уменьшили цену в несколько раз, товар попадет в карантин цен","")))),"")</f>
      </c>
    </row>
    <row r="442">
      <c r="A442" s="2" t="inlineStr">
        <is>
          <t>CuteShop</t>
        </is>
      </c>
      <c r="B442" s="2" t="inlineStr">
        <is>
          <t>Держатели для пустышек</t>
        </is>
      </c>
      <c r="C442" s="2">
        <v>173344230</v>
      </c>
      <c r="D442" s="2" t="inlineStr">
        <is>
          <t>AdelinaMish</t>
        </is>
      </c>
      <c r="E442" s="2" t="inlineStr">
        <is>
          <t>2038381412004</t>
        </is>
      </c>
      <c r="F442" s="2">
        <v>0</v>
      </c>
      <c r="G442" s="2">
        <v>1</v>
      </c>
      <c r="H442" s="2" t="inlineStr">
        <is>
          <t/>
        </is>
      </c>
      <c r="I442" s="2" t="inlineStr">
        <is>
          <t>1030</t>
        </is>
      </c>
      <c r="J442" s="4"/>
      <c r="K442" s="2">
        <v>10</v>
      </c>
      <c r="L442" s="6"/>
      <c r="M442" s="2" t="str">
        <f>IF(J442="",ROUND(I442*(1-IF(ISBLANK(L442),K442,L442)/100),2),ROUND(J442*(1-IF(ISBLANK(L442),K442,L442)/100),2))</f>
      </c>
      <c r="N442" s="7" t="str">
        <f>IF(NOT(AND(J442="",L442="")),IF(OR(AND(L442&lt;&gt;"",NOT(ISNUMBER(L442))),IFERROR(MOD(L442,1),1)&gt;0,AND(ISNUMBER(L442),OR(L442&lt;0,L442&gt;95))),"Введите целое число от 0 до 95",IF(OR(AND(J442&lt;&gt;"",NOT(ISNUMBER(J442))),IFERROR(MOD(J442,1),1)&gt;0,AND(ISNUMBER(J442),OR(J442&lt;50,J442&gt;20000000))),"Введите целое число от 50 до 20000000",IF(NOT(ABS(IFERROR(VALUE(LEFT(M442,FIND("-",M442)-1)),M442)*100-(5000+2000000000)/2)&lt;=ABS(5000-2000000000)/2),"Цена со скидкой должна быть от 50 до 20000000",IF(IFERROR(VALUE(LEFT(M442,FIND("-",M442)-1)),M442)*229&lt;92700,"Вы уменьшили цену в несколько раз, товар попадет в карантин цен","")))),"")</f>
      </c>
    </row>
    <row r="443">
      <c r="A443" s="2" t="inlineStr">
        <is>
          <t>CuteShop</t>
        </is>
      </c>
      <c r="B443" s="2" t="inlineStr">
        <is>
          <t>Держатели для пустышек</t>
        </is>
      </c>
      <c r="C443" s="2">
        <v>87356121</v>
      </c>
      <c r="D443" s="2" t="inlineStr">
        <is>
          <t>PashaBG</t>
        </is>
      </c>
      <c r="E443" s="2" t="inlineStr">
        <is>
          <t>2034750396623</t>
        </is>
      </c>
      <c r="F443" s="2">
        <v>0</v>
      </c>
      <c r="G443" s="2">
        <v>1</v>
      </c>
      <c r="H443" s="2">
        <v>0</v>
      </c>
      <c r="I443" s="2" t="inlineStr">
        <is>
          <t>790</t>
        </is>
      </c>
      <c r="J443" s="4"/>
      <c r="K443" s="2">
        <v>10</v>
      </c>
      <c r="L443" s="6"/>
      <c r="M443" s="2" t="str">
        <f>IF(J443="",ROUND(I443*(1-IF(ISBLANK(L443),K443,L443)/100),2),ROUND(J443*(1-IF(ISBLANK(L443),K443,L443)/100),2))</f>
      </c>
      <c r="N443" s="7" t="str">
        <f>IF(NOT(AND(J443="",L443="")),IF(OR(AND(L443&lt;&gt;"",NOT(ISNUMBER(L443))),IFERROR(MOD(L443,1),1)&gt;0,AND(ISNUMBER(L443),OR(L443&lt;0,L443&gt;95))),"Введите целое число от 0 до 95",IF(OR(AND(J443&lt;&gt;"",NOT(ISNUMBER(J443))),IFERROR(MOD(J443,1),1)&gt;0,AND(ISNUMBER(J443),OR(J443&lt;50,J443&gt;20000000))),"Введите целое число от 50 до 20000000",IF(NOT(ABS(IFERROR(VALUE(LEFT(M443,FIND("-",M443)-1)),M443)*100-(5000+2000000000)/2)&lt;=ABS(5000-2000000000)/2),"Цена со скидкой должна быть от 50 до 20000000",IF(IFERROR(VALUE(LEFT(M443,FIND("-",M443)-1)),M443)*229&lt;71100,"Вы уменьшили цену в несколько раз, товар попадет в карантин цен","")))),"")</f>
      </c>
    </row>
    <row r="444">
      <c r="A444" s="2" t="inlineStr">
        <is>
          <t>NORDFIL</t>
        </is>
      </c>
      <c r="B444" s="2" t="inlineStr">
        <is>
          <t>Фильтры воздушные</t>
        </is>
      </c>
      <c r="C444" s="2">
        <v>87413723</v>
      </c>
      <c r="D444" s="2" t="inlineStr">
        <is>
          <t>RIR-AN1081</t>
        </is>
      </c>
      <c r="E444" s="2" t="inlineStr">
        <is>
          <t>2034769526622</t>
        </is>
      </c>
      <c r="F444" s="2">
        <v>0</v>
      </c>
      <c r="G444" s="2">
        <v>0</v>
      </c>
      <c r="H444" s="2">
        <v>0</v>
      </c>
      <c r="I444" s="2" t="inlineStr">
        <is>
          <t>520</t>
        </is>
      </c>
      <c r="J444" s="4"/>
      <c r="K444" s="2">
        <v>0</v>
      </c>
      <c r="L444" s="6"/>
      <c r="M444" s="2" t="str">
        <f>IF(J444="",ROUND(I444*(1-IF(ISBLANK(L444),K444,L444)/100),2),ROUND(J444*(1-IF(ISBLANK(L444),K444,L444)/100),2))</f>
      </c>
      <c r="N444" s="7" t="str">
        <f>IF(NOT(AND(J444="",L444="")),IF(OR(AND(L444&lt;&gt;"",NOT(ISNUMBER(L444))),IFERROR(MOD(L444,1),1)&gt;0,AND(ISNUMBER(L444),OR(L444&lt;0,L444&gt;95))),"Введите целое число от 0 до 95",IF(OR(AND(J444&lt;&gt;"",NOT(ISNUMBER(J444))),IFERROR(MOD(J444,1),1)&gt;0,AND(ISNUMBER(J444),OR(J444&lt;50,J444&gt;20000000))),"Введите целое число от 50 до 20000000",IF(NOT(ABS(IFERROR(VALUE(LEFT(M444,FIND("-",M444)-1)),M444)*100-(5000+2000000000)/2)&lt;=ABS(5000-2000000000)/2),"Цена со скидкой должна быть от 50 до 20000000",IF(IFERROR(VALUE(LEFT(M444,FIND("-",M444)-1)),M444)*210&lt;52000,"Вы уменьшили цену в несколько раз, товар попадет в карантин цен","")))),"")</f>
      </c>
    </row>
    <row r="445">
      <c r="A445" s="2" t="inlineStr">
        <is>
          <t>CuteShop</t>
        </is>
      </c>
      <c r="B445" s="2" t="inlineStr">
        <is>
          <t>Держатели для пустышек</t>
        </is>
      </c>
      <c r="C445" s="2">
        <v>112952882</v>
      </c>
      <c r="D445" s="2" t="inlineStr">
        <is>
          <t>DaniilBG2</t>
        </is>
      </c>
      <c r="E445" s="2" t="inlineStr">
        <is>
          <t>2038999275626</t>
        </is>
      </c>
      <c r="F445" s="2">
        <v>0</v>
      </c>
      <c r="G445" s="2">
        <v>1</v>
      </c>
      <c r="H445" s="2">
        <v>0</v>
      </c>
      <c r="I445" s="2" t="inlineStr">
        <is>
          <t>790</t>
        </is>
      </c>
      <c r="J445" s="4"/>
      <c r="K445" s="2">
        <v>10</v>
      </c>
      <c r="L445" s="6"/>
      <c r="M445" s="2" t="str">
        <f>IF(J445="",ROUND(I445*(1-IF(ISBLANK(L445),K445,L445)/100),2),ROUND(J445*(1-IF(ISBLANK(L445),K445,L445)/100),2))</f>
      </c>
      <c r="N445" s="7" t="str">
        <f>IF(NOT(AND(J445="",L445="")),IF(OR(AND(L445&lt;&gt;"",NOT(ISNUMBER(L445))),IFERROR(MOD(L445,1),1)&gt;0,AND(ISNUMBER(L445),OR(L445&lt;0,L445&gt;95))),"Введите целое число от 0 до 95",IF(OR(AND(J445&lt;&gt;"",NOT(ISNUMBER(J445))),IFERROR(MOD(J445,1),1)&gt;0,AND(ISNUMBER(J445),OR(J445&lt;50,J445&gt;20000000))),"Введите целое число от 50 до 20000000",IF(NOT(ABS(IFERROR(VALUE(LEFT(M445,FIND("-",M445)-1)),M445)*100-(5000+2000000000)/2)&lt;=ABS(5000-2000000000)/2),"Цена со скидкой должна быть от 50 до 20000000",IF(IFERROR(VALUE(LEFT(M445,FIND("-",M445)-1)),M445)*229&lt;71100,"Вы уменьшили цену в несколько раз, товар попадет в карантин цен","")))),"")</f>
      </c>
    </row>
    <row r="446">
      <c r="A446" s="2" t="inlineStr">
        <is>
          <t>CuteShop</t>
        </is>
      </c>
      <c r="B446" s="2" t="inlineStr">
        <is>
          <t>Держатели для пустышек</t>
        </is>
      </c>
      <c r="C446" s="2">
        <v>269141973</v>
      </c>
      <c r="D446" s="2" t="inlineStr">
        <is>
          <t>YuliyaBel</t>
        </is>
      </c>
      <c r="E446" s="2" t="inlineStr">
        <is>
          <t>2041429647870</t>
        </is>
      </c>
      <c r="F446" s="2">
        <v>0</v>
      </c>
      <c r="G446" s="2">
        <v>1</v>
      </c>
      <c r="H446" s="2" t="inlineStr">
        <is>
          <t/>
        </is>
      </c>
      <c r="I446" s="2" t="inlineStr">
        <is>
          <t>1030</t>
        </is>
      </c>
      <c r="J446" s="4"/>
      <c r="K446" s="2">
        <v>10</v>
      </c>
      <c r="L446" s="6"/>
      <c r="M446" s="2" t="str">
        <f>IF(J446="",ROUND(I446*(1-IF(ISBLANK(L446),K446,L446)/100),2),ROUND(J446*(1-IF(ISBLANK(L446),K446,L446)/100),2))</f>
      </c>
      <c r="N446" s="7" t="str">
        <f>IF(NOT(AND(J446="",L446="")),IF(OR(AND(L446&lt;&gt;"",NOT(ISNUMBER(L446))),IFERROR(MOD(L446,1),1)&gt;0,AND(ISNUMBER(L446),OR(L446&lt;0,L446&gt;95))),"Введите целое число от 0 до 95",IF(OR(AND(J446&lt;&gt;"",NOT(ISNUMBER(J446))),IFERROR(MOD(J446,1),1)&gt;0,AND(ISNUMBER(J446),OR(J446&lt;50,J446&gt;20000000))),"Введите целое число от 50 до 20000000",IF(NOT(ABS(IFERROR(VALUE(LEFT(M446,FIND("-",M446)-1)),M446)*100-(5000+2000000000)/2)&lt;=ABS(5000-2000000000)/2),"Цена со скидкой должна быть от 50 до 20000000",IF(IFERROR(VALUE(LEFT(M446,FIND("-",M446)-1)),M446)*229&lt;92700,"Вы уменьшили цену в несколько раз, товар попадет в карантин цен","")))),"")</f>
      </c>
    </row>
    <row r="447">
      <c r="A447" s="2" t="inlineStr">
        <is>
          <t>CuteShop</t>
        </is>
      </c>
      <c r="B447" s="2" t="inlineStr">
        <is>
          <t>Держатели для пустышек</t>
        </is>
      </c>
      <c r="C447" s="2">
        <v>146342936</v>
      </c>
      <c r="D447" s="2" t="inlineStr">
        <is>
          <t>MartaSob</t>
        </is>
      </c>
      <c r="E447" s="2" t="inlineStr">
        <is>
          <t>2037465308523</t>
        </is>
      </c>
      <c r="F447" s="2">
        <v>0</v>
      </c>
      <c r="G447" s="2">
        <v>0</v>
      </c>
      <c r="H447" s="2" t="inlineStr">
        <is>
          <t/>
        </is>
      </c>
      <c r="I447" s="2" t="inlineStr">
        <is>
          <t>1030</t>
        </is>
      </c>
      <c r="J447" s="4"/>
      <c r="K447" s="2">
        <v>10</v>
      </c>
      <c r="L447" s="6"/>
      <c r="M447" s="2" t="str">
        <f>IF(J447="",ROUND(I447*(1-IF(ISBLANK(L447),K447,L447)/100),2),ROUND(J447*(1-IF(ISBLANK(L447),K447,L447)/100),2))</f>
      </c>
      <c r="N447" s="7" t="str">
        <f>IF(NOT(AND(J447="",L447="")),IF(OR(AND(L447&lt;&gt;"",NOT(ISNUMBER(L447))),IFERROR(MOD(L447,1),1)&gt;0,AND(ISNUMBER(L447),OR(L447&lt;0,L447&gt;95))),"Введите целое число от 0 до 95",IF(OR(AND(J447&lt;&gt;"",NOT(ISNUMBER(J447))),IFERROR(MOD(J447,1),1)&gt;0,AND(ISNUMBER(J447),OR(J447&lt;50,J447&gt;20000000))),"Введите целое число от 50 до 20000000",IF(NOT(ABS(IFERROR(VALUE(LEFT(M447,FIND("-",M447)-1)),M447)*100-(5000+2000000000)/2)&lt;=ABS(5000-2000000000)/2),"Цена со скидкой должна быть от 50 до 20000000",IF(IFERROR(VALUE(LEFT(M447,FIND("-",M447)-1)),M447)*229&lt;92700,"Вы уменьшили цену в несколько раз, товар попадет в карантин цен","")))),"")</f>
      </c>
    </row>
    <row r="448">
      <c r="A448" s="2" t="inlineStr">
        <is>
          <t>CuteShop</t>
        </is>
      </c>
      <c r="B448" s="2" t="inlineStr">
        <is>
          <t>Держатели для пустышек</t>
        </is>
      </c>
      <c r="C448" s="2">
        <v>146342931</v>
      </c>
      <c r="D448" s="2" t="inlineStr">
        <is>
          <t>MartaBG2</t>
        </is>
      </c>
      <c r="E448" s="2" t="inlineStr">
        <is>
          <t>2037465306901</t>
        </is>
      </c>
      <c r="F448" s="2">
        <v>0</v>
      </c>
      <c r="G448" s="2">
        <v>1</v>
      </c>
      <c r="H448" s="2">
        <v>0</v>
      </c>
      <c r="I448" s="2" t="inlineStr">
        <is>
          <t>790</t>
        </is>
      </c>
      <c r="J448" s="4"/>
      <c r="K448" s="2">
        <v>10</v>
      </c>
      <c r="L448" s="6"/>
      <c r="M448" s="2" t="str">
        <f>IF(J448="",ROUND(I448*(1-IF(ISBLANK(L448),K448,L448)/100),2),ROUND(J448*(1-IF(ISBLANK(L448),K448,L448)/100),2))</f>
      </c>
      <c r="N448" s="7" t="str">
        <f>IF(NOT(AND(J448="",L448="")),IF(OR(AND(L448&lt;&gt;"",NOT(ISNUMBER(L448))),IFERROR(MOD(L448,1),1)&gt;0,AND(ISNUMBER(L448),OR(L448&lt;0,L448&gt;95))),"Введите целое число от 0 до 95",IF(OR(AND(J448&lt;&gt;"",NOT(ISNUMBER(J448))),IFERROR(MOD(J448,1),1)&gt;0,AND(ISNUMBER(J448),OR(J448&lt;50,J448&gt;20000000))),"Введите целое число от 50 до 20000000",IF(NOT(ABS(IFERROR(VALUE(LEFT(M448,FIND("-",M448)-1)),M448)*100-(5000+2000000000)/2)&lt;=ABS(5000-2000000000)/2),"Цена со скидкой должна быть от 50 до 20000000",IF(IFERROR(VALUE(LEFT(M448,FIND("-",M448)-1)),M448)*229&lt;71100,"Вы уменьшили цену в несколько раз, товар попадет в карантин цен","")))),"")</f>
      </c>
    </row>
    <row r="449">
      <c r="A449" s="2" t="inlineStr">
        <is>
          <t>LYNXAuto</t>
        </is>
      </c>
      <c r="B449" s="2" t="inlineStr">
        <is>
          <t>Фильтры масляные</t>
        </is>
      </c>
      <c r="C449" s="2">
        <v>226482647</v>
      </c>
      <c r="D449" s="2" t="inlineStr">
        <is>
          <t>RIR-LT1062</t>
        </is>
      </c>
      <c r="E449" s="2" t="inlineStr">
        <is>
          <t>2039883170812</t>
        </is>
      </c>
      <c r="F449" s="2">
        <v>0</v>
      </c>
      <c r="G449" s="2">
        <v>0</v>
      </c>
      <c r="H449" s="2" t="inlineStr">
        <is>
          <t/>
        </is>
      </c>
      <c r="I449" s="2" t="inlineStr">
        <is>
          <t>1600</t>
        </is>
      </c>
      <c r="J449" s="4"/>
      <c r="K449" s="2">
        <v>0</v>
      </c>
      <c r="L449" s="6"/>
      <c r="M449" s="2" t="str">
        <f>IF(J449="",ROUND(I449*(1-IF(ISBLANK(L449),K449,L449)/100),2),ROUND(J449*(1-IF(ISBLANK(L449),K449,L449)/100),2))</f>
      </c>
      <c r="N449" s="7" t="str">
        <f>IF(NOT(AND(J449="",L449="")),IF(OR(AND(L449&lt;&gt;"",NOT(ISNUMBER(L449))),IFERROR(MOD(L449,1),1)&gt;0,AND(ISNUMBER(L449),OR(L449&lt;0,L449&gt;95))),"Введите целое число от 0 до 95",IF(OR(AND(J449&lt;&gt;"",NOT(ISNUMBER(J449))),IFERROR(MOD(J449,1),1)&gt;0,AND(ISNUMBER(J449),OR(J449&lt;50,J449&gt;20000000))),"Введите целое число от 50 до 20000000",IF(NOT(ABS(IFERROR(VALUE(LEFT(M449,FIND("-",M449)-1)),M449)*100-(5000+2000000000)/2)&lt;=ABS(5000-2000000000)/2),"Цена со скидкой должна быть от 50 до 20000000",IF(IFERROR(VALUE(LEFT(M449,FIND("-",M449)-1)),M449)*210&lt;160000,"Вы уменьшили цену в несколько раз, товар попадет в карантин цен","")))),"")</f>
      </c>
    </row>
    <row r="450">
      <c r="A450" s="2" t="inlineStr">
        <is>
          <t>CuteShop</t>
        </is>
      </c>
      <c r="B450" s="2" t="inlineStr">
        <is>
          <t>Держатели для пустышек</t>
        </is>
      </c>
      <c r="C450" s="2">
        <v>179066103</v>
      </c>
      <c r="D450" s="2" t="inlineStr">
        <is>
          <t>KatyushaZay</t>
        </is>
      </c>
      <c r="E450" s="2" t="inlineStr">
        <is>
          <t>2038691372586</t>
        </is>
      </c>
      <c r="F450" s="2">
        <v>0</v>
      </c>
      <c r="G450" s="2">
        <v>1</v>
      </c>
      <c r="H450" s="2" t="inlineStr">
        <is>
          <t/>
        </is>
      </c>
      <c r="I450" s="2" t="inlineStr">
        <is>
          <t>1030</t>
        </is>
      </c>
      <c r="J450" s="4"/>
      <c r="K450" s="2">
        <v>10</v>
      </c>
      <c r="L450" s="6"/>
      <c r="M450" s="2" t="str">
        <f>IF(J450="",ROUND(I450*(1-IF(ISBLANK(L450),K450,L450)/100),2),ROUND(J450*(1-IF(ISBLANK(L450),K450,L450)/100),2))</f>
      </c>
      <c r="N450" s="7" t="str">
        <f>IF(NOT(AND(J450="",L450="")),IF(OR(AND(L450&lt;&gt;"",NOT(ISNUMBER(L450))),IFERROR(MOD(L450,1),1)&gt;0,AND(ISNUMBER(L450),OR(L450&lt;0,L450&gt;95))),"Введите целое число от 0 до 95",IF(OR(AND(J450&lt;&gt;"",NOT(ISNUMBER(J450))),IFERROR(MOD(J450,1),1)&gt;0,AND(ISNUMBER(J450),OR(J450&lt;50,J450&gt;20000000))),"Введите целое число от 50 до 20000000",IF(NOT(ABS(IFERROR(VALUE(LEFT(M450,FIND("-",M450)-1)),M450)*100-(5000+2000000000)/2)&lt;=ABS(5000-2000000000)/2),"Цена со скидкой должна быть от 50 до 20000000",IF(IFERROR(VALUE(LEFT(M450,FIND("-",M450)-1)),M450)*229&lt;92700,"Вы уменьшили цену в несколько раз, товар попадет в карантин цен","")))),"")</f>
      </c>
    </row>
    <row r="451">
      <c r="A451" s="2" t="inlineStr">
        <is>
          <t>CuteShop</t>
        </is>
      </c>
      <c r="B451" s="2" t="inlineStr">
        <is>
          <t>Держатели для пустышек</t>
        </is>
      </c>
      <c r="C451" s="2">
        <v>269072036</v>
      </c>
      <c r="D451" s="2" t="inlineStr">
        <is>
          <t>VikaMish</t>
        </is>
      </c>
      <c r="E451" s="2" t="inlineStr">
        <is>
          <t>2041428517075</t>
        </is>
      </c>
      <c r="F451" s="2">
        <v>0</v>
      </c>
      <c r="G451" s="2">
        <v>1</v>
      </c>
      <c r="H451" s="2" t="inlineStr">
        <is>
          <t/>
        </is>
      </c>
      <c r="I451" s="2" t="inlineStr">
        <is>
          <t>1030</t>
        </is>
      </c>
      <c r="J451" s="4"/>
      <c r="K451" s="2">
        <v>10</v>
      </c>
      <c r="L451" s="6"/>
      <c r="M451" s="2" t="str">
        <f>IF(J451="",ROUND(I451*(1-IF(ISBLANK(L451),K451,L451)/100),2),ROUND(J451*(1-IF(ISBLANK(L451),K451,L451)/100),2))</f>
      </c>
      <c r="N451" s="7" t="str">
        <f>IF(NOT(AND(J451="",L451="")),IF(OR(AND(L451&lt;&gt;"",NOT(ISNUMBER(L451))),IFERROR(MOD(L451,1),1)&gt;0,AND(ISNUMBER(L451),OR(L451&lt;0,L451&gt;95))),"Введите целое число от 0 до 95",IF(OR(AND(J451&lt;&gt;"",NOT(ISNUMBER(J451))),IFERROR(MOD(J451,1),1)&gt;0,AND(ISNUMBER(J451),OR(J451&lt;50,J451&gt;20000000))),"Введите целое число от 50 до 20000000",IF(NOT(ABS(IFERROR(VALUE(LEFT(M451,FIND("-",M451)-1)),M451)*100-(5000+2000000000)/2)&lt;=ABS(5000-2000000000)/2),"Цена со скидкой должна быть от 50 до 20000000",IF(IFERROR(VALUE(LEFT(M451,FIND("-",M451)-1)),M451)*229&lt;92700,"Вы уменьшили цену в несколько раз, товар попадет в карантин цен","")))),"")</f>
      </c>
    </row>
    <row r="452">
      <c r="A452" s="2" t="inlineStr">
        <is>
          <t>LYNXAuto</t>
        </is>
      </c>
      <c r="B452" s="2" t="inlineStr">
        <is>
          <t>Фильтры масляные</t>
        </is>
      </c>
      <c r="C452" s="2">
        <v>175895773</v>
      </c>
      <c r="D452" s="2" t="inlineStr">
        <is>
          <t>RIR-LC1501</t>
        </is>
      </c>
      <c r="E452" s="2" t="inlineStr">
        <is>
          <t>2038571742126</t>
        </is>
      </c>
      <c r="F452" s="2">
        <v>0</v>
      </c>
      <c r="G452" s="2">
        <v>1</v>
      </c>
      <c r="H452" s="2" t="inlineStr">
        <is>
          <t/>
        </is>
      </c>
      <c r="I452" s="2" t="inlineStr">
        <is>
          <t>470</t>
        </is>
      </c>
      <c r="J452" s="4"/>
      <c r="K452" s="2">
        <v>2</v>
      </c>
      <c r="L452" s="6"/>
      <c r="M452" s="2" t="str">
        <f>IF(J452="",ROUND(I452*(1-IF(ISBLANK(L452),K452,L452)/100),2),ROUND(J452*(1-IF(ISBLANK(L452),K452,L452)/100),2))</f>
      </c>
      <c r="N452" s="7" t="str">
        <f>IF(NOT(AND(J452="",L452="")),IF(OR(AND(L452&lt;&gt;"",NOT(ISNUMBER(L452))),IFERROR(MOD(L452,1),1)&gt;0,AND(ISNUMBER(L452),OR(L452&lt;0,L452&gt;95))),"Введите целое число от 0 до 95",IF(OR(AND(J452&lt;&gt;"",NOT(ISNUMBER(J452))),IFERROR(MOD(J452,1),1)&gt;0,AND(ISNUMBER(J452),OR(J452&lt;50,J452&gt;20000000))),"Введите целое число от 50 до 20000000",IF(NOT(ABS(IFERROR(VALUE(LEFT(M452,FIND("-",M452)-1)),M452)*100-(5000+2000000000)/2)&lt;=ABS(5000-2000000000)/2),"Цена со скидкой должна быть от 50 до 20000000",IF(IFERROR(VALUE(LEFT(M452,FIND("-",M452)-1)),M452)*210&lt;46060,"Вы уменьшили цену в несколько раз, товар попадет в карантин цен","")))),"")</f>
      </c>
    </row>
    <row r="453">
      <c r="A453" s="2" t="inlineStr">
        <is>
          <t>CuteShop</t>
        </is>
      </c>
      <c r="B453" s="2" t="inlineStr">
        <is>
          <t>Держатели для пустышек</t>
        </is>
      </c>
      <c r="C453" s="2">
        <v>201098317</v>
      </c>
      <c r="D453" s="2" t="inlineStr">
        <is>
          <t>Derzh-Dev2</t>
        </is>
      </c>
      <c r="E453" s="2" t="inlineStr">
        <is>
          <t>2039326240034</t>
        </is>
      </c>
      <c r="F453" s="2">
        <v>0</v>
      </c>
      <c r="G453" s="2">
        <v>0</v>
      </c>
      <c r="H453" s="2" t="inlineStr">
        <is>
          <t/>
        </is>
      </c>
      <c r="I453" s="2" t="inlineStr">
        <is>
          <t>440</t>
        </is>
      </c>
      <c r="J453" s="4"/>
      <c r="K453" s="2">
        <v>3</v>
      </c>
      <c r="L453" s="6"/>
      <c r="M453" s="2" t="str">
        <f>IF(J453="",ROUND(I453*(1-IF(ISBLANK(L453),K453,L453)/100),2),ROUND(J453*(1-IF(ISBLANK(L453),K453,L453)/100),2))</f>
      </c>
      <c r="N453" s="7" t="str">
        <f>IF(NOT(AND(J453="",L453="")),IF(OR(AND(L453&lt;&gt;"",NOT(ISNUMBER(L453))),IFERROR(MOD(L453,1),1)&gt;0,AND(ISNUMBER(L453),OR(L453&lt;0,L453&gt;95))),"Введите целое число от 0 до 95",IF(OR(AND(J453&lt;&gt;"",NOT(ISNUMBER(J453))),IFERROR(MOD(J453,1),1)&gt;0,AND(ISNUMBER(J453),OR(J453&lt;50,J453&gt;20000000))),"Введите целое число от 50 до 20000000",IF(NOT(ABS(IFERROR(VALUE(LEFT(M453,FIND("-",M453)-1)),M453)*100-(5000+2000000000)/2)&lt;=ABS(5000-2000000000)/2),"Цена со скидкой должна быть от 50 до 20000000",IF(IFERROR(VALUE(LEFT(M453,FIND("-",M453)-1)),M453)*229&lt;42680,"Вы уменьшили цену в несколько раз, товар попадет в карантин цен","")))),"")</f>
      </c>
    </row>
    <row r="454">
      <c r="A454" s="2" t="inlineStr">
        <is>
          <t>AMD</t>
        </is>
      </c>
      <c r="B454" s="2" t="inlineStr">
        <is>
          <t>Фильтры масляные</t>
        </is>
      </c>
      <c r="C454" s="2">
        <v>214905048</v>
      </c>
      <c r="D454" s="2" t="inlineStr">
        <is>
          <t>RIR-AMDFL117</t>
        </is>
      </c>
      <c r="E454" s="2" t="inlineStr">
        <is>
          <t>2039609516795</t>
        </is>
      </c>
      <c r="F454" s="2">
        <v>0</v>
      </c>
      <c r="G454" s="2">
        <v>0</v>
      </c>
      <c r="H454" s="2">
        <v>1</v>
      </c>
      <c r="I454" s="2" t="inlineStr">
        <is>
          <t>850</t>
        </is>
      </c>
      <c r="J454" s="4"/>
      <c r="K454" s="2">
        <v>0</v>
      </c>
      <c r="L454" s="6"/>
      <c r="M454" s="2" t="str">
        <f>IF(J454="",ROUND(I454*(1-IF(ISBLANK(L454),K454,L454)/100),2),ROUND(J454*(1-IF(ISBLANK(L454),K454,L454)/100),2))</f>
      </c>
      <c r="N454" s="7" t="str">
        <f>IF(NOT(AND(J454="",L454="")),IF(OR(AND(L454&lt;&gt;"",NOT(ISNUMBER(L454))),IFERROR(MOD(L454,1),1)&gt;0,AND(ISNUMBER(L454),OR(L454&lt;0,L454&gt;95))),"Введите целое число от 0 до 95",IF(OR(AND(J454&lt;&gt;"",NOT(ISNUMBER(J454))),IFERROR(MOD(J454,1),1)&gt;0,AND(ISNUMBER(J454),OR(J454&lt;50,J454&gt;20000000))),"Введите целое число от 50 до 20000000",IF(NOT(ABS(IFERROR(VALUE(LEFT(M454,FIND("-",M454)-1)),M454)*100-(5000+2000000000)/2)&lt;=ABS(5000-2000000000)/2),"Цена со скидкой должна быть от 50 до 20000000",IF(IFERROR(VALUE(LEFT(M454,FIND("-",M454)-1)),M454)*210&lt;85000,"Вы уменьшили цену в несколько раз, товар попадет в карантин цен","")))),"")</f>
      </c>
    </row>
    <row r="455">
      <c r="A455" s="2" t="inlineStr">
        <is>
          <t>CuteShop</t>
        </is>
      </c>
      <c r="B455" s="2" t="inlineStr">
        <is>
          <t>Держатели для пустышек</t>
        </is>
      </c>
      <c r="C455" s="2">
        <v>209331137</v>
      </c>
      <c r="D455" s="2" t="inlineStr">
        <is>
          <t>ElizaKot</t>
        </is>
      </c>
      <c r="E455" s="2" t="inlineStr">
        <is>
          <t>2039489524293</t>
        </is>
      </c>
      <c r="F455" s="2">
        <v>0</v>
      </c>
      <c r="G455" s="2">
        <v>0</v>
      </c>
      <c r="H455" s="2" t="inlineStr">
        <is>
          <t/>
        </is>
      </c>
      <c r="I455" s="2" t="inlineStr">
        <is>
          <t>1030</t>
        </is>
      </c>
      <c r="J455" s="4"/>
      <c r="K455" s="2">
        <v>10</v>
      </c>
      <c r="L455" s="6"/>
      <c r="M455" s="2" t="str">
        <f>IF(J455="",ROUND(I455*(1-IF(ISBLANK(L455),K455,L455)/100),2),ROUND(J455*(1-IF(ISBLANK(L455),K455,L455)/100),2))</f>
      </c>
      <c r="N455" s="7" t="str">
        <f>IF(NOT(AND(J455="",L455="")),IF(OR(AND(L455&lt;&gt;"",NOT(ISNUMBER(L455))),IFERROR(MOD(L455,1),1)&gt;0,AND(ISNUMBER(L455),OR(L455&lt;0,L455&gt;95))),"Введите целое число от 0 до 95",IF(OR(AND(J455&lt;&gt;"",NOT(ISNUMBER(J455))),IFERROR(MOD(J455,1),1)&gt;0,AND(ISNUMBER(J455),OR(J455&lt;50,J455&gt;20000000))),"Введите целое число от 50 до 20000000",IF(NOT(ABS(IFERROR(VALUE(LEFT(M455,FIND("-",M455)-1)),M455)*100-(5000+2000000000)/2)&lt;=ABS(5000-2000000000)/2),"Цена со скидкой должна быть от 50 до 20000000",IF(IFERROR(VALUE(LEFT(M455,FIND("-",M455)-1)),M455)*229&lt;92700,"Вы уменьшили цену в несколько раз, товар попадет в карантин цен","")))),"")</f>
      </c>
    </row>
    <row r="456">
      <c r="A456" s="2" t="inlineStr">
        <is>
          <t>CuteShop</t>
        </is>
      </c>
      <c r="B456" s="2" t="inlineStr">
        <is>
          <t>Держатели для пустышек</t>
        </is>
      </c>
      <c r="C456" s="2">
        <v>326216359</v>
      </c>
      <c r="D456" s="2" t="inlineStr">
        <is>
          <t>MaksimMish2</t>
        </is>
      </c>
      <c r="E456" s="2" t="inlineStr">
        <is>
          <t>2042748933606</t>
        </is>
      </c>
      <c r="F456" s="2">
        <v>0</v>
      </c>
      <c r="G456" s="2">
        <v>1</v>
      </c>
      <c r="H456" s="2" t="inlineStr">
        <is>
          <t/>
        </is>
      </c>
      <c r="I456" s="2" t="inlineStr">
        <is>
          <t>1050</t>
        </is>
      </c>
      <c r="J456" s="4"/>
      <c r="K456" s="2">
        <v>10</v>
      </c>
      <c r="L456" s="6"/>
      <c r="M456" s="2" t="str">
        <f>IF(J456="",ROUND(I456*(1-IF(ISBLANK(L456),K456,L456)/100),2),ROUND(J456*(1-IF(ISBLANK(L456),K456,L456)/100),2))</f>
      </c>
      <c r="N456" s="7" t="str">
        <f>IF(NOT(AND(J456="",L456="")),IF(OR(AND(L456&lt;&gt;"",NOT(ISNUMBER(L456))),IFERROR(MOD(L456,1),1)&gt;0,AND(ISNUMBER(L456),OR(L456&lt;0,L456&gt;95))),"Введите целое число от 0 до 95",IF(OR(AND(J456&lt;&gt;"",NOT(ISNUMBER(J456))),IFERROR(MOD(J456,1),1)&gt;0,AND(ISNUMBER(J456),OR(J456&lt;50,J456&gt;20000000))),"Введите целое число от 50 до 20000000",IF(NOT(ABS(IFERROR(VALUE(LEFT(M456,FIND("-",M456)-1)),M456)*100-(5000+2000000000)/2)&lt;=ABS(5000-2000000000)/2),"Цена со скидкой должна быть от 50 до 20000000",IF(IFERROR(VALUE(LEFT(M456,FIND("-",M456)-1)),M456)*229&lt;94500,"Вы уменьшили цену в несколько раз, товар попадет в карантин цен","")))),"")</f>
      </c>
    </row>
    <row r="457">
      <c r="A457" s="2" t="inlineStr">
        <is>
          <t>LYNXAuto</t>
        </is>
      </c>
      <c r="B457" s="2" t="inlineStr">
        <is>
          <t>Колодки автомобильные</t>
        </is>
      </c>
      <c r="C457" s="2">
        <v>177711330</v>
      </c>
      <c r="D457" s="2" t="inlineStr">
        <is>
          <t>RIR-BD3620</t>
        </is>
      </c>
      <c r="E457" s="2" t="inlineStr">
        <is>
          <t>2038641898241</t>
        </is>
      </c>
      <c r="F457" s="2">
        <v>0</v>
      </c>
      <c r="G457" s="2">
        <v>1</v>
      </c>
      <c r="H457" s="2">
        <v>1</v>
      </c>
      <c r="I457" s="2" t="inlineStr">
        <is>
          <t>1810</t>
        </is>
      </c>
      <c r="J457" s="4"/>
      <c r="K457" s="2">
        <v>7</v>
      </c>
      <c r="L457" s="6"/>
      <c r="M457" s="2" t="str">
        <f>IF(J457="",ROUND(I457*(1-IF(ISBLANK(L457),K457,L457)/100),2),ROUND(J457*(1-IF(ISBLANK(L457),K457,L457)/100),2))</f>
      </c>
      <c r="N457" s="7" t="str">
        <f>IF(NOT(AND(J457="",L457="")),IF(OR(AND(L457&lt;&gt;"",NOT(ISNUMBER(L457))),IFERROR(MOD(L457,1),1)&gt;0,AND(ISNUMBER(L457),OR(L457&lt;0,L457&gt;95))),"Введите целое число от 0 до 95",IF(OR(AND(J457&lt;&gt;"",NOT(ISNUMBER(J457))),IFERROR(MOD(J457,1),1)&gt;0,AND(ISNUMBER(J457),OR(J457&lt;50,J457&gt;20000000))),"Введите целое число от 50 до 20000000",IF(NOT(ABS(IFERROR(VALUE(LEFT(M457,FIND("-",M457)-1)),M457)*100-(5000+2000000000)/2)&lt;=ABS(5000-2000000000)/2),"Цена со скидкой должна быть от 50 до 20000000",IF(IFERROR(VALUE(LEFT(M457,FIND("-",M457)-1)),M457)*210&lt;168330,"Вы уменьшили цену в несколько раз, товар попадет в карантин цен","")))),"")</f>
      </c>
    </row>
    <row r="458">
      <c r="A458" s="2" t="inlineStr">
        <is>
          <t>CuteShop</t>
        </is>
      </c>
      <c r="B458" s="2" t="inlineStr">
        <is>
          <t>Держатели для пустышек</t>
        </is>
      </c>
      <c r="C458" s="2">
        <v>103978003</v>
      </c>
      <c r="D458" s="2" t="inlineStr">
        <is>
          <t>VikaSlon2</t>
        </is>
      </c>
      <c r="E458" s="2" t="inlineStr">
        <is>
          <t>2036864209424</t>
        </is>
      </c>
      <c r="F458" s="2">
        <v>0</v>
      </c>
      <c r="G458" s="2">
        <v>1</v>
      </c>
      <c r="H458" s="2">
        <v>0</v>
      </c>
      <c r="I458" s="2" t="inlineStr">
        <is>
          <t>1030</t>
        </is>
      </c>
      <c r="J458" s="4"/>
      <c r="K458" s="2">
        <v>10</v>
      </c>
      <c r="L458" s="6"/>
      <c r="M458" s="2" t="str">
        <f>IF(J458="",ROUND(I458*(1-IF(ISBLANK(L458),K458,L458)/100),2),ROUND(J458*(1-IF(ISBLANK(L458),K458,L458)/100),2))</f>
      </c>
      <c r="N458" s="7" t="str">
        <f>IF(NOT(AND(J458="",L458="")),IF(OR(AND(L458&lt;&gt;"",NOT(ISNUMBER(L458))),IFERROR(MOD(L458,1),1)&gt;0,AND(ISNUMBER(L458),OR(L458&lt;0,L458&gt;95))),"Введите целое число от 0 до 95",IF(OR(AND(J458&lt;&gt;"",NOT(ISNUMBER(J458))),IFERROR(MOD(J458,1),1)&gt;0,AND(ISNUMBER(J458),OR(J458&lt;50,J458&gt;20000000))),"Введите целое число от 50 до 20000000",IF(NOT(ABS(IFERROR(VALUE(LEFT(M458,FIND("-",M458)-1)),M458)*100-(5000+2000000000)/2)&lt;=ABS(5000-2000000000)/2),"Цена со скидкой должна быть от 50 до 20000000",IF(IFERROR(VALUE(LEFT(M458,FIND("-",M458)-1)),M458)*229&lt;92700,"Вы уменьшили цену в несколько раз, товар попадет в карантин цен","")))),"")</f>
      </c>
    </row>
    <row r="459">
      <c r="A459" s="2" t="inlineStr">
        <is>
          <t>CuteShop</t>
        </is>
      </c>
      <c r="B459" s="2" t="inlineStr">
        <is>
          <t>Держатели для пустышек</t>
        </is>
      </c>
      <c r="C459" s="2">
        <v>87359538</v>
      </c>
      <c r="D459" s="2" t="inlineStr">
        <is>
          <t>KiraZay</t>
        </is>
      </c>
      <c r="E459" s="2" t="inlineStr">
        <is>
          <t>2034751690621</t>
        </is>
      </c>
      <c r="F459" s="2">
        <v>0</v>
      </c>
      <c r="G459" s="2">
        <v>1</v>
      </c>
      <c r="H459" s="2">
        <v>1</v>
      </c>
      <c r="I459" s="2" t="inlineStr">
        <is>
          <t>1030</t>
        </is>
      </c>
      <c r="J459" s="4"/>
      <c r="K459" s="2">
        <v>10</v>
      </c>
      <c r="L459" s="6"/>
      <c r="M459" s="2" t="str">
        <f>IF(J459="",ROUND(I459*(1-IF(ISBLANK(L459),K459,L459)/100),2),ROUND(J459*(1-IF(ISBLANK(L459),K459,L459)/100),2))</f>
      </c>
      <c r="N459" s="7" t="str">
        <f>IF(NOT(AND(J459="",L459="")),IF(OR(AND(L459&lt;&gt;"",NOT(ISNUMBER(L459))),IFERROR(MOD(L459,1),1)&gt;0,AND(ISNUMBER(L459),OR(L459&lt;0,L459&gt;95))),"Введите целое число от 0 до 95",IF(OR(AND(J459&lt;&gt;"",NOT(ISNUMBER(J459))),IFERROR(MOD(J459,1),1)&gt;0,AND(ISNUMBER(J459),OR(J459&lt;50,J459&gt;20000000))),"Введите целое число от 50 до 20000000",IF(NOT(ABS(IFERROR(VALUE(LEFT(M459,FIND("-",M459)-1)),M459)*100-(5000+2000000000)/2)&lt;=ABS(5000-2000000000)/2),"Цена со скидкой должна быть от 50 до 20000000",IF(IFERROR(VALUE(LEFT(M459,FIND("-",M459)-1)),M459)*229&lt;92700,"Вы уменьшили цену в несколько раз, товар попадет в карантин цен","")))),"")</f>
      </c>
    </row>
    <row r="460">
      <c r="A460" s="2" t="inlineStr">
        <is>
          <t>LYNXauto</t>
        </is>
      </c>
      <c r="B460" s="2" t="inlineStr">
        <is>
          <t>Фильтры масляные</t>
        </is>
      </c>
      <c r="C460" s="2">
        <v>166408403</v>
      </c>
      <c r="D460" s="2" t="inlineStr">
        <is>
          <t>RIR-LC940</t>
        </is>
      </c>
      <c r="E460" s="2" t="inlineStr">
        <is>
          <t>2038074458098</t>
        </is>
      </c>
      <c r="F460" s="2">
        <v>0</v>
      </c>
      <c r="G460" s="2">
        <v>1</v>
      </c>
      <c r="H460" s="2">
        <v>0</v>
      </c>
      <c r="I460" s="2" t="inlineStr">
        <is>
          <t>700</t>
        </is>
      </c>
      <c r="J460" s="4"/>
      <c r="K460" s="2">
        <v>2</v>
      </c>
      <c r="L460" s="6"/>
      <c r="M460" s="2" t="str">
        <f>IF(J460="",ROUND(I460*(1-IF(ISBLANK(L460),K460,L460)/100),2),ROUND(J460*(1-IF(ISBLANK(L460),K460,L460)/100),2))</f>
      </c>
      <c r="N460" s="7" t="str">
        <f>IF(NOT(AND(J460="",L460="")),IF(OR(AND(L460&lt;&gt;"",NOT(ISNUMBER(L460))),IFERROR(MOD(L460,1),1)&gt;0,AND(ISNUMBER(L460),OR(L460&lt;0,L460&gt;95))),"Введите целое число от 0 до 95",IF(OR(AND(J460&lt;&gt;"",NOT(ISNUMBER(J460))),IFERROR(MOD(J460,1),1)&gt;0,AND(ISNUMBER(J460),OR(J460&lt;50,J460&gt;20000000))),"Введите целое число от 50 до 20000000",IF(NOT(ABS(IFERROR(VALUE(LEFT(M460,FIND("-",M460)-1)),M460)*100-(5000+2000000000)/2)&lt;=ABS(5000-2000000000)/2),"Цена со скидкой должна быть от 50 до 20000000",IF(IFERROR(VALUE(LEFT(M460,FIND("-",M460)-1)),M460)*210&lt;68600,"Вы уменьшили цену в несколько раз, товар попадет в карантин цен","")))),"")</f>
      </c>
    </row>
    <row r="461">
      <c r="A461" s="2" t="inlineStr">
        <is>
          <t>CuteShop</t>
        </is>
      </c>
      <c r="B461" s="2" t="inlineStr">
        <is>
          <t>Держатели для пустышек</t>
        </is>
      </c>
      <c r="C461" s="2">
        <v>111031670</v>
      </c>
      <c r="D461" s="2" t="inlineStr">
        <is>
          <t>MaksimBG</t>
        </is>
      </c>
      <c r="E461" s="2" t="inlineStr">
        <is>
          <t>2037464271620</t>
        </is>
      </c>
      <c r="F461" s="2">
        <v>0</v>
      </c>
      <c r="G461" s="2">
        <v>1</v>
      </c>
      <c r="H461" s="2">
        <v>1</v>
      </c>
      <c r="I461" s="2" t="inlineStr">
        <is>
          <t>790</t>
        </is>
      </c>
      <c r="J461" s="4"/>
      <c r="K461" s="2">
        <v>10</v>
      </c>
      <c r="L461" s="6"/>
      <c r="M461" s="2" t="str">
        <f>IF(J461="",ROUND(I461*(1-IF(ISBLANK(L461),K461,L461)/100),2),ROUND(J461*(1-IF(ISBLANK(L461),K461,L461)/100),2))</f>
      </c>
      <c r="N461" s="7" t="str">
        <f>IF(NOT(AND(J461="",L461="")),IF(OR(AND(L461&lt;&gt;"",NOT(ISNUMBER(L461))),IFERROR(MOD(L461,1),1)&gt;0,AND(ISNUMBER(L461),OR(L461&lt;0,L461&gt;95))),"Введите целое число от 0 до 95",IF(OR(AND(J461&lt;&gt;"",NOT(ISNUMBER(J461))),IFERROR(MOD(J461,1),1)&gt;0,AND(ISNUMBER(J461),OR(J461&lt;50,J461&gt;20000000))),"Введите целое число от 50 до 20000000",IF(NOT(ABS(IFERROR(VALUE(LEFT(M461,FIND("-",M461)-1)),M461)*100-(5000+2000000000)/2)&lt;=ABS(5000-2000000000)/2),"Цена со скидкой должна быть от 50 до 20000000",IF(IFERROR(VALUE(LEFT(M461,FIND("-",M461)-1)),M461)*229&lt;71100,"Вы уменьшили цену в несколько раз, товар попадет в карантин цен","")))),"")</f>
      </c>
    </row>
    <row r="462">
      <c r="A462" s="2" t="inlineStr">
        <is>
          <t>CuteShop</t>
        </is>
      </c>
      <c r="B462" s="2" t="inlineStr">
        <is>
          <t>Держатели для пустышек</t>
        </is>
      </c>
      <c r="C462" s="2">
        <v>111031672</v>
      </c>
      <c r="D462" s="2" t="inlineStr">
        <is>
          <t>MaksimMish</t>
        </is>
      </c>
      <c r="E462" s="2" t="inlineStr">
        <is>
          <t>2037464329628</t>
        </is>
      </c>
      <c r="F462" s="2">
        <v>0</v>
      </c>
      <c r="G462" s="2">
        <v>0</v>
      </c>
      <c r="H462" s="2">
        <v>1</v>
      </c>
      <c r="I462" s="2" t="inlineStr">
        <is>
          <t>1030</t>
        </is>
      </c>
      <c r="J462" s="4"/>
      <c r="K462" s="2">
        <v>10</v>
      </c>
      <c r="L462" s="6"/>
      <c r="M462" s="2" t="str">
        <f>IF(J462="",ROUND(I462*(1-IF(ISBLANK(L462),K462,L462)/100),2),ROUND(J462*(1-IF(ISBLANK(L462),K462,L462)/100),2))</f>
      </c>
      <c r="N462" s="7" t="str">
        <f>IF(NOT(AND(J462="",L462="")),IF(OR(AND(L462&lt;&gt;"",NOT(ISNUMBER(L462))),IFERROR(MOD(L462,1),1)&gt;0,AND(ISNUMBER(L462),OR(L462&lt;0,L462&gt;95))),"Введите целое число от 0 до 95",IF(OR(AND(J462&lt;&gt;"",NOT(ISNUMBER(J462))),IFERROR(MOD(J462,1),1)&gt;0,AND(ISNUMBER(J462),OR(J462&lt;50,J462&gt;20000000))),"Введите целое число от 50 до 20000000",IF(NOT(ABS(IFERROR(VALUE(LEFT(M462,FIND("-",M462)-1)),M462)*100-(5000+2000000000)/2)&lt;=ABS(5000-2000000000)/2),"Цена со скидкой должна быть от 50 до 20000000",IF(IFERROR(VALUE(LEFT(M462,FIND("-",M462)-1)),M462)*229&lt;92700,"Вы уменьшили цену в несколько раз, товар попадет в карантин цен","")))),"")</f>
      </c>
    </row>
    <row r="463">
      <c r="A463" s="2" t="inlineStr">
        <is>
          <t>CuteShop</t>
        </is>
      </c>
      <c r="B463" s="2" t="inlineStr">
        <is>
          <t>Держатели для пустышек</t>
        </is>
      </c>
      <c r="C463" s="2">
        <v>217977345</v>
      </c>
      <c r="D463" s="2" t="inlineStr">
        <is>
          <t>MayaBel2</t>
        </is>
      </c>
      <c r="E463" s="2" t="inlineStr">
        <is>
          <t>2039673971803</t>
        </is>
      </c>
      <c r="F463" s="2">
        <v>0</v>
      </c>
      <c r="G463" s="2">
        <v>0</v>
      </c>
      <c r="H463" s="2" t="inlineStr">
        <is>
          <t/>
        </is>
      </c>
      <c r="I463" s="2" t="inlineStr">
        <is>
          <t>1030</t>
        </is>
      </c>
      <c r="J463" s="4"/>
      <c r="K463" s="2">
        <v>10</v>
      </c>
      <c r="L463" s="6"/>
      <c r="M463" s="2" t="str">
        <f>IF(J463="",ROUND(I463*(1-IF(ISBLANK(L463),K463,L463)/100),2),ROUND(J463*(1-IF(ISBLANK(L463),K463,L463)/100),2))</f>
      </c>
      <c r="N463" s="7" t="str">
        <f>IF(NOT(AND(J463="",L463="")),IF(OR(AND(L463&lt;&gt;"",NOT(ISNUMBER(L463))),IFERROR(MOD(L463,1),1)&gt;0,AND(ISNUMBER(L463),OR(L463&lt;0,L463&gt;95))),"Введите целое число от 0 до 95",IF(OR(AND(J463&lt;&gt;"",NOT(ISNUMBER(J463))),IFERROR(MOD(J463,1),1)&gt;0,AND(ISNUMBER(J463),OR(J463&lt;50,J463&gt;20000000))),"Введите целое число от 50 до 20000000",IF(NOT(ABS(IFERROR(VALUE(LEFT(M463,FIND("-",M463)-1)),M463)*100-(5000+2000000000)/2)&lt;=ABS(5000-2000000000)/2),"Цена со скидкой должна быть от 50 до 20000000",IF(IFERROR(VALUE(LEFT(M463,FIND("-",M463)-1)),M463)*229&lt;92700,"Вы уменьшили цену в несколько раз, товар попадет в карантин цен","")))),"")</f>
      </c>
    </row>
    <row r="464">
      <c r="A464" s="2" t="inlineStr">
        <is>
          <t>Dolz</t>
        </is>
      </c>
      <c r="B464" s="2" t="inlineStr">
        <is>
          <t>Насосы водяные</t>
        </is>
      </c>
      <c r="C464" s="2">
        <v>160720647</v>
      </c>
      <c r="D464" s="2" t="inlineStr">
        <is>
          <t>RIR-H227</t>
        </is>
      </c>
      <c r="E464" s="2" t="inlineStr">
        <is>
          <t>2037823828199</t>
        </is>
      </c>
      <c r="F464" s="2">
        <v>0</v>
      </c>
      <c r="G464" s="2">
        <v>0</v>
      </c>
      <c r="H464" s="2">
        <v>0</v>
      </c>
      <c r="I464" s="2" t="inlineStr">
        <is>
          <t>3500</t>
        </is>
      </c>
      <c r="J464" s="4"/>
      <c r="K464" s="2">
        <v>0</v>
      </c>
      <c r="L464" s="6"/>
      <c r="M464" s="2" t="str">
        <f>IF(J464="",ROUND(I464*(1-IF(ISBLANK(L464),K464,L464)/100),2),ROUND(J464*(1-IF(ISBLANK(L464),K464,L464)/100),2))</f>
      </c>
      <c r="N464" s="7" t="str">
        <f>IF(NOT(AND(J464="",L464="")),IF(OR(AND(L464&lt;&gt;"",NOT(ISNUMBER(L464))),IFERROR(MOD(L464,1),1)&gt;0,AND(ISNUMBER(L464),OR(L464&lt;0,L464&gt;95))),"Введите целое число от 0 до 95",IF(OR(AND(J464&lt;&gt;"",NOT(ISNUMBER(J464))),IFERROR(MOD(J464,1),1)&gt;0,AND(ISNUMBER(J464),OR(J464&lt;50,J464&gt;20000000))),"Введите целое число от 50 до 20000000",IF(NOT(ABS(IFERROR(VALUE(LEFT(M464,FIND("-",M464)-1)),M464)*100-(5000+2000000000)/2)&lt;=ABS(5000-2000000000)/2),"Цена со скидкой должна быть от 50 до 20000000",IF(IFERROR(VALUE(LEFT(M464,FIND("-",M464)-1)),M464)*210&lt;350000,"Вы уменьшили цену в несколько раз, товар попадет в карантин цен","")))),"")</f>
      </c>
    </row>
    <row r="465">
      <c r="A465" s="2" t="inlineStr">
        <is>
          <t>CuteShop</t>
        </is>
      </c>
      <c r="B465" s="2" t="inlineStr">
        <is>
          <t>Держатели для пустышек</t>
        </is>
      </c>
      <c r="C465" s="2">
        <v>272525925</v>
      </c>
      <c r="D465" s="2" t="inlineStr">
        <is>
          <t>PolechkaOlen</t>
        </is>
      </c>
      <c r="E465" s="2" t="inlineStr">
        <is>
          <t>2041508071459</t>
        </is>
      </c>
      <c r="F465" s="2">
        <v>0</v>
      </c>
      <c r="G465" s="2">
        <v>0</v>
      </c>
      <c r="H465" s="2" t="inlineStr">
        <is>
          <t/>
        </is>
      </c>
      <c r="I465" s="2" t="inlineStr">
        <is>
          <t>1030</t>
        </is>
      </c>
      <c r="J465" s="4"/>
      <c r="K465" s="2">
        <v>10</v>
      </c>
      <c r="L465" s="6"/>
      <c r="M465" s="2" t="str">
        <f>IF(J465="",ROUND(I465*(1-IF(ISBLANK(L465),K465,L465)/100),2),ROUND(J465*(1-IF(ISBLANK(L465),K465,L465)/100),2))</f>
      </c>
      <c r="N465" s="7" t="str">
        <f>IF(NOT(AND(J465="",L465="")),IF(OR(AND(L465&lt;&gt;"",NOT(ISNUMBER(L465))),IFERROR(MOD(L465,1),1)&gt;0,AND(ISNUMBER(L465),OR(L465&lt;0,L465&gt;95))),"Введите целое число от 0 до 95",IF(OR(AND(J465&lt;&gt;"",NOT(ISNUMBER(J465))),IFERROR(MOD(J465,1),1)&gt;0,AND(ISNUMBER(J465),OR(J465&lt;50,J465&gt;20000000))),"Введите целое число от 50 до 20000000",IF(NOT(ABS(IFERROR(VALUE(LEFT(M465,FIND("-",M465)-1)),M465)*100-(5000+2000000000)/2)&lt;=ABS(5000-2000000000)/2),"Цена со скидкой должна быть от 50 до 20000000",IF(IFERROR(VALUE(LEFT(M465,FIND("-",M465)-1)),M465)*229&lt;92700,"Вы уменьшили цену в несколько раз, товар попадет в карантин цен","")))),"")</f>
      </c>
    </row>
    <row r="466">
      <c r="A466" s="2" t="inlineStr">
        <is>
          <t>CuteShop</t>
        </is>
      </c>
      <c r="B466" s="2" t="inlineStr">
        <is>
          <t>Держатели для пустышек</t>
        </is>
      </c>
      <c r="C466" s="2">
        <v>87353688</v>
      </c>
      <c r="D466" s="2" t="inlineStr">
        <is>
          <t>DamirBG</t>
        </is>
      </c>
      <c r="E466" s="2" t="inlineStr">
        <is>
          <t>2034749618620</t>
        </is>
      </c>
      <c r="F466" s="2">
        <v>0</v>
      </c>
      <c r="G466" s="2">
        <v>1</v>
      </c>
      <c r="H466" s="2">
        <v>0</v>
      </c>
      <c r="I466" s="2" t="inlineStr">
        <is>
          <t>790</t>
        </is>
      </c>
      <c r="J466" s="4"/>
      <c r="K466" s="2">
        <v>10</v>
      </c>
      <c r="L466" s="6"/>
      <c r="M466" s="2" t="str">
        <f>IF(J466="",ROUND(I466*(1-IF(ISBLANK(L466),K466,L466)/100),2),ROUND(J466*(1-IF(ISBLANK(L466),K466,L466)/100),2))</f>
      </c>
      <c r="N466" s="7" t="str">
        <f>IF(NOT(AND(J466="",L466="")),IF(OR(AND(L466&lt;&gt;"",NOT(ISNUMBER(L466))),IFERROR(MOD(L466,1),1)&gt;0,AND(ISNUMBER(L466),OR(L466&lt;0,L466&gt;95))),"Введите целое число от 0 до 95",IF(OR(AND(J466&lt;&gt;"",NOT(ISNUMBER(J466))),IFERROR(MOD(J466,1),1)&gt;0,AND(ISNUMBER(J466),OR(J466&lt;50,J466&gt;20000000))),"Введите целое число от 50 до 20000000",IF(NOT(ABS(IFERROR(VALUE(LEFT(M466,FIND("-",M466)-1)),M466)*100-(5000+2000000000)/2)&lt;=ABS(5000-2000000000)/2),"Цена со скидкой должна быть от 50 до 20000000",IF(IFERROR(VALUE(LEFT(M466,FIND("-",M466)-1)),M466)*229&lt;71100,"Вы уменьшили цену в несколько раз, товар попадет в карантин цен","")))),"")</f>
      </c>
    </row>
    <row r="467">
      <c r="A467" s="2" t="inlineStr">
        <is>
          <t>CuteShop</t>
        </is>
      </c>
      <c r="B467" s="2" t="inlineStr">
        <is>
          <t>Держатели для пустышек</t>
        </is>
      </c>
      <c r="C467" s="2">
        <v>112940592</v>
      </c>
      <c r="D467" s="2" t="inlineStr">
        <is>
          <t>Polina2BG</t>
        </is>
      </c>
      <c r="E467" s="2" t="inlineStr">
        <is>
          <t>2038995171625</t>
        </is>
      </c>
      <c r="F467" s="2">
        <v>0</v>
      </c>
      <c r="G467" s="2">
        <v>1</v>
      </c>
      <c r="H467" s="2">
        <v>0</v>
      </c>
      <c r="I467" s="2" t="inlineStr">
        <is>
          <t>790</t>
        </is>
      </c>
      <c r="J467" s="4"/>
      <c r="K467" s="2">
        <v>10</v>
      </c>
      <c r="L467" s="6"/>
      <c r="M467" s="2" t="str">
        <f>IF(J467="",ROUND(I467*(1-IF(ISBLANK(L467),K467,L467)/100),2),ROUND(J467*(1-IF(ISBLANK(L467),K467,L467)/100),2))</f>
      </c>
      <c r="N467" s="7" t="str">
        <f>IF(NOT(AND(J467="",L467="")),IF(OR(AND(L467&lt;&gt;"",NOT(ISNUMBER(L467))),IFERROR(MOD(L467,1),1)&gt;0,AND(ISNUMBER(L467),OR(L467&lt;0,L467&gt;95))),"Введите целое число от 0 до 95",IF(OR(AND(J467&lt;&gt;"",NOT(ISNUMBER(J467))),IFERROR(MOD(J467,1),1)&gt;0,AND(ISNUMBER(J467),OR(J467&lt;50,J467&gt;20000000))),"Введите целое число от 50 до 20000000",IF(NOT(ABS(IFERROR(VALUE(LEFT(M467,FIND("-",M467)-1)),M467)*100-(5000+2000000000)/2)&lt;=ABS(5000-2000000000)/2),"Цена со скидкой должна быть от 50 до 20000000",IF(IFERROR(VALUE(LEFT(M467,FIND("-",M467)-1)),M467)*229&lt;71100,"Вы уменьшили цену в несколько раз, товар попадет в карантин цен","")))),"")</f>
      </c>
    </row>
    <row r="468">
      <c r="A468" s="2" t="inlineStr">
        <is>
          <t>SANGSIN</t>
        </is>
      </c>
      <c r="B468" s="2" t="inlineStr">
        <is>
          <t>Колодки автомобильные</t>
        </is>
      </c>
      <c r="C468" s="2">
        <v>162875718</v>
      </c>
      <c r="D468" s="2" t="inlineStr">
        <is>
          <t>RIR-SP1184</t>
        </is>
      </c>
      <c r="E468" s="2" t="inlineStr">
        <is>
          <t>2037902964930</t>
        </is>
      </c>
      <c r="F468" s="2">
        <v>0</v>
      </c>
      <c r="G468" s="2">
        <v>0</v>
      </c>
      <c r="H468" s="2">
        <v>1</v>
      </c>
      <c r="I468" s="2" t="inlineStr">
        <is>
          <t>1670</t>
        </is>
      </c>
      <c r="J468" s="4"/>
      <c r="K468" s="2">
        <v>7</v>
      </c>
      <c r="L468" s="6"/>
      <c r="M468" s="2" t="str">
        <f>IF(J468="",ROUND(I468*(1-IF(ISBLANK(L468),K468,L468)/100),2),ROUND(J468*(1-IF(ISBLANK(L468),K468,L468)/100),2))</f>
      </c>
      <c r="N468" s="7" t="str">
        <f>IF(NOT(AND(J468="",L468="")),IF(OR(AND(L468&lt;&gt;"",NOT(ISNUMBER(L468))),IFERROR(MOD(L468,1),1)&gt;0,AND(ISNUMBER(L468),OR(L468&lt;0,L468&gt;95))),"Введите целое число от 0 до 95",IF(OR(AND(J468&lt;&gt;"",NOT(ISNUMBER(J468))),IFERROR(MOD(J468,1),1)&gt;0,AND(ISNUMBER(J468),OR(J468&lt;50,J468&gt;20000000))),"Введите целое число от 50 до 20000000",IF(NOT(ABS(IFERROR(VALUE(LEFT(M468,FIND("-",M468)-1)),M468)*100-(5000+2000000000)/2)&lt;=ABS(5000-2000000000)/2),"Цена со скидкой должна быть от 50 до 20000000",IF(IFERROR(VALUE(LEFT(M468,FIND("-",M468)-1)),M468)*210&lt;155310,"Вы уменьшили цену в несколько раз, товар попадет в карантин цен","")))),"")</f>
      </c>
    </row>
    <row r="469">
      <c r="A469" s="2" t="inlineStr">
        <is>
          <t>CuteShop</t>
        </is>
      </c>
      <c r="B469" s="2" t="inlineStr">
        <is>
          <t>Держатели для пустышек</t>
        </is>
      </c>
      <c r="C469" s="2">
        <v>87469384</v>
      </c>
      <c r="D469" s="2" t="inlineStr">
        <is>
          <t>AdamKoalaSer</t>
        </is>
      </c>
      <c r="E469" s="2" t="inlineStr">
        <is>
          <t>2034796560620</t>
        </is>
      </c>
      <c r="F469" s="2">
        <v>0</v>
      </c>
      <c r="G469" s="2">
        <v>0</v>
      </c>
      <c r="H469" s="2" t="inlineStr">
        <is>
          <t/>
        </is>
      </c>
      <c r="I469" s="2" t="inlineStr">
        <is>
          <t>1030</t>
        </is>
      </c>
      <c r="J469" s="4"/>
      <c r="K469" s="2">
        <v>10</v>
      </c>
      <c r="L469" s="6"/>
      <c r="M469" s="2" t="str">
        <f>IF(J469="",ROUND(I469*(1-IF(ISBLANK(L469),K469,L469)/100),2),ROUND(J469*(1-IF(ISBLANK(L469),K469,L469)/100),2))</f>
      </c>
      <c r="N469" s="7" t="str">
        <f>IF(NOT(AND(J469="",L469="")),IF(OR(AND(L469&lt;&gt;"",NOT(ISNUMBER(L469))),IFERROR(MOD(L469,1),1)&gt;0,AND(ISNUMBER(L469),OR(L469&lt;0,L469&gt;95))),"Введите целое число от 0 до 95",IF(OR(AND(J469&lt;&gt;"",NOT(ISNUMBER(J469))),IFERROR(MOD(J469,1),1)&gt;0,AND(ISNUMBER(J469),OR(J469&lt;50,J469&gt;20000000))),"Введите целое число от 50 до 20000000",IF(NOT(ABS(IFERROR(VALUE(LEFT(M469,FIND("-",M469)-1)),M469)*100-(5000+2000000000)/2)&lt;=ABS(5000-2000000000)/2),"Цена со скидкой должна быть от 50 до 20000000",IF(IFERROR(VALUE(LEFT(M469,FIND("-",M469)-1)),M469)*229&lt;92700,"Вы уменьшили цену в несколько раз, товар попадет в карантин цен","")))),"")</f>
      </c>
    </row>
    <row r="470">
      <c r="A470" s="2" t="inlineStr">
        <is>
          <t>CuteShop</t>
        </is>
      </c>
      <c r="B470" s="2" t="inlineStr">
        <is>
          <t>Держатели для пустышек</t>
        </is>
      </c>
      <c r="C470" s="2">
        <v>245137546</v>
      </c>
      <c r="D470" s="2" t="inlineStr">
        <is>
          <t>RodionMish</t>
        </is>
      </c>
      <c r="E470" s="2" t="inlineStr">
        <is>
          <t>2040698857744</t>
        </is>
      </c>
      <c r="F470" s="2">
        <v>0</v>
      </c>
      <c r="G470" s="2">
        <v>1</v>
      </c>
      <c r="H470" s="2" t="inlineStr">
        <is>
          <t/>
        </is>
      </c>
      <c r="I470" s="2" t="inlineStr">
        <is>
          <t>850</t>
        </is>
      </c>
      <c r="J470" s="4"/>
      <c r="K470" s="2">
        <v>10</v>
      </c>
      <c r="L470" s="6"/>
      <c r="M470" s="2" t="str">
        <f>IF(J470="",ROUND(I470*(1-IF(ISBLANK(L470),K470,L470)/100),2),ROUND(J470*(1-IF(ISBLANK(L470),K470,L470)/100),2))</f>
      </c>
      <c r="N470" s="7" t="str">
        <f>IF(NOT(AND(J470="",L470="")),IF(OR(AND(L470&lt;&gt;"",NOT(ISNUMBER(L470))),IFERROR(MOD(L470,1),1)&gt;0,AND(ISNUMBER(L470),OR(L470&lt;0,L470&gt;95))),"Введите целое число от 0 до 95",IF(OR(AND(J470&lt;&gt;"",NOT(ISNUMBER(J470))),IFERROR(MOD(J470,1),1)&gt;0,AND(ISNUMBER(J470),OR(J470&lt;50,J470&gt;20000000))),"Введите целое число от 50 до 20000000",IF(NOT(ABS(IFERROR(VALUE(LEFT(M470,FIND("-",M470)-1)),M470)*100-(5000+2000000000)/2)&lt;=ABS(5000-2000000000)/2),"Цена со скидкой должна быть от 50 до 20000000",IF(IFERROR(VALUE(LEFT(M470,FIND("-",M470)-1)),M470)*229&lt;76500,"Вы уменьшили цену в несколько раз, товар попадет в карантин цен","")))),"")</f>
      </c>
    </row>
    <row r="471">
      <c r="A471" s="2" t="inlineStr">
        <is>
          <t>CuteShop</t>
        </is>
      </c>
      <c r="B471" s="2" t="inlineStr">
        <is>
          <t>Держатели для пустышек</t>
        </is>
      </c>
      <c r="C471" s="2">
        <v>99808217</v>
      </c>
      <c r="D471" s="2" t="inlineStr">
        <is>
          <t>MaratBG2</t>
        </is>
      </c>
      <c r="E471" s="2" t="inlineStr">
        <is>
          <t>2036804117253</t>
        </is>
      </c>
      <c r="F471" s="2">
        <v>0</v>
      </c>
      <c r="G471" s="2">
        <v>1</v>
      </c>
      <c r="H471" s="2" t="inlineStr">
        <is>
          <t/>
        </is>
      </c>
      <c r="I471" s="2" t="inlineStr">
        <is>
          <t>790</t>
        </is>
      </c>
      <c r="J471" s="4"/>
      <c r="K471" s="2">
        <v>10</v>
      </c>
      <c r="L471" s="6"/>
      <c r="M471" s="2" t="str">
        <f>IF(J471="",ROUND(I471*(1-IF(ISBLANK(L471),K471,L471)/100),2),ROUND(J471*(1-IF(ISBLANK(L471),K471,L471)/100),2))</f>
      </c>
      <c r="N471" s="7" t="str">
        <f>IF(NOT(AND(J471="",L471="")),IF(OR(AND(L471&lt;&gt;"",NOT(ISNUMBER(L471))),IFERROR(MOD(L471,1),1)&gt;0,AND(ISNUMBER(L471),OR(L471&lt;0,L471&gt;95))),"Введите целое число от 0 до 95",IF(OR(AND(J471&lt;&gt;"",NOT(ISNUMBER(J471))),IFERROR(MOD(J471,1),1)&gt;0,AND(ISNUMBER(J471),OR(J471&lt;50,J471&gt;20000000))),"Введите целое число от 50 до 20000000",IF(NOT(ABS(IFERROR(VALUE(LEFT(M471,FIND("-",M471)-1)),M471)*100-(5000+2000000000)/2)&lt;=ABS(5000-2000000000)/2),"Цена со скидкой должна быть от 50 до 20000000",IF(IFERROR(VALUE(LEFT(M471,FIND("-",M471)-1)),M471)*229&lt;71100,"Вы уменьшили цену в несколько раз, товар попадет в карантин цен","")))),"")</f>
      </c>
    </row>
    <row r="472">
      <c r="A472" s="2" t="inlineStr">
        <is>
          <t>CuteShop</t>
        </is>
      </c>
      <c r="B472" s="2" t="inlineStr">
        <is>
          <t>Держатели для пустышек</t>
        </is>
      </c>
      <c r="C472" s="2">
        <v>245137014</v>
      </c>
      <c r="D472" s="2" t="inlineStr">
        <is>
          <t>TimBG2</t>
        </is>
      </c>
      <c r="E472" s="2" t="inlineStr">
        <is>
          <t>2040698840050</t>
        </is>
      </c>
      <c r="F472" s="2">
        <v>0</v>
      </c>
      <c r="G472" s="2">
        <v>1</v>
      </c>
      <c r="H472" s="2" t="inlineStr">
        <is>
          <t/>
        </is>
      </c>
      <c r="I472" s="2" t="inlineStr">
        <is>
          <t>700</t>
        </is>
      </c>
      <c r="J472" s="4"/>
      <c r="K472" s="2">
        <v>10</v>
      </c>
      <c r="L472" s="6"/>
      <c r="M472" s="2" t="str">
        <f>IF(J472="",ROUND(I472*(1-IF(ISBLANK(L472),K472,L472)/100),2),ROUND(J472*(1-IF(ISBLANK(L472),K472,L472)/100),2))</f>
      </c>
      <c r="N472" s="7" t="str">
        <f>IF(NOT(AND(J472="",L472="")),IF(OR(AND(L472&lt;&gt;"",NOT(ISNUMBER(L472))),IFERROR(MOD(L472,1),1)&gt;0,AND(ISNUMBER(L472),OR(L472&lt;0,L472&gt;95))),"Введите целое число от 0 до 95",IF(OR(AND(J472&lt;&gt;"",NOT(ISNUMBER(J472))),IFERROR(MOD(J472,1),1)&gt;0,AND(ISNUMBER(J472),OR(J472&lt;50,J472&gt;20000000))),"Введите целое число от 50 до 20000000",IF(NOT(ABS(IFERROR(VALUE(LEFT(M472,FIND("-",M472)-1)),M472)*100-(5000+2000000000)/2)&lt;=ABS(5000-2000000000)/2),"Цена со скидкой должна быть от 50 до 20000000",IF(IFERROR(VALUE(LEFT(M472,FIND("-",M472)-1)),M472)*229&lt;63000,"Вы уменьшили цену в несколько раз, товар попадет в карантин цен","")))),"")</f>
      </c>
    </row>
    <row r="473">
      <c r="A473" s="2" t="inlineStr">
        <is>
          <t>CuteShop</t>
        </is>
      </c>
      <c r="B473" s="2" t="inlineStr">
        <is>
          <t>Держатели для пустышек</t>
        </is>
      </c>
      <c r="C473" s="2">
        <v>140308088</v>
      </c>
      <c r="D473" s="2" t="inlineStr">
        <is>
          <t>LeraEdin3</t>
        </is>
      </c>
      <c r="E473" s="2" t="inlineStr">
        <is>
          <t>2037296099157</t>
        </is>
      </c>
      <c r="F473" s="2">
        <v>0</v>
      </c>
      <c r="G473" s="2">
        <v>0</v>
      </c>
      <c r="H473" s="2">
        <v>0</v>
      </c>
      <c r="I473" s="2" t="inlineStr">
        <is>
          <t>1030</t>
        </is>
      </c>
      <c r="J473" s="4"/>
      <c r="K473" s="2">
        <v>10</v>
      </c>
      <c r="L473" s="6"/>
      <c r="M473" s="2" t="str">
        <f>IF(J473="",ROUND(I473*(1-IF(ISBLANK(L473),K473,L473)/100),2),ROUND(J473*(1-IF(ISBLANK(L473),K473,L473)/100),2))</f>
      </c>
      <c r="N473" s="7" t="str">
        <f>IF(NOT(AND(J473="",L473="")),IF(OR(AND(L473&lt;&gt;"",NOT(ISNUMBER(L473))),IFERROR(MOD(L473,1),1)&gt;0,AND(ISNUMBER(L473),OR(L473&lt;0,L473&gt;95))),"Введите целое число от 0 до 95",IF(OR(AND(J473&lt;&gt;"",NOT(ISNUMBER(J473))),IFERROR(MOD(J473,1),1)&gt;0,AND(ISNUMBER(J473),OR(J473&lt;50,J473&gt;20000000))),"Введите целое число от 50 до 20000000",IF(NOT(ABS(IFERROR(VALUE(LEFT(M473,FIND("-",M473)-1)),M473)*100-(5000+2000000000)/2)&lt;=ABS(5000-2000000000)/2),"Цена со скидкой должна быть от 50 до 20000000",IF(IFERROR(VALUE(LEFT(M473,FIND("-",M473)-1)),M473)*229&lt;92700,"Вы уменьшили цену в несколько раз, товар попадет в карантин цен","")))),"")</f>
      </c>
    </row>
    <row r="474">
      <c r="A474" s="2" t="inlineStr">
        <is>
          <t>CuteShop</t>
        </is>
      </c>
      <c r="B474" s="2" t="inlineStr">
        <is>
          <t>Держатели для пустышек</t>
        </is>
      </c>
      <c r="C474" s="2">
        <v>275660606</v>
      </c>
      <c r="D474" s="2" t="inlineStr">
        <is>
          <t>Derzh-Nab4</t>
        </is>
      </c>
      <c r="E474" s="2" t="inlineStr">
        <is>
          <t>2041601506025</t>
        </is>
      </c>
      <c r="F474" s="2">
        <v>0</v>
      </c>
      <c r="G474" s="2">
        <v>1</v>
      </c>
      <c r="H474" s="2" t="inlineStr">
        <is>
          <t/>
        </is>
      </c>
      <c r="I474" s="2" t="inlineStr">
        <is>
          <t>580</t>
        </is>
      </c>
      <c r="J474" s="4"/>
      <c r="K474" s="2">
        <v>10</v>
      </c>
      <c r="L474" s="6"/>
      <c r="M474" s="2" t="str">
        <f>IF(J474="",ROUND(I474*(1-IF(ISBLANK(L474),K474,L474)/100),2),ROUND(J474*(1-IF(ISBLANK(L474),K474,L474)/100),2))</f>
      </c>
      <c r="N474" s="7" t="str">
        <f>IF(NOT(AND(J474="",L474="")),IF(OR(AND(L474&lt;&gt;"",NOT(ISNUMBER(L474))),IFERROR(MOD(L474,1),1)&gt;0,AND(ISNUMBER(L474),OR(L474&lt;0,L474&gt;95))),"Введите целое число от 0 до 95",IF(OR(AND(J474&lt;&gt;"",NOT(ISNUMBER(J474))),IFERROR(MOD(J474,1),1)&gt;0,AND(ISNUMBER(J474),OR(J474&lt;50,J474&gt;20000000))),"Введите целое число от 50 до 20000000",IF(NOT(ABS(IFERROR(VALUE(LEFT(M474,FIND("-",M474)-1)),M474)*100-(5000+2000000000)/2)&lt;=ABS(5000-2000000000)/2),"Цена со скидкой должна быть от 50 до 20000000",IF(IFERROR(VALUE(LEFT(M474,FIND("-",M474)-1)),M474)*229&lt;52200,"Вы уменьшили цену в несколько раз, товар попадет в карантин цен","")))),"")</f>
      </c>
    </row>
    <row r="475">
      <c r="A475" s="2" t="inlineStr">
        <is>
          <t>CuteShop</t>
        </is>
      </c>
      <c r="B475" s="2" t="inlineStr">
        <is>
          <t>Держатели для пустышек</t>
        </is>
      </c>
      <c r="C475" s="2">
        <v>275660605</v>
      </c>
      <c r="D475" s="2" t="inlineStr">
        <is>
          <t>Derzh-Nab3</t>
        </is>
      </c>
      <c r="E475" s="2" t="inlineStr">
        <is>
          <t>2041601329556</t>
        </is>
      </c>
      <c r="F475" s="2">
        <v>0</v>
      </c>
      <c r="G475" s="2">
        <v>1</v>
      </c>
      <c r="H475" s="2" t="inlineStr">
        <is>
          <t/>
        </is>
      </c>
      <c r="I475" s="2" t="inlineStr">
        <is>
          <t>580</t>
        </is>
      </c>
      <c r="J475" s="4"/>
      <c r="K475" s="2">
        <v>10</v>
      </c>
      <c r="L475" s="6"/>
      <c r="M475" s="2" t="str">
        <f>IF(J475="",ROUND(I475*(1-IF(ISBLANK(L475),K475,L475)/100),2),ROUND(J475*(1-IF(ISBLANK(L475),K475,L475)/100),2))</f>
      </c>
      <c r="N475" s="7" t="str">
        <f>IF(NOT(AND(J475="",L475="")),IF(OR(AND(L475&lt;&gt;"",NOT(ISNUMBER(L475))),IFERROR(MOD(L475,1),1)&gt;0,AND(ISNUMBER(L475),OR(L475&lt;0,L475&gt;95))),"Введите целое число от 0 до 95",IF(OR(AND(J475&lt;&gt;"",NOT(ISNUMBER(J475))),IFERROR(MOD(J475,1),1)&gt;0,AND(ISNUMBER(J475),OR(J475&lt;50,J475&gt;20000000))),"Введите целое число от 50 до 20000000",IF(NOT(ABS(IFERROR(VALUE(LEFT(M475,FIND("-",M475)-1)),M475)*100-(5000+2000000000)/2)&lt;=ABS(5000-2000000000)/2),"Цена со скидкой должна быть от 50 до 20000000",IF(IFERROR(VALUE(LEFT(M475,FIND("-",M475)-1)),M475)*229&lt;52200,"Вы уменьшили цену в несколько раз, товар попадет в карантин цен","")))),"")</f>
      </c>
    </row>
    <row r="476">
      <c r="A476" s="2" t="inlineStr">
        <is>
          <t>CuteShop</t>
        </is>
      </c>
      <c r="B476" s="2" t="inlineStr">
        <is>
          <t>Держатели для пустышек</t>
        </is>
      </c>
      <c r="C476" s="2">
        <v>269134382</v>
      </c>
      <c r="D476" s="2" t="inlineStr">
        <is>
          <t>VikulyaEdin2</t>
        </is>
      </c>
      <c r="E476" s="2" t="inlineStr">
        <is>
          <t>2041429497093</t>
        </is>
      </c>
      <c r="F476" s="2">
        <v>0</v>
      </c>
      <c r="G476" s="2">
        <v>0</v>
      </c>
      <c r="H476" s="2" t="inlineStr">
        <is>
          <t/>
        </is>
      </c>
      <c r="I476" s="2" t="inlineStr">
        <is>
          <t>1030</t>
        </is>
      </c>
      <c r="J476" s="4"/>
      <c r="K476" s="2">
        <v>10</v>
      </c>
      <c r="L476" s="6"/>
      <c r="M476" s="2" t="str">
        <f>IF(J476="",ROUND(I476*(1-IF(ISBLANK(L476),K476,L476)/100),2),ROUND(J476*(1-IF(ISBLANK(L476),K476,L476)/100),2))</f>
      </c>
      <c r="N476" s="7" t="str">
        <f>IF(NOT(AND(J476="",L476="")),IF(OR(AND(L476&lt;&gt;"",NOT(ISNUMBER(L476))),IFERROR(MOD(L476,1),1)&gt;0,AND(ISNUMBER(L476),OR(L476&lt;0,L476&gt;95))),"Введите целое число от 0 до 95",IF(OR(AND(J476&lt;&gt;"",NOT(ISNUMBER(J476))),IFERROR(MOD(J476,1),1)&gt;0,AND(ISNUMBER(J476),OR(J476&lt;50,J476&gt;20000000))),"Введите целое число от 50 до 20000000",IF(NOT(ABS(IFERROR(VALUE(LEFT(M476,FIND("-",M476)-1)),M476)*100-(5000+2000000000)/2)&lt;=ABS(5000-2000000000)/2),"Цена со скидкой должна быть от 50 до 20000000",IF(IFERROR(VALUE(LEFT(M476,FIND("-",M476)-1)),M476)*229&lt;92700,"Вы уменьшили цену в несколько раз, товар попадет в карантин цен","")))),"")</f>
      </c>
    </row>
    <row r="477">
      <c r="A477" s="2" t="inlineStr">
        <is>
          <t>CuteShop</t>
        </is>
      </c>
      <c r="B477" s="2" t="inlineStr">
        <is>
          <t>Держатели для пустышек</t>
        </is>
      </c>
      <c r="C477" s="2">
        <v>269134381</v>
      </c>
      <c r="D477" s="2" t="inlineStr">
        <is>
          <t>VikulyaEdin</t>
        </is>
      </c>
      <c r="E477" s="2" t="inlineStr">
        <is>
          <t>2041429494801</t>
        </is>
      </c>
      <c r="F477" s="2">
        <v>0</v>
      </c>
      <c r="G477" s="2">
        <v>1</v>
      </c>
      <c r="H477" s="2" t="inlineStr">
        <is>
          <t/>
        </is>
      </c>
      <c r="I477" s="2" t="inlineStr">
        <is>
          <t>1030</t>
        </is>
      </c>
      <c r="J477" s="4"/>
      <c r="K477" s="2">
        <v>10</v>
      </c>
      <c r="L477" s="6"/>
      <c r="M477" s="2" t="str">
        <f>IF(J477="",ROUND(I477*(1-IF(ISBLANK(L477),K477,L477)/100),2),ROUND(J477*(1-IF(ISBLANK(L477),K477,L477)/100),2))</f>
      </c>
      <c r="N477" s="7" t="str">
        <f>IF(NOT(AND(J477="",L477="")),IF(OR(AND(L477&lt;&gt;"",NOT(ISNUMBER(L477))),IFERROR(MOD(L477,1),1)&gt;0,AND(ISNUMBER(L477),OR(L477&lt;0,L477&gt;95))),"Введите целое число от 0 до 95",IF(OR(AND(J477&lt;&gt;"",NOT(ISNUMBER(J477))),IFERROR(MOD(J477,1),1)&gt;0,AND(ISNUMBER(J477),OR(J477&lt;50,J477&gt;20000000))),"Введите целое число от 50 до 20000000",IF(NOT(ABS(IFERROR(VALUE(LEFT(M477,FIND("-",M477)-1)),M477)*100-(5000+2000000000)/2)&lt;=ABS(5000-2000000000)/2),"Цена со скидкой должна быть от 50 до 20000000",IF(IFERROR(VALUE(LEFT(M477,FIND("-",M477)-1)),M477)*229&lt;92700,"Вы уменьшили цену в несколько раз, товар попадет в карантин цен","")))),"")</f>
      </c>
    </row>
    <row r="478">
      <c r="A478" s="2" t="inlineStr">
        <is>
          <t>CuteShop</t>
        </is>
      </c>
      <c r="B478" s="2" t="inlineStr">
        <is>
          <t>Держатели для пустышек</t>
        </is>
      </c>
      <c r="C478" s="2">
        <v>217977348</v>
      </c>
      <c r="D478" s="2" t="inlineStr">
        <is>
          <t>MayushaMedv</t>
        </is>
      </c>
      <c r="E478" s="2" t="inlineStr">
        <is>
          <t>2039673975849</t>
        </is>
      </c>
      <c r="F478" s="2">
        <v>0</v>
      </c>
      <c r="G478" s="2">
        <v>0</v>
      </c>
      <c r="H478" s="2" t="inlineStr">
        <is>
          <t/>
        </is>
      </c>
      <c r="I478" s="2" t="inlineStr">
        <is>
          <t>1030</t>
        </is>
      </c>
      <c r="J478" s="4"/>
      <c r="K478" s="2">
        <v>10</v>
      </c>
      <c r="L478" s="6"/>
      <c r="M478" s="2" t="str">
        <f>IF(J478="",ROUND(I478*(1-IF(ISBLANK(L478),K478,L478)/100),2),ROUND(J478*(1-IF(ISBLANK(L478),K478,L478)/100),2))</f>
      </c>
      <c r="N478" s="7" t="str">
        <f>IF(NOT(AND(J478="",L478="")),IF(OR(AND(L478&lt;&gt;"",NOT(ISNUMBER(L478))),IFERROR(MOD(L478,1),1)&gt;0,AND(ISNUMBER(L478),OR(L478&lt;0,L478&gt;95))),"Введите целое число от 0 до 95",IF(OR(AND(J478&lt;&gt;"",NOT(ISNUMBER(J478))),IFERROR(MOD(J478,1),1)&gt;0,AND(ISNUMBER(J478),OR(J478&lt;50,J478&gt;20000000))),"Введите целое число от 50 до 20000000",IF(NOT(ABS(IFERROR(VALUE(LEFT(M478,FIND("-",M478)-1)),M478)*100-(5000+2000000000)/2)&lt;=ABS(5000-2000000000)/2),"Цена со скидкой должна быть от 50 до 20000000",IF(IFERROR(VALUE(LEFT(M478,FIND("-",M478)-1)),M478)*229&lt;92700,"Вы уменьшили цену в несколько раз, товар попадет в карантин цен","")))),"")</f>
      </c>
    </row>
    <row r="479">
      <c r="A479" s="2" t="inlineStr">
        <is>
          <t>CuteShop</t>
        </is>
      </c>
      <c r="B479" s="2" t="inlineStr">
        <is>
          <t>Держатели для пустышек</t>
        </is>
      </c>
      <c r="C479" s="2">
        <v>254314912</v>
      </c>
      <c r="D479" s="2" t="inlineStr">
        <is>
          <t>EmiliOlen</t>
        </is>
      </c>
      <c r="E479" s="2" t="inlineStr">
        <is>
          <t>2040977337073</t>
        </is>
      </c>
      <c r="F479" s="2">
        <v>0</v>
      </c>
      <c r="G479" s="2">
        <v>0</v>
      </c>
      <c r="H479" s="2" t="inlineStr">
        <is>
          <t/>
        </is>
      </c>
      <c r="I479" s="2" t="inlineStr">
        <is>
          <t>1030</t>
        </is>
      </c>
      <c r="J479" s="4"/>
      <c r="K479" s="2">
        <v>10</v>
      </c>
      <c r="L479" s="6"/>
      <c r="M479" s="2" t="str">
        <f>IF(J479="",ROUND(I479*(1-IF(ISBLANK(L479),K479,L479)/100),2),ROUND(J479*(1-IF(ISBLANK(L479),K479,L479)/100),2))</f>
      </c>
      <c r="N479" s="7" t="str">
        <f>IF(NOT(AND(J479="",L479="")),IF(OR(AND(L479&lt;&gt;"",NOT(ISNUMBER(L479))),IFERROR(MOD(L479,1),1)&gt;0,AND(ISNUMBER(L479),OR(L479&lt;0,L479&gt;95))),"Введите целое число от 0 до 95",IF(OR(AND(J479&lt;&gt;"",NOT(ISNUMBER(J479))),IFERROR(MOD(J479,1),1)&gt;0,AND(ISNUMBER(J479),OR(J479&lt;50,J479&gt;20000000))),"Введите целое число от 50 до 20000000",IF(NOT(ABS(IFERROR(VALUE(LEFT(M479,FIND("-",M479)-1)),M479)*100-(5000+2000000000)/2)&lt;=ABS(5000-2000000000)/2),"Цена со скидкой должна быть от 50 до 20000000",IF(IFERROR(VALUE(LEFT(M479,FIND("-",M479)-1)),M479)*229&lt;92700,"Вы уменьшили цену в несколько раз, товар попадет в карантин цен","")))),"")</f>
      </c>
    </row>
    <row r="480">
      <c r="A480" s="2" t="inlineStr">
        <is>
          <t>Avantech</t>
        </is>
      </c>
      <c r="B480" s="2" t="inlineStr">
        <is>
          <t>Ремни приводные</t>
        </is>
      </c>
      <c r="C480" s="2">
        <v>174044737</v>
      </c>
      <c r="D480" s="2" t="inlineStr">
        <is>
          <t>4PK955A</t>
        </is>
      </c>
      <c r="E480" s="2" t="inlineStr">
        <is>
          <t>2038462521526</t>
        </is>
      </c>
      <c r="F480" s="2">
        <v>0</v>
      </c>
      <c r="G480" s="2">
        <v>1</v>
      </c>
      <c r="H480" s="2" t="inlineStr">
        <is>
          <t/>
        </is>
      </c>
      <c r="I480" s="2" t="inlineStr">
        <is>
          <t>420</t>
        </is>
      </c>
      <c r="J480" s="4"/>
      <c r="K480" s="2">
        <v>2</v>
      </c>
      <c r="L480" s="6"/>
      <c r="M480" s="2" t="str">
        <f>IF(J480="",ROUND(I480*(1-IF(ISBLANK(L480),K480,L480)/100),2),ROUND(J480*(1-IF(ISBLANK(L480),K480,L480)/100),2))</f>
      </c>
      <c r="N480" s="7" t="str">
        <f>IF(NOT(AND(J480="",L480="")),IF(OR(AND(L480&lt;&gt;"",NOT(ISNUMBER(L480))),IFERROR(MOD(L480,1),1)&gt;0,AND(ISNUMBER(L480),OR(L480&lt;0,L480&gt;95))),"Введите целое число от 0 до 95",IF(OR(AND(J480&lt;&gt;"",NOT(ISNUMBER(J480))),IFERROR(MOD(J480,1),1)&gt;0,AND(ISNUMBER(J480),OR(J480&lt;50,J480&gt;20000000))),"Введите целое число от 50 до 20000000",IF(NOT(ABS(IFERROR(VALUE(LEFT(M480,FIND("-",M480)-1)),M480)*100-(5000+2000000000)/2)&lt;=ABS(5000-2000000000)/2),"Цена со скидкой должна быть от 50 до 20000000",IF(IFERROR(VALUE(LEFT(M480,FIND("-",M480)-1)),M480)*210&lt;41160,"Вы уменьшили цену в несколько раз, товар попадет в карантин цен","")))),"")</f>
      </c>
    </row>
    <row r="481">
      <c r="A481" s="2" t="inlineStr">
        <is>
          <t>CuteShop</t>
        </is>
      </c>
      <c r="B481" s="2" t="inlineStr">
        <is>
          <t>Держатели для пустышек</t>
        </is>
      </c>
      <c r="C481" s="2">
        <v>217865758</v>
      </c>
      <c r="D481" s="2" t="inlineStr">
        <is>
          <t>EvgMish3</t>
        </is>
      </c>
      <c r="E481" s="2" t="inlineStr">
        <is>
          <t>2039672016680</t>
        </is>
      </c>
      <c r="F481" s="2">
        <v>0</v>
      </c>
      <c r="G481" s="2">
        <v>1</v>
      </c>
      <c r="H481" s="2" t="inlineStr">
        <is>
          <t/>
        </is>
      </c>
      <c r="I481" s="2" t="inlineStr">
        <is>
          <t>1030</t>
        </is>
      </c>
      <c r="J481" s="4"/>
      <c r="K481" s="2">
        <v>10</v>
      </c>
      <c r="L481" s="6"/>
      <c r="M481" s="2" t="str">
        <f>IF(J481="",ROUND(I481*(1-IF(ISBLANK(L481),K481,L481)/100),2),ROUND(J481*(1-IF(ISBLANK(L481),K481,L481)/100),2))</f>
      </c>
      <c r="N481" s="7" t="str">
        <f>IF(NOT(AND(J481="",L481="")),IF(OR(AND(L481&lt;&gt;"",NOT(ISNUMBER(L481))),IFERROR(MOD(L481,1),1)&gt;0,AND(ISNUMBER(L481),OR(L481&lt;0,L481&gt;95))),"Введите целое число от 0 до 95",IF(OR(AND(J481&lt;&gt;"",NOT(ISNUMBER(J481))),IFERROR(MOD(J481,1),1)&gt;0,AND(ISNUMBER(J481),OR(J481&lt;50,J481&gt;20000000))),"Введите целое число от 50 до 20000000",IF(NOT(ABS(IFERROR(VALUE(LEFT(M481,FIND("-",M481)-1)),M481)*100-(5000+2000000000)/2)&lt;=ABS(5000-2000000000)/2),"Цена со скидкой должна быть от 50 до 20000000",IF(IFERROR(VALUE(LEFT(M481,FIND("-",M481)-1)),M481)*229&lt;92700,"Вы уменьшили цену в несколько раз, товар попадет в карантин цен","")))),"")</f>
      </c>
    </row>
    <row r="482">
      <c r="A482" s="2" t="inlineStr">
        <is>
          <t>CuteShop</t>
        </is>
      </c>
      <c r="B482" s="2" t="inlineStr">
        <is>
          <t>Держатели для пустышек</t>
        </is>
      </c>
      <c r="C482" s="2">
        <v>112364057</v>
      </c>
      <c r="D482" s="2" t="inlineStr">
        <is>
          <t>KristinaLama</t>
        </is>
      </c>
      <c r="E482" s="2" t="inlineStr">
        <is>
          <t>2038781728620</t>
        </is>
      </c>
      <c r="F482" s="2">
        <v>0</v>
      </c>
      <c r="G482" s="2">
        <v>1</v>
      </c>
      <c r="H482" s="2">
        <v>0</v>
      </c>
      <c r="I482" s="2" t="inlineStr">
        <is>
          <t>1030</t>
        </is>
      </c>
      <c r="J482" s="4"/>
      <c r="K482" s="2">
        <v>10</v>
      </c>
      <c r="L482" s="6"/>
      <c r="M482" s="2" t="str">
        <f>IF(J482="",ROUND(I482*(1-IF(ISBLANK(L482),K482,L482)/100),2),ROUND(J482*(1-IF(ISBLANK(L482),K482,L482)/100),2))</f>
      </c>
      <c r="N482" s="7" t="str">
        <f>IF(NOT(AND(J482="",L482="")),IF(OR(AND(L482&lt;&gt;"",NOT(ISNUMBER(L482))),IFERROR(MOD(L482,1),1)&gt;0,AND(ISNUMBER(L482),OR(L482&lt;0,L482&gt;95))),"Введите целое число от 0 до 95",IF(OR(AND(J482&lt;&gt;"",NOT(ISNUMBER(J482))),IFERROR(MOD(J482,1),1)&gt;0,AND(ISNUMBER(J482),OR(J482&lt;50,J482&gt;20000000))),"Введите целое число от 50 до 20000000",IF(NOT(ABS(IFERROR(VALUE(LEFT(M482,FIND("-",M482)-1)),M482)*100-(5000+2000000000)/2)&lt;=ABS(5000-2000000000)/2),"Цена со скидкой должна быть от 50 до 20000000",IF(IFERROR(VALUE(LEFT(M482,FIND("-",M482)-1)),M482)*229&lt;92700,"Вы уменьшили цену в несколько раз, товар попадет в карантин цен","")))),"")</f>
      </c>
    </row>
    <row r="483">
      <c r="A483" s="2" t="inlineStr">
        <is>
          <t>CuteShop</t>
        </is>
      </c>
      <c r="B483" s="2" t="inlineStr">
        <is>
          <t>Держатели для пустышек</t>
        </is>
      </c>
      <c r="C483" s="2">
        <v>217870049</v>
      </c>
      <c r="D483" s="2" t="inlineStr">
        <is>
          <t>EvgMish</t>
        </is>
      </c>
      <c r="E483" s="2" t="inlineStr">
        <is>
          <t>2039672075045</t>
        </is>
      </c>
      <c r="F483" s="2">
        <v>0</v>
      </c>
      <c r="G483" s="2">
        <v>1</v>
      </c>
      <c r="H483" s="2" t="inlineStr">
        <is>
          <t/>
        </is>
      </c>
      <c r="I483" s="2" t="inlineStr">
        <is>
          <t>1030</t>
        </is>
      </c>
      <c r="J483" s="4"/>
      <c r="K483" s="2">
        <v>10</v>
      </c>
      <c r="L483" s="6"/>
      <c r="M483" s="2" t="str">
        <f>IF(J483="",ROUND(I483*(1-IF(ISBLANK(L483),K483,L483)/100),2),ROUND(J483*(1-IF(ISBLANK(L483),K483,L483)/100),2))</f>
      </c>
      <c r="N483" s="7" t="str">
        <f>IF(NOT(AND(J483="",L483="")),IF(OR(AND(L483&lt;&gt;"",NOT(ISNUMBER(L483))),IFERROR(MOD(L483,1),1)&gt;0,AND(ISNUMBER(L483),OR(L483&lt;0,L483&gt;95))),"Введите целое число от 0 до 95",IF(OR(AND(J483&lt;&gt;"",NOT(ISNUMBER(J483))),IFERROR(MOD(J483,1),1)&gt;0,AND(ISNUMBER(J483),OR(J483&lt;50,J483&gt;20000000))),"Введите целое число от 50 до 20000000",IF(NOT(ABS(IFERROR(VALUE(LEFT(M483,FIND("-",M483)-1)),M483)*100-(5000+2000000000)/2)&lt;=ABS(5000-2000000000)/2),"Цена со скидкой должна быть от 50 до 20000000",IF(IFERROR(VALUE(LEFT(M483,FIND("-",M483)-1)),M483)*229&lt;92700,"Вы уменьшили цену в несколько раз, товар попадет в карантин цен","")))),"")</f>
      </c>
    </row>
    <row r="484">
      <c r="A484" s="2" t="inlineStr">
        <is>
          <t>CuteShop</t>
        </is>
      </c>
      <c r="B484" s="2" t="inlineStr">
        <is>
          <t>Держатели для пустышек</t>
        </is>
      </c>
      <c r="C484" s="2">
        <v>272963915</v>
      </c>
      <c r="D484" s="2" t="inlineStr">
        <is>
          <t>PolyaLis</t>
        </is>
      </c>
      <c r="E484" s="2" t="inlineStr">
        <is>
          <t>2041518916054</t>
        </is>
      </c>
      <c r="F484" s="2">
        <v>0</v>
      </c>
      <c r="G484" s="2">
        <v>1</v>
      </c>
      <c r="H484" s="2" t="inlineStr">
        <is>
          <t/>
        </is>
      </c>
      <c r="I484" s="2" t="inlineStr">
        <is>
          <t>1030</t>
        </is>
      </c>
      <c r="J484" s="4"/>
      <c r="K484" s="2">
        <v>10</v>
      </c>
      <c r="L484" s="6"/>
      <c r="M484" s="2" t="str">
        <f>IF(J484="",ROUND(I484*(1-IF(ISBLANK(L484),K484,L484)/100),2),ROUND(J484*(1-IF(ISBLANK(L484),K484,L484)/100),2))</f>
      </c>
      <c r="N484" s="7" t="str">
        <f>IF(NOT(AND(J484="",L484="")),IF(OR(AND(L484&lt;&gt;"",NOT(ISNUMBER(L484))),IFERROR(MOD(L484,1),1)&gt;0,AND(ISNUMBER(L484),OR(L484&lt;0,L484&gt;95))),"Введите целое число от 0 до 95",IF(OR(AND(J484&lt;&gt;"",NOT(ISNUMBER(J484))),IFERROR(MOD(J484,1),1)&gt;0,AND(ISNUMBER(J484),OR(J484&lt;50,J484&gt;20000000))),"Введите целое число от 50 до 20000000",IF(NOT(ABS(IFERROR(VALUE(LEFT(M484,FIND("-",M484)-1)),M484)*100-(5000+2000000000)/2)&lt;=ABS(5000-2000000000)/2),"Цена со скидкой должна быть от 50 до 20000000",IF(IFERROR(VALUE(LEFT(M484,FIND("-",M484)-1)),M484)*229&lt;92700,"Вы уменьшили цену в несколько раз, товар попадет в карантин цен","")))),"")</f>
      </c>
    </row>
    <row r="485">
      <c r="A485" s="2" t="inlineStr">
        <is>
          <t>CuteShop</t>
        </is>
      </c>
      <c r="B485" s="2" t="inlineStr">
        <is>
          <t>Держатели для пустышек</t>
        </is>
      </c>
      <c r="C485" s="2">
        <v>89002878</v>
      </c>
      <c r="D485" s="2" t="inlineStr">
        <is>
          <t>TimurMishGol</t>
        </is>
      </c>
      <c r="E485" s="2" t="inlineStr">
        <is>
          <t>2035646125624</t>
        </is>
      </c>
      <c r="F485" s="2">
        <v>0</v>
      </c>
      <c r="G485" s="2">
        <v>1</v>
      </c>
      <c r="H485" s="2" t="inlineStr">
        <is>
          <t/>
        </is>
      </c>
      <c r="I485" s="2" t="inlineStr">
        <is>
          <t>1030</t>
        </is>
      </c>
      <c r="J485" s="4"/>
      <c r="K485" s="2">
        <v>10</v>
      </c>
      <c r="L485" s="6"/>
      <c r="M485" s="2" t="str">
        <f>IF(J485="",ROUND(I485*(1-IF(ISBLANK(L485),K485,L485)/100),2),ROUND(J485*(1-IF(ISBLANK(L485),K485,L485)/100),2))</f>
      </c>
      <c r="N485" s="7" t="str">
        <f>IF(NOT(AND(J485="",L485="")),IF(OR(AND(L485&lt;&gt;"",NOT(ISNUMBER(L485))),IFERROR(MOD(L485,1),1)&gt;0,AND(ISNUMBER(L485),OR(L485&lt;0,L485&gt;95))),"Введите целое число от 0 до 95",IF(OR(AND(J485&lt;&gt;"",NOT(ISNUMBER(J485))),IFERROR(MOD(J485,1),1)&gt;0,AND(ISNUMBER(J485),OR(J485&lt;50,J485&gt;20000000))),"Введите целое число от 50 до 20000000",IF(NOT(ABS(IFERROR(VALUE(LEFT(M485,FIND("-",M485)-1)),M485)*100-(5000+2000000000)/2)&lt;=ABS(5000-2000000000)/2),"Цена со скидкой должна быть от 50 до 20000000",IF(IFERROR(VALUE(LEFT(M485,FIND("-",M485)-1)),M485)*229&lt;92700,"Вы уменьшили цену в несколько раз, товар попадет в карантин цен","")))),"")</f>
      </c>
    </row>
    <row r="486">
      <c r="A486" s="2" t="inlineStr">
        <is>
          <t>CuteShop</t>
        </is>
      </c>
      <c r="B486" s="2" t="inlineStr">
        <is>
          <t>Держатели для пустышек</t>
        </is>
      </c>
      <c r="C486" s="2">
        <v>87252079</v>
      </c>
      <c r="D486" s="2" t="inlineStr">
        <is>
          <t>FilippMish1</t>
        </is>
      </c>
      <c r="E486" s="2" t="inlineStr">
        <is>
          <t>2034676193627</t>
        </is>
      </c>
      <c r="F486" s="2">
        <v>0</v>
      </c>
      <c r="G486" s="2">
        <v>1</v>
      </c>
      <c r="H486" s="2" t="inlineStr">
        <is>
          <t/>
        </is>
      </c>
      <c r="I486" s="2" t="inlineStr">
        <is>
          <t>1030</t>
        </is>
      </c>
      <c r="J486" s="4"/>
      <c r="K486" s="2">
        <v>10</v>
      </c>
      <c r="L486" s="6"/>
      <c r="M486" s="2" t="str">
        <f>IF(J486="",ROUND(I486*(1-IF(ISBLANK(L486),K486,L486)/100),2),ROUND(J486*(1-IF(ISBLANK(L486),K486,L486)/100),2))</f>
      </c>
      <c r="N486" s="7" t="str">
        <f>IF(NOT(AND(J486="",L486="")),IF(OR(AND(L486&lt;&gt;"",NOT(ISNUMBER(L486))),IFERROR(MOD(L486,1),1)&gt;0,AND(ISNUMBER(L486),OR(L486&lt;0,L486&gt;95))),"Введите целое число от 0 до 95",IF(OR(AND(J486&lt;&gt;"",NOT(ISNUMBER(J486))),IFERROR(MOD(J486,1),1)&gt;0,AND(ISNUMBER(J486),OR(J486&lt;50,J486&gt;20000000))),"Введите целое число от 50 до 20000000",IF(NOT(ABS(IFERROR(VALUE(LEFT(M486,FIND("-",M486)-1)),M486)*100-(5000+2000000000)/2)&lt;=ABS(5000-2000000000)/2),"Цена со скидкой должна быть от 50 до 20000000",IF(IFERROR(VALUE(LEFT(M486,FIND("-",M486)-1)),M486)*229&lt;92700,"Вы уменьшили цену в несколько раз, товар попадет в карантин цен","")))),"")</f>
      </c>
    </row>
    <row r="487">
      <c r="A487" s="2" t="inlineStr">
        <is>
          <t>CuteShop</t>
        </is>
      </c>
      <c r="B487" s="2" t="inlineStr">
        <is>
          <t>Держатели для пустышек</t>
        </is>
      </c>
      <c r="C487" s="2">
        <v>245147562</v>
      </c>
      <c r="D487" s="2" t="inlineStr">
        <is>
          <t>GabrielLis</t>
        </is>
      </c>
      <c r="E487" s="2" t="inlineStr">
        <is>
          <t>2040699121318</t>
        </is>
      </c>
      <c r="F487" s="2">
        <v>0</v>
      </c>
      <c r="G487" s="2">
        <v>1</v>
      </c>
      <c r="H487" s="2" t="inlineStr">
        <is>
          <t/>
        </is>
      </c>
      <c r="I487" s="2" t="inlineStr">
        <is>
          <t>1030</t>
        </is>
      </c>
      <c r="J487" s="4"/>
      <c r="K487" s="2">
        <v>10</v>
      </c>
      <c r="L487" s="6"/>
      <c r="M487" s="2" t="str">
        <f>IF(J487="",ROUND(I487*(1-IF(ISBLANK(L487),K487,L487)/100),2),ROUND(J487*(1-IF(ISBLANK(L487),K487,L487)/100),2))</f>
      </c>
      <c r="N487" s="7" t="str">
        <f>IF(NOT(AND(J487="",L487="")),IF(OR(AND(L487&lt;&gt;"",NOT(ISNUMBER(L487))),IFERROR(MOD(L487,1),1)&gt;0,AND(ISNUMBER(L487),OR(L487&lt;0,L487&gt;95))),"Введите целое число от 0 до 95",IF(OR(AND(J487&lt;&gt;"",NOT(ISNUMBER(J487))),IFERROR(MOD(J487,1),1)&gt;0,AND(ISNUMBER(J487),OR(J487&lt;50,J487&gt;20000000))),"Введите целое число от 50 до 20000000",IF(NOT(ABS(IFERROR(VALUE(LEFT(M487,FIND("-",M487)-1)),M487)*100-(5000+2000000000)/2)&lt;=ABS(5000-2000000000)/2),"Цена со скидкой должна быть от 50 до 20000000",IF(IFERROR(VALUE(LEFT(M487,FIND("-",M487)-1)),M487)*229&lt;92700,"Вы уменьшили цену в несколько раз, товар попадет в карантин цен","")))),"")</f>
      </c>
    </row>
    <row r="488">
      <c r="A488" s="2" t="inlineStr">
        <is>
          <t>CuteShop</t>
        </is>
      </c>
      <c r="B488" s="2" t="inlineStr">
        <is>
          <t>Держатели для пустышек</t>
        </is>
      </c>
      <c r="C488" s="2">
        <v>100699142</v>
      </c>
      <c r="D488" s="2" t="inlineStr">
        <is>
          <t>NazarKoala</t>
        </is>
      </c>
      <c r="E488" s="2" t="inlineStr">
        <is>
          <t>2036814614551</t>
        </is>
      </c>
      <c r="F488" s="2">
        <v>0</v>
      </c>
      <c r="G488" s="2">
        <v>0</v>
      </c>
      <c r="H488" s="2" t="inlineStr">
        <is>
          <t/>
        </is>
      </c>
      <c r="I488" s="2" t="inlineStr">
        <is>
          <t>1030</t>
        </is>
      </c>
      <c r="J488" s="4"/>
      <c r="K488" s="2">
        <v>10</v>
      </c>
      <c r="L488" s="6"/>
      <c r="M488" s="2" t="str">
        <f>IF(J488="",ROUND(I488*(1-IF(ISBLANK(L488),K488,L488)/100),2),ROUND(J488*(1-IF(ISBLANK(L488),K488,L488)/100),2))</f>
      </c>
      <c r="N488" s="7" t="str">
        <f>IF(NOT(AND(J488="",L488="")),IF(OR(AND(L488&lt;&gt;"",NOT(ISNUMBER(L488))),IFERROR(MOD(L488,1),1)&gt;0,AND(ISNUMBER(L488),OR(L488&lt;0,L488&gt;95))),"Введите целое число от 0 до 95",IF(OR(AND(J488&lt;&gt;"",NOT(ISNUMBER(J488))),IFERROR(MOD(J488,1),1)&gt;0,AND(ISNUMBER(J488),OR(J488&lt;50,J488&gt;20000000))),"Введите целое число от 50 до 20000000",IF(NOT(ABS(IFERROR(VALUE(LEFT(M488,FIND("-",M488)-1)),M488)*100-(5000+2000000000)/2)&lt;=ABS(5000-2000000000)/2),"Цена со скидкой должна быть от 50 до 20000000",IF(IFERROR(VALUE(LEFT(M488,FIND("-",M488)-1)),M488)*229&lt;92700,"Вы уменьшили цену в несколько раз, товар попадет в карантин цен","")))),"")</f>
      </c>
    </row>
    <row r="489">
      <c r="A489" s="2" t="inlineStr">
        <is>
          <t>CuteShop</t>
        </is>
      </c>
      <c r="B489" s="2" t="inlineStr">
        <is>
          <t>Держатели для пустышек</t>
        </is>
      </c>
      <c r="C489" s="2">
        <v>89002877</v>
      </c>
      <c r="D489" s="2" t="inlineStr">
        <is>
          <t>TimurLis</t>
        </is>
      </c>
      <c r="E489" s="2" t="inlineStr">
        <is>
          <t>2035646056621</t>
        </is>
      </c>
      <c r="F489" s="2">
        <v>0</v>
      </c>
      <c r="G489" s="2">
        <v>0</v>
      </c>
      <c r="H489" s="2" t="inlineStr">
        <is>
          <t/>
        </is>
      </c>
      <c r="I489" s="2" t="inlineStr">
        <is>
          <t>1030</t>
        </is>
      </c>
      <c r="J489" s="4"/>
      <c r="K489" s="2">
        <v>10</v>
      </c>
      <c r="L489" s="6"/>
      <c r="M489" s="2" t="str">
        <f>IF(J489="",ROUND(I489*(1-IF(ISBLANK(L489),K489,L489)/100),2),ROUND(J489*(1-IF(ISBLANK(L489),K489,L489)/100),2))</f>
      </c>
      <c r="N489" s="7" t="str">
        <f>IF(NOT(AND(J489="",L489="")),IF(OR(AND(L489&lt;&gt;"",NOT(ISNUMBER(L489))),IFERROR(MOD(L489,1),1)&gt;0,AND(ISNUMBER(L489),OR(L489&lt;0,L489&gt;95))),"Введите целое число от 0 до 95",IF(OR(AND(J489&lt;&gt;"",NOT(ISNUMBER(J489))),IFERROR(MOD(J489,1),1)&gt;0,AND(ISNUMBER(J489),OR(J489&lt;50,J489&gt;20000000))),"Введите целое число от 50 до 20000000",IF(NOT(ABS(IFERROR(VALUE(LEFT(M489,FIND("-",M489)-1)),M489)*100-(5000+2000000000)/2)&lt;=ABS(5000-2000000000)/2),"Цена со скидкой должна быть от 50 до 20000000",IF(IFERROR(VALUE(LEFT(M489,FIND("-",M489)-1)),M489)*229&lt;92700,"Вы уменьшили цену в несколько раз, товар попадет в карантин цен","")))),"")</f>
      </c>
    </row>
    <row r="490">
      <c r="A490" s="2" t="inlineStr">
        <is>
          <t>CuteShop</t>
        </is>
      </c>
      <c r="B490" s="2" t="inlineStr">
        <is>
          <t>Держатели для пустышек</t>
        </is>
      </c>
      <c r="C490" s="2">
        <v>245140632</v>
      </c>
      <c r="D490" s="2" t="inlineStr">
        <is>
          <t>TimurBel</t>
        </is>
      </c>
      <c r="E490" s="2" t="inlineStr">
        <is>
          <t>2040698925276</t>
        </is>
      </c>
      <c r="F490" s="2">
        <v>0</v>
      </c>
      <c r="G490" s="2">
        <v>1</v>
      </c>
      <c r="H490" s="2" t="inlineStr">
        <is>
          <t/>
        </is>
      </c>
      <c r="I490" s="2" t="inlineStr">
        <is>
          <t>950</t>
        </is>
      </c>
      <c r="J490" s="4"/>
      <c r="K490" s="2">
        <v>10</v>
      </c>
      <c r="L490" s="6"/>
      <c r="M490" s="2" t="str">
        <f>IF(J490="",ROUND(I490*(1-IF(ISBLANK(L490),K490,L490)/100),2),ROUND(J490*(1-IF(ISBLANK(L490),K490,L490)/100),2))</f>
      </c>
      <c r="N490" s="7" t="str">
        <f>IF(NOT(AND(J490="",L490="")),IF(OR(AND(L490&lt;&gt;"",NOT(ISNUMBER(L490))),IFERROR(MOD(L490,1),1)&gt;0,AND(ISNUMBER(L490),OR(L490&lt;0,L490&gt;95))),"Введите целое число от 0 до 95",IF(OR(AND(J490&lt;&gt;"",NOT(ISNUMBER(J490))),IFERROR(MOD(J490,1),1)&gt;0,AND(ISNUMBER(J490),OR(J490&lt;50,J490&gt;20000000))),"Введите целое число от 50 до 20000000",IF(NOT(ABS(IFERROR(VALUE(LEFT(M490,FIND("-",M490)-1)),M490)*100-(5000+2000000000)/2)&lt;=ABS(5000-2000000000)/2),"Цена со скидкой должна быть от 50 до 20000000",IF(IFERROR(VALUE(LEFT(M490,FIND("-",M490)-1)),M490)*229&lt;85500,"Вы уменьшили цену в несколько раз, товар попадет в карантин цен","")))),"")</f>
      </c>
    </row>
    <row r="491">
      <c r="A491" s="2" t="inlineStr">
        <is>
          <t>CuteShop</t>
        </is>
      </c>
      <c r="B491" s="2" t="inlineStr">
        <is>
          <t>Держатели для пустышек</t>
        </is>
      </c>
      <c r="C491" s="2">
        <v>245140634</v>
      </c>
      <c r="D491" s="2" t="inlineStr">
        <is>
          <t>TimurSob</t>
        </is>
      </c>
      <c r="E491" s="2" t="inlineStr">
        <is>
          <t>2040698927027</t>
        </is>
      </c>
      <c r="F491" s="2">
        <v>0</v>
      </c>
      <c r="G491" s="2">
        <v>0</v>
      </c>
      <c r="H491" s="2" t="inlineStr">
        <is>
          <t/>
        </is>
      </c>
      <c r="I491" s="2" t="inlineStr">
        <is>
          <t>900</t>
        </is>
      </c>
      <c r="J491" s="4"/>
      <c r="K491" s="2">
        <v>10</v>
      </c>
      <c r="L491" s="6"/>
      <c r="M491" s="2" t="str">
        <f>IF(J491="",ROUND(I491*(1-IF(ISBLANK(L491),K491,L491)/100),2),ROUND(J491*(1-IF(ISBLANK(L491),K491,L491)/100),2))</f>
      </c>
      <c r="N491" s="7" t="str">
        <f>IF(NOT(AND(J491="",L491="")),IF(OR(AND(L491&lt;&gt;"",NOT(ISNUMBER(L491))),IFERROR(MOD(L491,1),1)&gt;0,AND(ISNUMBER(L491),OR(L491&lt;0,L491&gt;95))),"Введите целое число от 0 до 95",IF(OR(AND(J491&lt;&gt;"",NOT(ISNUMBER(J491))),IFERROR(MOD(J491,1),1)&gt;0,AND(ISNUMBER(J491),OR(J491&lt;50,J491&gt;20000000))),"Введите целое число от 50 до 20000000",IF(NOT(ABS(IFERROR(VALUE(LEFT(M491,FIND("-",M491)-1)),M491)*100-(5000+2000000000)/2)&lt;=ABS(5000-2000000000)/2),"Цена со скидкой должна быть от 50 до 20000000",IF(IFERROR(VALUE(LEFT(M491,FIND("-",M491)-1)),M491)*229&lt;81000,"Вы уменьшили цену в несколько раз, товар попадет в карантин цен","")))),"")</f>
      </c>
    </row>
    <row r="492">
      <c r="A492" s="2" t="inlineStr">
        <is>
          <t>CuteShop</t>
        </is>
      </c>
      <c r="B492" s="2" t="inlineStr">
        <is>
          <t>Держатели для пустышек</t>
        </is>
      </c>
      <c r="C492" s="2">
        <v>87460470</v>
      </c>
      <c r="D492" s="2" t="inlineStr">
        <is>
          <t>SabinaBG2</t>
        </is>
      </c>
      <c r="E492" s="2" t="inlineStr">
        <is>
          <t>2034791187624</t>
        </is>
      </c>
      <c r="F492" s="2">
        <v>0</v>
      </c>
      <c r="G492" s="2">
        <v>1</v>
      </c>
      <c r="H492" s="2">
        <v>0</v>
      </c>
      <c r="I492" s="2" t="inlineStr">
        <is>
          <t>790</t>
        </is>
      </c>
      <c r="J492" s="4"/>
      <c r="K492" s="2">
        <v>10</v>
      </c>
      <c r="L492" s="6"/>
      <c r="M492" s="2" t="str">
        <f>IF(J492="",ROUND(I492*(1-IF(ISBLANK(L492),K492,L492)/100),2),ROUND(J492*(1-IF(ISBLANK(L492),K492,L492)/100),2))</f>
      </c>
      <c r="N492" s="7" t="str">
        <f>IF(NOT(AND(J492="",L492="")),IF(OR(AND(L492&lt;&gt;"",NOT(ISNUMBER(L492))),IFERROR(MOD(L492,1),1)&gt;0,AND(ISNUMBER(L492),OR(L492&lt;0,L492&gt;95))),"Введите целое число от 0 до 95",IF(OR(AND(J492&lt;&gt;"",NOT(ISNUMBER(J492))),IFERROR(MOD(J492,1),1)&gt;0,AND(ISNUMBER(J492),OR(J492&lt;50,J492&gt;20000000))),"Введите целое число от 50 до 20000000",IF(NOT(ABS(IFERROR(VALUE(LEFT(M492,FIND("-",M492)-1)),M492)*100-(5000+2000000000)/2)&lt;=ABS(5000-2000000000)/2),"Цена со скидкой должна быть от 50 до 20000000",IF(IFERROR(VALUE(LEFT(M492,FIND("-",M492)-1)),M492)*229&lt;71100,"Вы уменьшили цену в несколько раз, товар попадет в карантин цен","")))),"")</f>
      </c>
    </row>
    <row r="493">
      <c r="A493" s="2" t="inlineStr">
        <is>
          <t>CuteShop</t>
        </is>
      </c>
      <c r="B493" s="2" t="inlineStr">
        <is>
          <t>Держатели для пустышек</t>
        </is>
      </c>
      <c r="C493" s="2">
        <v>99808215</v>
      </c>
      <c r="D493" s="2" t="inlineStr">
        <is>
          <t>MaratMishSer</t>
        </is>
      </c>
      <c r="E493" s="2" t="inlineStr">
        <is>
          <t>2036804113743</t>
        </is>
      </c>
      <c r="F493" s="2">
        <v>0</v>
      </c>
      <c r="G493" s="2">
        <v>1</v>
      </c>
      <c r="H493" s="2">
        <v>0</v>
      </c>
      <c r="I493" s="2" t="inlineStr">
        <is>
          <t>1030</t>
        </is>
      </c>
      <c r="J493" s="4"/>
      <c r="K493" s="2">
        <v>10</v>
      </c>
      <c r="L493" s="6"/>
      <c r="M493" s="2" t="str">
        <f>IF(J493="",ROUND(I493*(1-IF(ISBLANK(L493),K493,L493)/100),2),ROUND(J493*(1-IF(ISBLANK(L493),K493,L493)/100),2))</f>
      </c>
      <c r="N493" s="7" t="str">
        <f>IF(NOT(AND(J493="",L493="")),IF(OR(AND(L493&lt;&gt;"",NOT(ISNUMBER(L493))),IFERROR(MOD(L493,1),1)&gt;0,AND(ISNUMBER(L493),OR(L493&lt;0,L493&gt;95))),"Введите целое число от 0 до 95",IF(OR(AND(J493&lt;&gt;"",NOT(ISNUMBER(J493))),IFERROR(MOD(J493,1),1)&gt;0,AND(ISNUMBER(J493),OR(J493&lt;50,J493&gt;20000000))),"Введите целое число от 50 до 20000000",IF(NOT(ABS(IFERROR(VALUE(LEFT(M493,FIND("-",M493)-1)),M493)*100-(5000+2000000000)/2)&lt;=ABS(5000-2000000000)/2),"Цена со скидкой должна быть от 50 до 20000000",IF(IFERROR(VALUE(LEFT(M493,FIND("-",M493)-1)),M493)*229&lt;92700,"Вы уменьшили цену в несколько раз, товар попадет в карантин цен","")))),"")</f>
      </c>
    </row>
    <row r="494">
      <c r="A494" s="2" t="inlineStr">
        <is>
          <t>CuteShop</t>
        </is>
      </c>
      <c r="B494" s="2" t="inlineStr">
        <is>
          <t>Держатели для пустышек</t>
        </is>
      </c>
      <c r="C494" s="2">
        <v>87460472</v>
      </c>
      <c r="D494" s="2" t="inlineStr">
        <is>
          <t>SabinaMish</t>
        </is>
      </c>
      <c r="E494" s="2" t="inlineStr">
        <is>
          <t>2034791624624</t>
        </is>
      </c>
      <c r="F494" s="2">
        <v>0</v>
      </c>
      <c r="G494" s="2">
        <v>1</v>
      </c>
      <c r="H494" s="2">
        <v>0</v>
      </c>
      <c r="I494" s="2" t="inlineStr">
        <is>
          <t>1030</t>
        </is>
      </c>
      <c r="J494" s="4"/>
      <c r="K494" s="2">
        <v>10</v>
      </c>
      <c r="L494" s="6"/>
      <c r="M494" s="2" t="str">
        <f>IF(J494="",ROUND(I494*(1-IF(ISBLANK(L494),K494,L494)/100),2),ROUND(J494*(1-IF(ISBLANK(L494),K494,L494)/100),2))</f>
      </c>
      <c r="N494" s="7" t="str">
        <f>IF(NOT(AND(J494="",L494="")),IF(OR(AND(L494&lt;&gt;"",NOT(ISNUMBER(L494))),IFERROR(MOD(L494,1),1)&gt;0,AND(ISNUMBER(L494),OR(L494&lt;0,L494&gt;95))),"Введите целое число от 0 до 95",IF(OR(AND(J494&lt;&gt;"",NOT(ISNUMBER(J494))),IFERROR(MOD(J494,1),1)&gt;0,AND(ISNUMBER(J494),OR(J494&lt;50,J494&gt;20000000))),"Введите целое число от 50 до 20000000",IF(NOT(ABS(IFERROR(VALUE(LEFT(M494,FIND("-",M494)-1)),M494)*100-(5000+2000000000)/2)&lt;=ABS(5000-2000000000)/2),"Цена со скидкой должна быть от 50 до 20000000",IF(IFERROR(VALUE(LEFT(M494,FIND("-",M494)-1)),M494)*229&lt;92700,"Вы уменьшили цену в несколько раз, товар попадет в карантин цен","")))),"")</f>
      </c>
    </row>
    <row r="495">
      <c r="A495" s="2" t="inlineStr">
        <is>
          <t>CuteShop</t>
        </is>
      </c>
      <c r="B495" s="2" t="inlineStr">
        <is>
          <t>Держатели для пустышек</t>
        </is>
      </c>
      <c r="C495" s="2">
        <v>112950982</v>
      </c>
      <c r="D495" s="2" t="inlineStr">
        <is>
          <t>EvgBG</t>
        </is>
      </c>
      <c r="E495" s="2" t="inlineStr">
        <is>
          <t>2038998487624</t>
        </is>
      </c>
      <c r="F495" s="2">
        <v>0</v>
      </c>
      <c r="G495" s="2">
        <v>1</v>
      </c>
      <c r="H495" s="2">
        <v>0</v>
      </c>
      <c r="I495" s="2" t="inlineStr">
        <is>
          <t>790</t>
        </is>
      </c>
      <c r="J495" s="4"/>
      <c r="K495" s="2">
        <v>10</v>
      </c>
      <c r="L495" s="6"/>
      <c r="M495" s="2" t="str">
        <f>IF(J495="",ROUND(I495*(1-IF(ISBLANK(L495),K495,L495)/100),2),ROUND(J495*(1-IF(ISBLANK(L495),K495,L495)/100),2))</f>
      </c>
      <c r="N495" s="7" t="str">
        <f>IF(NOT(AND(J495="",L495="")),IF(OR(AND(L495&lt;&gt;"",NOT(ISNUMBER(L495))),IFERROR(MOD(L495,1),1)&gt;0,AND(ISNUMBER(L495),OR(L495&lt;0,L495&gt;95))),"Введите целое число от 0 до 95",IF(OR(AND(J495&lt;&gt;"",NOT(ISNUMBER(J495))),IFERROR(MOD(J495,1),1)&gt;0,AND(ISNUMBER(J495),OR(J495&lt;50,J495&gt;20000000))),"Введите целое число от 50 до 20000000",IF(NOT(ABS(IFERROR(VALUE(LEFT(M495,FIND("-",M495)-1)),M495)*100-(5000+2000000000)/2)&lt;=ABS(5000-2000000000)/2),"Цена со скидкой должна быть от 50 до 20000000",IF(IFERROR(VALUE(LEFT(M495,FIND("-",M495)-1)),M495)*229&lt;71100,"Вы уменьшили цену в несколько раз, товар попадет в карантин цен","")))),"")</f>
      </c>
    </row>
    <row r="496">
      <c r="A496" s="2" t="inlineStr">
        <is>
          <t>CuteShop</t>
        </is>
      </c>
      <c r="B496" s="2" t="inlineStr">
        <is>
          <t>Держатели для пустышек</t>
        </is>
      </c>
      <c r="C496" s="2">
        <v>147474334</v>
      </c>
      <c r="D496" s="2" t="inlineStr">
        <is>
          <t>DianaBel</t>
        </is>
      </c>
      <c r="E496" s="2" t="inlineStr">
        <is>
          <t>2037493809641</t>
        </is>
      </c>
      <c r="F496" s="2">
        <v>0</v>
      </c>
      <c r="G496" s="2">
        <v>0</v>
      </c>
      <c r="H496" s="2" t="inlineStr">
        <is>
          <t/>
        </is>
      </c>
      <c r="I496" s="2" t="inlineStr">
        <is>
          <t>1030</t>
        </is>
      </c>
      <c r="J496" s="4"/>
      <c r="K496" s="2">
        <v>10</v>
      </c>
      <c r="L496" s="6"/>
      <c r="M496" s="2" t="str">
        <f>IF(J496="",ROUND(I496*(1-IF(ISBLANK(L496),K496,L496)/100),2),ROUND(J496*(1-IF(ISBLANK(L496),K496,L496)/100),2))</f>
      </c>
      <c r="N496" s="7" t="str">
        <f>IF(NOT(AND(J496="",L496="")),IF(OR(AND(L496&lt;&gt;"",NOT(ISNUMBER(L496))),IFERROR(MOD(L496,1),1)&gt;0,AND(ISNUMBER(L496),OR(L496&lt;0,L496&gt;95))),"Введите целое число от 0 до 95",IF(OR(AND(J496&lt;&gt;"",NOT(ISNUMBER(J496))),IFERROR(MOD(J496,1),1)&gt;0,AND(ISNUMBER(J496),OR(J496&lt;50,J496&gt;20000000))),"Введите целое число от 50 до 20000000",IF(NOT(ABS(IFERROR(VALUE(LEFT(M496,FIND("-",M496)-1)),M496)*100-(5000+2000000000)/2)&lt;=ABS(5000-2000000000)/2),"Цена со скидкой должна быть от 50 до 20000000",IF(IFERROR(VALUE(LEFT(M496,FIND("-",M496)-1)),M496)*229&lt;92700,"Вы уменьшили цену в несколько раз, товар попадет в карантин цен","")))),"")</f>
      </c>
    </row>
    <row r="497">
      <c r="A497" s="2" t="inlineStr">
        <is>
          <t>CuteShop</t>
        </is>
      </c>
      <c r="B497" s="2" t="inlineStr">
        <is>
          <t>Держатели для пустышек</t>
        </is>
      </c>
      <c r="C497" s="2">
        <v>86249349</v>
      </c>
      <c r="D497" s="2" t="inlineStr">
        <is>
          <t>DarinaSlon</t>
        </is>
      </c>
      <c r="E497" s="2" t="inlineStr">
        <is>
          <t>2033905780621</t>
        </is>
      </c>
      <c r="F497" s="2">
        <v>0</v>
      </c>
      <c r="G497" s="2">
        <v>1</v>
      </c>
      <c r="H497" s="2" t="inlineStr">
        <is>
          <t/>
        </is>
      </c>
      <c r="I497" s="2" t="inlineStr">
        <is>
          <t>1030</t>
        </is>
      </c>
      <c r="J497" s="4"/>
      <c r="K497" s="2">
        <v>10</v>
      </c>
      <c r="L497" s="6"/>
      <c r="M497" s="2" t="str">
        <f>IF(J497="",ROUND(I497*(1-IF(ISBLANK(L497),K497,L497)/100),2),ROUND(J497*(1-IF(ISBLANK(L497),K497,L497)/100),2))</f>
      </c>
      <c r="N497" s="7" t="str">
        <f>IF(NOT(AND(J497="",L497="")),IF(OR(AND(L497&lt;&gt;"",NOT(ISNUMBER(L497))),IFERROR(MOD(L497,1),1)&gt;0,AND(ISNUMBER(L497),OR(L497&lt;0,L497&gt;95))),"Введите целое число от 0 до 95",IF(OR(AND(J497&lt;&gt;"",NOT(ISNUMBER(J497))),IFERROR(MOD(J497,1),1)&gt;0,AND(ISNUMBER(J497),OR(J497&lt;50,J497&gt;20000000))),"Введите целое число от 50 до 20000000",IF(NOT(ABS(IFERROR(VALUE(LEFT(M497,FIND("-",M497)-1)),M497)*100-(5000+2000000000)/2)&lt;=ABS(5000-2000000000)/2),"Цена со скидкой должна быть от 50 до 20000000",IF(IFERROR(VALUE(LEFT(M497,FIND("-",M497)-1)),M497)*229&lt;92700,"Вы уменьшили цену в несколько раз, товар попадет в карантин цен","")))),"")</f>
      </c>
    </row>
    <row r="498">
      <c r="A498" s="2" t="inlineStr">
        <is>
          <t>CuteShop</t>
        </is>
      </c>
      <c r="B498" s="2" t="inlineStr">
        <is>
          <t>Держатели для пустышек</t>
        </is>
      </c>
      <c r="C498" s="2">
        <v>103570453</v>
      </c>
      <c r="D498" s="2" t="inlineStr">
        <is>
          <t>DarinaBG</t>
        </is>
      </c>
      <c r="E498" s="2" t="inlineStr">
        <is>
          <t>2036857456484</t>
        </is>
      </c>
      <c r="F498" s="2">
        <v>0</v>
      </c>
      <c r="G498" s="2">
        <v>1</v>
      </c>
      <c r="H498" s="2" t="inlineStr">
        <is>
          <t/>
        </is>
      </c>
      <c r="I498" s="2" t="inlineStr">
        <is>
          <t>790</t>
        </is>
      </c>
      <c r="J498" s="4"/>
      <c r="K498" s="2">
        <v>10</v>
      </c>
      <c r="L498" s="6"/>
      <c r="M498" s="2" t="str">
        <f>IF(J498="",ROUND(I498*(1-IF(ISBLANK(L498),K498,L498)/100),2),ROUND(J498*(1-IF(ISBLANK(L498),K498,L498)/100),2))</f>
      </c>
      <c r="N498" s="7" t="str">
        <f>IF(NOT(AND(J498="",L498="")),IF(OR(AND(L498&lt;&gt;"",NOT(ISNUMBER(L498))),IFERROR(MOD(L498,1),1)&gt;0,AND(ISNUMBER(L498),OR(L498&lt;0,L498&gt;95))),"Введите целое число от 0 до 95",IF(OR(AND(J498&lt;&gt;"",NOT(ISNUMBER(J498))),IFERROR(MOD(J498,1),1)&gt;0,AND(ISNUMBER(J498),OR(J498&lt;50,J498&gt;20000000))),"Введите целое число от 50 до 20000000",IF(NOT(ABS(IFERROR(VALUE(LEFT(M498,FIND("-",M498)-1)),M498)*100-(5000+2000000000)/2)&lt;=ABS(5000-2000000000)/2),"Цена со скидкой должна быть от 50 до 20000000",IF(IFERROR(VALUE(LEFT(M498,FIND("-",M498)-1)),M498)*229&lt;71100,"Вы уменьшили цену в несколько раз, товар попадет в карантин цен","")))),"")</f>
      </c>
    </row>
    <row r="499">
      <c r="A499" s="2" t="inlineStr">
        <is>
          <t>CuteShop</t>
        </is>
      </c>
      <c r="B499" s="2" t="inlineStr">
        <is>
          <t>Держатели для пустышек</t>
        </is>
      </c>
      <c r="C499" s="2">
        <v>87697048</v>
      </c>
      <c r="D499" s="2" t="inlineStr">
        <is>
          <t>MilaBG</t>
        </is>
      </c>
      <c r="E499" s="2" t="inlineStr">
        <is>
          <t>2034887095628</t>
        </is>
      </c>
      <c r="F499" s="2">
        <v>0</v>
      </c>
      <c r="G499" s="2">
        <v>1</v>
      </c>
      <c r="H499" s="2">
        <v>0</v>
      </c>
      <c r="I499" s="2" t="inlineStr">
        <is>
          <t>790</t>
        </is>
      </c>
      <c r="J499" s="4"/>
      <c r="K499" s="2">
        <v>10</v>
      </c>
      <c r="L499" s="6"/>
      <c r="M499" s="2" t="str">
        <f>IF(J499="",ROUND(I499*(1-IF(ISBLANK(L499),K499,L499)/100),2),ROUND(J499*(1-IF(ISBLANK(L499),K499,L499)/100),2))</f>
      </c>
      <c r="N499" s="7" t="str">
        <f>IF(NOT(AND(J499="",L499="")),IF(OR(AND(L499&lt;&gt;"",NOT(ISNUMBER(L499))),IFERROR(MOD(L499,1),1)&gt;0,AND(ISNUMBER(L499),OR(L499&lt;0,L499&gt;95))),"Введите целое число от 0 до 95",IF(OR(AND(J499&lt;&gt;"",NOT(ISNUMBER(J499))),IFERROR(MOD(J499,1),1)&gt;0,AND(ISNUMBER(J499),OR(J499&lt;50,J499&gt;20000000))),"Введите целое число от 50 до 20000000",IF(NOT(ABS(IFERROR(VALUE(LEFT(M499,FIND("-",M499)-1)),M499)*100-(5000+2000000000)/2)&lt;=ABS(5000-2000000000)/2),"Цена со скидкой должна быть от 50 до 20000000",IF(IFERROR(VALUE(LEFT(M499,FIND("-",M499)-1)),M499)*229&lt;71100,"Вы уменьшили цену в несколько раз, товар попадет в карантин цен","")))),"")</f>
      </c>
    </row>
    <row r="500">
      <c r="A500" s="2" t="inlineStr">
        <is>
          <t>CuteShop</t>
        </is>
      </c>
      <c r="B500" s="2" t="inlineStr">
        <is>
          <t>Держатели для пустышек</t>
        </is>
      </c>
      <c r="C500" s="2">
        <v>314673907</v>
      </c>
      <c r="D500" s="2" t="inlineStr">
        <is>
          <t>EgorMash</t>
        </is>
      </c>
      <c r="E500" s="2" t="inlineStr">
        <is>
          <t>2042539204670</t>
        </is>
      </c>
      <c r="F500" s="2">
        <v>0</v>
      </c>
      <c r="G500" s="2">
        <v>1</v>
      </c>
      <c r="H500" s="2" t="inlineStr">
        <is>
          <t/>
        </is>
      </c>
      <c r="I500" s="2" t="inlineStr">
        <is>
          <t>1030</t>
        </is>
      </c>
      <c r="J500" s="4"/>
      <c r="K500" s="2">
        <v>10</v>
      </c>
      <c r="L500" s="6"/>
      <c r="M500" s="2" t="str">
        <f>IF(J500="",ROUND(I500*(1-IF(ISBLANK(L500),K500,L500)/100),2),ROUND(J500*(1-IF(ISBLANK(L500),K500,L500)/100),2))</f>
      </c>
      <c r="N500" s="7" t="str">
        <f>IF(NOT(AND(J500="",L500="")),IF(OR(AND(L500&lt;&gt;"",NOT(ISNUMBER(L500))),IFERROR(MOD(L500,1),1)&gt;0,AND(ISNUMBER(L500),OR(L500&lt;0,L500&gt;95))),"Введите целое число от 0 до 95",IF(OR(AND(J500&lt;&gt;"",NOT(ISNUMBER(J500))),IFERROR(MOD(J500,1),1)&gt;0,AND(ISNUMBER(J500),OR(J500&lt;50,J500&gt;20000000))),"Введите целое число от 50 до 20000000",IF(NOT(ABS(IFERROR(VALUE(LEFT(M500,FIND("-",M500)-1)),M500)*100-(5000+2000000000)/2)&lt;=ABS(5000-2000000000)/2),"Цена со скидкой должна быть от 50 до 20000000",IF(IFERROR(VALUE(LEFT(M500,FIND("-",M500)-1)),M500)*229&lt;92700,"Вы уменьшили цену в несколько раз, товар попадет в карантин цен","")))),"")</f>
      </c>
    </row>
    <row r="501">
      <c r="A501" s="2" t="inlineStr">
        <is>
          <t>CuteShop</t>
        </is>
      </c>
      <c r="B501" s="2" t="inlineStr">
        <is>
          <t>Держатели для пустышек</t>
        </is>
      </c>
      <c r="C501" s="2">
        <v>112956188</v>
      </c>
      <c r="D501" s="2" t="inlineStr">
        <is>
          <t>LeraBel</t>
        </is>
      </c>
      <c r="E501" s="2" t="inlineStr">
        <is>
          <t>2039001357620</t>
        </is>
      </c>
      <c r="F501" s="2">
        <v>0</v>
      </c>
      <c r="G501" s="2">
        <v>0</v>
      </c>
      <c r="H501" s="2">
        <v>0</v>
      </c>
      <c r="I501" s="2" t="inlineStr">
        <is>
          <t>1030</t>
        </is>
      </c>
      <c r="J501" s="4"/>
      <c r="K501" s="2">
        <v>10</v>
      </c>
      <c r="L501" s="6"/>
      <c r="M501" s="2" t="str">
        <f>IF(J501="",ROUND(I501*(1-IF(ISBLANK(L501),K501,L501)/100),2),ROUND(J501*(1-IF(ISBLANK(L501),K501,L501)/100),2))</f>
      </c>
      <c r="N501" s="7" t="str">
        <f>IF(NOT(AND(J501="",L501="")),IF(OR(AND(L501&lt;&gt;"",NOT(ISNUMBER(L501))),IFERROR(MOD(L501,1),1)&gt;0,AND(ISNUMBER(L501),OR(L501&lt;0,L501&gt;95))),"Введите целое число от 0 до 95",IF(OR(AND(J501&lt;&gt;"",NOT(ISNUMBER(J501))),IFERROR(MOD(J501,1),1)&gt;0,AND(ISNUMBER(J501),OR(J501&lt;50,J501&gt;20000000))),"Введите целое число от 50 до 20000000",IF(NOT(ABS(IFERROR(VALUE(LEFT(M501,FIND("-",M501)-1)),M501)*100-(5000+2000000000)/2)&lt;=ABS(5000-2000000000)/2),"Цена со скидкой должна быть от 50 до 20000000",IF(IFERROR(VALUE(LEFT(M501,FIND("-",M501)-1)),M501)*229&lt;92700,"Вы уменьшили цену в несколько раз, товар попадет в карантин цен","")))),"")</f>
      </c>
    </row>
    <row r="502">
      <c r="A502" s="2" t="inlineStr">
        <is>
          <t>CuteShop</t>
        </is>
      </c>
      <c r="B502" s="2" t="inlineStr">
        <is>
          <t>Держатели для пустышек</t>
        </is>
      </c>
      <c r="C502" s="2">
        <v>147475327</v>
      </c>
      <c r="D502" s="2" t="inlineStr">
        <is>
          <t>DianaMish</t>
        </is>
      </c>
      <c r="E502" s="2" t="inlineStr">
        <is>
          <t>2037493810913</t>
        </is>
      </c>
      <c r="F502" s="2">
        <v>0</v>
      </c>
      <c r="G502" s="2">
        <v>0</v>
      </c>
      <c r="H502" s="2">
        <v>1</v>
      </c>
      <c r="I502" s="2" t="inlineStr">
        <is>
          <t>1030</t>
        </is>
      </c>
      <c r="J502" s="4"/>
      <c r="K502" s="2">
        <v>10</v>
      </c>
      <c r="L502" s="6"/>
      <c r="M502" s="2" t="str">
        <f>IF(J502="",ROUND(I502*(1-IF(ISBLANK(L502),K502,L502)/100),2),ROUND(J502*(1-IF(ISBLANK(L502),K502,L502)/100),2))</f>
      </c>
      <c r="N502" s="7" t="str">
        <f>IF(NOT(AND(J502="",L502="")),IF(OR(AND(L502&lt;&gt;"",NOT(ISNUMBER(L502))),IFERROR(MOD(L502,1),1)&gt;0,AND(ISNUMBER(L502),OR(L502&lt;0,L502&gt;95))),"Введите целое число от 0 до 95",IF(OR(AND(J502&lt;&gt;"",NOT(ISNUMBER(J502))),IFERROR(MOD(J502,1),1)&gt;0,AND(ISNUMBER(J502),OR(J502&lt;50,J502&gt;20000000))),"Введите целое число от 50 до 20000000",IF(NOT(ABS(IFERROR(VALUE(LEFT(M502,FIND("-",M502)-1)),M502)*100-(5000+2000000000)/2)&lt;=ABS(5000-2000000000)/2),"Цена со скидкой должна быть от 50 до 20000000",IF(IFERROR(VALUE(LEFT(M502,FIND("-",M502)-1)),M502)*229&lt;92700,"Вы уменьшили цену в несколько раз, товар попадет в карантин цен","")))),"")</f>
      </c>
    </row>
    <row r="503">
      <c r="A503" s="2" t="inlineStr">
        <is>
          <t>CuteShop</t>
        </is>
      </c>
      <c r="B503" s="2" t="inlineStr">
        <is>
          <t>Держатели для пустышек</t>
        </is>
      </c>
      <c r="C503" s="2">
        <v>269134379</v>
      </c>
      <c r="D503" s="2" t="inlineStr">
        <is>
          <t>VikulyaBG</t>
        </is>
      </c>
      <c r="E503" s="2" t="inlineStr">
        <is>
          <t>2041429487834</t>
        </is>
      </c>
      <c r="F503" s="2">
        <v>0</v>
      </c>
      <c r="G503" s="2">
        <v>1</v>
      </c>
      <c r="H503" s="2" t="inlineStr">
        <is>
          <t/>
        </is>
      </c>
      <c r="I503" s="2" t="inlineStr">
        <is>
          <t>790</t>
        </is>
      </c>
      <c r="J503" s="4"/>
      <c r="K503" s="2">
        <v>10</v>
      </c>
      <c r="L503" s="6"/>
      <c r="M503" s="2" t="str">
        <f>IF(J503="",ROUND(I503*(1-IF(ISBLANK(L503),K503,L503)/100),2),ROUND(J503*(1-IF(ISBLANK(L503),K503,L503)/100),2))</f>
      </c>
      <c r="N503" s="7" t="str">
        <f>IF(NOT(AND(J503="",L503="")),IF(OR(AND(L503&lt;&gt;"",NOT(ISNUMBER(L503))),IFERROR(MOD(L503,1),1)&gt;0,AND(ISNUMBER(L503),OR(L503&lt;0,L503&gt;95))),"Введите целое число от 0 до 95",IF(OR(AND(J503&lt;&gt;"",NOT(ISNUMBER(J503))),IFERROR(MOD(J503,1),1)&gt;0,AND(ISNUMBER(J503),OR(J503&lt;50,J503&gt;20000000))),"Введите целое число от 50 до 20000000",IF(NOT(ABS(IFERROR(VALUE(LEFT(M503,FIND("-",M503)-1)),M503)*100-(5000+2000000000)/2)&lt;=ABS(5000-2000000000)/2),"Цена со скидкой должна быть от 50 до 20000000",IF(IFERROR(VALUE(LEFT(M503,FIND("-",M503)-1)),M503)*229&lt;71100,"Вы уменьшили цену в несколько раз, товар попадет в карантин цен","")))),"")</f>
      </c>
    </row>
    <row r="504">
      <c r="A504" s="2" t="inlineStr">
        <is>
          <t>CuteShop</t>
        </is>
      </c>
      <c r="B504" s="2" t="inlineStr">
        <is>
          <t>Держатели для пустышек</t>
        </is>
      </c>
      <c r="C504" s="2">
        <v>99808213</v>
      </c>
      <c r="D504" s="2" t="inlineStr">
        <is>
          <t>MaratSob</t>
        </is>
      </c>
      <c r="E504" s="2" t="inlineStr">
        <is>
          <t>2036804112449</t>
        </is>
      </c>
      <c r="F504" s="2">
        <v>0</v>
      </c>
      <c r="G504" s="2">
        <v>0</v>
      </c>
      <c r="H504" s="2">
        <v>0</v>
      </c>
      <c r="I504" s="2" t="inlineStr">
        <is>
          <t>1030</t>
        </is>
      </c>
      <c r="J504" s="4"/>
      <c r="K504" s="2">
        <v>10</v>
      </c>
      <c r="L504" s="6"/>
      <c r="M504" s="2" t="str">
        <f>IF(J504="",ROUND(I504*(1-IF(ISBLANK(L504),K504,L504)/100),2),ROUND(J504*(1-IF(ISBLANK(L504),K504,L504)/100),2))</f>
      </c>
      <c r="N504" s="7" t="str">
        <f>IF(NOT(AND(J504="",L504="")),IF(OR(AND(L504&lt;&gt;"",NOT(ISNUMBER(L504))),IFERROR(MOD(L504,1),1)&gt;0,AND(ISNUMBER(L504),OR(L504&lt;0,L504&gt;95))),"Введите целое число от 0 до 95",IF(OR(AND(J504&lt;&gt;"",NOT(ISNUMBER(J504))),IFERROR(MOD(J504,1),1)&gt;0,AND(ISNUMBER(J504),OR(J504&lt;50,J504&gt;20000000))),"Введите целое число от 50 до 20000000",IF(NOT(ABS(IFERROR(VALUE(LEFT(M504,FIND("-",M504)-1)),M504)*100-(5000+2000000000)/2)&lt;=ABS(5000-2000000000)/2),"Цена со скидкой должна быть от 50 до 20000000",IF(IFERROR(VALUE(LEFT(M504,FIND("-",M504)-1)),M504)*229&lt;92700,"Вы уменьшили цену в несколько раз, товар попадет в карантин цен","")))),"")</f>
      </c>
    </row>
    <row r="505">
      <c r="A505" s="2" t="inlineStr">
        <is>
          <t>CuteShop</t>
        </is>
      </c>
      <c r="B505" s="2" t="inlineStr">
        <is>
          <t>Держатели для пустышек</t>
        </is>
      </c>
      <c r="C505" s="2">
        <v>99960716</v>
      </c>
      <c r="D505" s="2" t="inlineStr">
        <is>
          <t>ZlataLis</t>
        </is>
      </c>
      <c r="E505" s="2" t="inlineStr">
        <is>
          <t>2036806317675</t>
        </is>
      </c>
      <c r="F505" s="2">
        <v>0</v>
      </c>
      <c r="G505" s="2">
        <v>0</v>
      </c>
      <c r="H505" s="2">
        <v>0</v>
      </c>
      <c r="I505" s="2" t="inlineStr">
        <is>
          <t>1030</t>
        </is>
      </c>
      <c r="J505" s="4"/>
      <c r="K505" s="2">
        <v>10</v>
      </c>
      <c r="L505" s="6"/>
      <c r="M505" s="2" t="str">
        <f>IF(J505="",ROUND(I505*(1-IF(ISBLANK(L505),K505,L505)/100),2),ROUND(J505*(1-IF(ISBLANK(L505),K505,L505)/100),2))</f>
      </c>
      <c r="N505" s="7" t="str">
        <f>IF(NOT(AND(J505="",L505="")),IF(OR(AND(L505&lt;&gt;"",NOT(ISNUMBER(L505))),IFERROR(MOD(L505,1),1)&gt;0,AND(ISNUMBER(L505),OR(L505&lt;0,L505&gt;95))),"Введите целое число от 0 до 95",IF(OR(AND(J505&lt;&gt;"",NOT(ISNUMBER(J505))),IFERROR(MOD(J505,1),1)&gt;0,AND(ISNUMBER(J505),OR(J505&lt;50,J505&gt;20000000))),"Введите целое число от 50 до 20000000",IF(NOT(ABS(IFERROR(VALUE(LEFT(M505,FIND("-",M505)-1)),M505)*100-(5000+2000000000)/2)&lt;=ABS(5000-2000000000)/2),"Цена со скидкой должна быть от 50 до 20000000",IF(IFERROR(VALUE(LEFT(M505,FIND("-",M505)-1)),M505)*229&lt;92700,"Вы уменьшили цену в несколько раз, товар попадет в карантин цен","")))),"")</f>
      </c>
    </row>
    <row r="506">
      <c r="A506" s="2" t="inlineStr">
        <is>
          <t>CuteShop</t>
        </is>
      </c>
      <c r="B506" s="2" t="inlineStr">
        <is>
          <t>Держатели для пустышек</t>
        </is>
      </c>
      <c r="C506" s="2">
        <v>116850836</v>
      </c>
      <c r="D506" s="2" t="inlineStr">
        <is>
          <t>DerzhProstSobGolub</t>
        </is>
      </c>
      <c r="E506" s="2" t="inlineStr">
        <is>
          <t>2041865570626</t>
        </is>
      </c>
      <c r="F506" s="2">
        <v>0</v>
      </c>
      <c r="G506" s="2">
        <v>0</v>
      </c>
      <c r="H506" s="2">
        <v>0</v>
      </c>
      <c r="I506" s="2" t="inlineStr">
        <is>
          <t>643</t>
        </is>
      </c>
      <c r="J506" s="4"/>
      <c r="K506" s="2">
        <v>10</v>
      </c>
      <c r="L506" s="6"/>
      <c r="M506" s="2" t="str">
        <f>IF(J506="",ROUND(I506*(1-IF(ISBLANK(L506),K506,L506)/100),2),ROUND(J506*(1-IF(ISBLANK(L506),K506,L506)/100),2))</f>
      </c>
      <c r="N506" s="7" t="str">
        <f>IF(NOT(AND(J506="",L506="")),IF(OR(AND(L506&lt;&gt;"",NOT(ISNUMBER(L506))),IFERROR(MOD(L506,1),1)&gt;0,AND(ISNUMBER(L506),OR(L506&lt;0,L506&gt;95))),"Введите целое число от 0 до 95",IF(OR(AND(J506&lt;&gt;"",NOT(ISNUMBER(J506))),IFERROR(MOD(J506,1),1)&gt;0,AND(ISNUMBER(J506),OR(J506&lt;50,J506&gt;20000000))),"Введите целое число от 50 до 20000000",IF(NOT(ABS(IFERROR(VALUE(LEFT(M506,FIND("-",M506)-1)),M506)*100-(5000+2000000000)/2)&lt;=ABS(5000-2000000000)/2),"Цена со скидкой должна быть от 50 до 20000000",IF(IFERROR(VALUE(LEFT(M506,FIND("-",M506)-1)),M506)*229&lt;57870,"Вы уменьшили цену в несколько раз, товар попадет в карантин цен","")))),"")</f>
      </c>
    </row>
    <row r="507">
      <c r="A507" s="2" t="inlineStr">
        <is>
          <t>CuteShop</t>
        </is>
      </c>
      <c r="B507" s="2" t="inlineStr">
        <is>
          <t>Держатели для пустышек</t>
        </is>
      </c>
      <c r="C507" s="2">
        <v>99965935</v>
      </c>
      <c r="D507" s="2" t="inlineStr">
        <is>
          <t>AgataBG2</t>
        </is>
      </c>
      <c r="E507" s="2" t="inlineStr">
        <is>
          <t>2036806366383</t>
        </is>
      </c>
      <c r="F507" s="2">
        <v>0</v>
      </c>
      <c r="G507" s="2">
        <v>1</v>
      </c>
      <c r="H507" s="2">
        <v>1</v>
      </c>
      <c r="I507" s="2" t="inlineStr">
        <is>
          <t>790</t>
        </is>
      </c>
      <c r="J507" s="4"/>
      <c r="K507" s="2">
        <v>10</v>
      </c>
      <c r="L507" s="6"/>
      <c r="M507" s="2" t="str">
        <f>IF(J507="",ROUND(I507*(1-IF(ISBLANK(L507),K507,L507)/100),2),ROUND(J507*(1-IF(ISBLANK(L507),K507,L507)/100),2))</f>
      </c>
      <c r="N507" s="7" t="str">
        <f>IF(NOT(AND(J507="",L507="")),IF(OR(AND(L507&lt;&gt;"",NOT(ISNUMBER(L507))),IFERROR(MOD(L507,1),1)&gt;0,AND(ISNUMBER(L507),OR(L507&lt;0,L507&gt;95))),"Введите целое число от 0 до 95",IF(OR(AND(J507&lt;&gt;"",NOT(ISNUMBER(J507))),IFERROR(MOD(J507,1),1)&gt;0,AND(ISNUMBER(J507),OR(J507&lt;50,J507&gt;20000000))),"Введите целое число от 50 до 20000000",IF(NOT(ABS(IFERROR(VALUE(LEFT(M507,FIND("-",M507)-1)),M507)*100-(5000+2000000000)/2)&lt;=ABS(5000-2000000000)/2),"Цена со скидкой должна быть от 50 до 20000000",IF(IFERROR(VALUE(LEFT(M507,FIND("-",M507)-1)),M507)*229&lt;71100,"Вы уменьшили цену в несколько раз, товар попадет в карантин цен","")))),"")</f>
      </c>
    </row>
    <row r="508">
      <c r="A508" s="2" t="inlineStr">
        <is>
          <t>CuteShop</t>
        </is>
      </c>
      <c r="B508" s="2" t="inlineStr">
        <is>
          <t>Держатели для пустышек</t>
        </is>
      </c>
      <c r="C508" s="2">
        <v>111032212</v>
      </c>
      <c r="D508" s="2" t="inlineStr">
        <is>
          <t>ZaharMish</t>
        </is>
      </c>
      <c r="E508" s="2" t="inlineStr">
        <is>
          <t>2037465961629</t>
        </is>
      </c>
      <c r="F508" s="2">
        <v>0</v>
      </c>
      <c r="G508" s="2">
        <v>1</v>
      </c>
      <c r="H508" s="2">
        <v>0</v>
      </c>
      <c r="I508" s="2" t="inlineStr">
        <is>
          <t>1030</t>
        </is>
      </c>
      <c r="J508" s="4"/>
      <c r="K508" s="2">
        <v>10</v>
      </c>
      <c r="L508" s="6"/>
      <c r="M508" s="2" t="str">
        <f>IF(J508="",ROUND(I508*(1-IF(ISBLANK(L508),K508,L508)/100),2),ROUND(J508*(1-IF(ISBLANK(L508),K508,L508)/100),2))</f>
      </c>
      <c r="N508" s="7" t="str">
        <f>IF(NOT(AND(J508="",L508="")),IF(OR(AND(L508&lt;&gt;"",NOT(ISNUMBER(L508))),IFERROR(MOD(L508,1),1)&gt;0,AND(ISNUMBER(L508),OR(L508&lt;0,L508&gt;95))),"Введите целое число от 0 до 95",IF(OR(AND(J508&lt;&gt;"",NOT(ISNUMBER(J508))),IFERROR(MOD(J508,1),1)&gt;0,AND(ISNUMBER(J508),OR(J508&lt;50,J508&gt;20000000))),"Введите целое число от 50 до 20000000",IF(NOT(ABS(IFERROR(VALUE(LEFT(M508,FIND("-",M508)-1)),M508)*100-(5000+2000000000)/2)&lt;=ABS(5000-2000000000)/2),"Цена со скидкой должна быть от 50 до 20000000",IF(IFERROR(VALUE(LEFT(M508,FIND("-",M508)-1)),M508)*229&lt;92700,"Вы уменьшили цену в несколько раз, товар попадет в карантин цен","")))),"")</f>
      </c>
    </row>
    <row r="509">
      <c r="A509" s="2" t="inlineStr">
        <is>
          <t>CuteShop</t>
        </is>
      </c>
      <c r="B509" s="2" t="inlineStr">
        <is>
          <t>Держатели для пустышек</t>
        </is>
      </c>
      <c r="C509" s="2">
        <v>103978001</v>
      </c>
      <c r="D509" s="2" t="inlineStr">
        <is>
          <t>VikaKoala</t>
        </is>
      </c>
      <c r="E509" s="2" t="inlineStr">
        <is>
          <t>2036864209776</t>
        </is>
      </c>
      <c r="F509" s="2">
        <v>0</v>
      </c>
      <c r="G509" s="2">
        <v>1</v>
      </c>
      <c r="H509" s="2">
        <v>0</v>
      </c>
      <c r="I509" s="2" t="inlineStr">
        <is>
          <t>1030</t>
        </is>
      </c>
      <c r="J509" s="4"/>
      <c r="K509" s="2">
        <v>10</v>
      </c>
      <c r="L509" s="6"/>
      <c r="M509" s="2" t="str">
        <f>IF(J509="",ROUND(I509*(1-IF(ISBLANK(L509),K509,L509)/100),2),ROUND(J509*(1-IF(ISBLANK(L509),K509,L509)/100),2))</f>
      </c>
      <c r="N509" s="7" t="str">
        <f>IF(NOT(AND(J509="",L509="")),IF(OR(AND(L509&lt;&gt;"",NOT(ISNUMBER(L509))),IFERROR(MOD(L509,1),1)&gt;0,AND(ISNUMBER(L509),OR(L509&lt;0,L509&gt;95))),"Введите целое число от 0 до 95",IF(OR(AND(J509&lt;&gt;"",NOT(ISNUMBER(J509))),IFERROR(MOD(J509,1),1)&gt;0,AND(ISNUMBER(J509),OR(J509&lt;50,J509&gt;20000000))),"Введите целое число от 50 до 20000000",IF(NOT(ABS(IFERROR(VALUE(LEFT(M509,FIND("-",M509)-1)),M509)*100-(5000+2000000000)/2)&lt;=ABS(5000-2000000000)/2),"Цена со скидкой должна быть от 50 до 20000000",IF(IFERROR(VALUE(LEFT(M509,FIND("-",M509)-1)),M509)*229&lt;92700,"Вы уменьшили цену в несколько раз, товар попадет в карантин цен","")))),"")</f>
      </c>
    </row>
    <row r="510">
      <c r="A510" s="2" t="inlineStr">
        <is>
          <t>CuteShop</t>
        </is>
      </c>
      <c r="B510" s="2" t="inlineStr">
        <is>
          <t>Держатели для пустышек</t>
        </is>
      </c>
      <c r="C510" s="2">
        <v>156252844</v>
      </c>
      <c r="D510" s="2" t="inlineStr">
        <is>
          <t>YulechkaPanda</t>
        </is>
      </c>
      <c r="E510" s="2" t="inlineStr">
        <is>
          <t>2037706482135</t>
        </is>
      </c>
      <c r="F510" s="2">
        <v>0</v>
      </c>
      <c r="G510" s="2">
        <v>1</v>
      </c>
      <c r="H510" s="2">
        <v>0</v>
      </c>
      <c r="I510" s="2" t="inlineStr">
        <is>
          <t>1030</t>
        </is>
      </c>
      <c r="J510" s="4"/>
      <c r="K510" s="2">
        <v>10</v>
      </c>
      <c r="L510" s="6"/>
      <c r="M510" s="2" t="str">
        <f>IF(J510="",ROUND(I510*(1-IF(ISBLANK(L510),K510,L510)/100),2),ROUND(J510*(1-IF(ISBLANK(L510),K510,L510)/100),2))</f>
      </c>
      <c r="N510" s="7" t="str">
        <f>IF(NOT(AND(J510="",L510="")),IF(OR(AND(L510&lt;&gt;"",NOT(ISNUMBER(L510))),IFERROR(MOD(L510,1),1)&gt;0,AND(ISNUMBER(L510),OR(L510&lt;0,L510&gt;95))),"Введите целое число от 0 до 95",IF(OR(AND(J510&lt;&gt;"",NOT(ISNUMBER(J510))),IFERROR(MOD(J510,1),1)&gt;0,AND(ISNUMBER(J510),OR(J510&lt;50,J510&gt;20000000))),"Введите целое число от 50 до 20000000",IF(NOT(ABS(IFERROR(VALUE(LEFT(M510,FIND("-",M510)-1)),M510)*100-(5000+2000000000)/2)&lt;=ABS(5000-2000000000)/2),"Цена со скидкой должна быть от 50 до 20000000",IF(IFERROR(VALUE(LEFT(M510,FIND("-",M510)-1)),M510)*229&lt;92700,"Вы уменьшили цену в несколько раз, товар попадет в карантин цен","")))),"")</f>
      </c>
    </row>
    <row r="511">
      <c r="A511" s="2" t="inlineStr">
        <is>
          <t>CuteShop</t>
        </is>
      </c>
      <c r="B511" s="2" t="inlineStr">
        <is>
          <t>Держатели для пустышек</t>
        </is>
      </c>
      <c r="C511" s="2">
        <v>87469385</v>
      </c>
      <c r="D511" s="2" t="inlineStr">
        <is>
          <t>AdamKoalaZhelt</t>
        </is>
      </c>
      <c r="E511" s="2" t="inlineStr">
        <is>
          <t>2034796520624</t>
        </is>
      </c>
      <c r="F511" s="2">
        <v>0</v>
      </c>
      <c r="G511" s="2">
        <v>0</v>
      </c>
      <c r="H511" s="2">
        <v>0</v>
      </c>
      <c r="I511" s="2" t="inlineStr">
        <is>
          <t>1030</t>
        </is>
      </c>
      <c r="J511" s="4"/>
      <c r="K511" s="2">
        <v>10</v>
      </c>
      <c r="L511" s="6"/>
      <c r="M511" s="2" t="str">
        <f>IF(J511="",ROUND(I511*(1-IF(ISBLANK(L511),K511,L511)/100),2),ROUND(J511*(1-IF(ISBLANK(L511),K511,L511)/100),2))</f>
      </c>
      <c r="N511" s="7" t="str">
        <f>IF(NOT(AND(J511="",L511="")),IF(OR(AND(L511&lt;&gt;"",NOT(ISNUMBER(L511))),IFERROR(MOD(L511,1),1)&gt;0,AND(ISNUMBER(L511),OR(L511&lt;0,L511&gt;95))),"Введите целое число от 0 до 95",IF(OR(AND(J511&lt;&gt;"",NOT(ISNUMBER(J511))),IFERROR(MOD(J511,1),1)&gt;0,AND(ISNUMBER(J511),OR(J511&lt;50,J511&gt;20000000))),"Введите целое число от 50 до 20000000",IF(NOT(ABS(IFERROR(VALUE(LEFT(M511,FIND("-",M511)-1)),M511)*100-(5000+2000000000)/2)&lt;=ABS(5000-2000000000)/2),"Цена со скидкой должна быть от 50 до 20000000",IF(IFERROR(VALUE(LEFT(M511,FIND("-",M511)-1)),M511)*229&lt;92700,"Вы уменьшили цену в несколько раз, товар попадет в карантин цен","")))),"")</f>
      </c>
    </row>
    <row r="512">
      <c r="A512" s="2" t="inlineStr">
        <is>
          <t>CuteShop</t>
        </is>
      </c>
      <c r="B512" s="2" t="inlineStr">
        <is>
          <t>Держатели для пустышек</t>
        </is>
      </c>
      <c r="C512" s="2">
        <v>87469387</v>
      </c>
      <c r="D512" s="2" t="inlineStr">
        <is>
          <t>AdamOlen</t>
        </is>
      </c>
      <c r="E512" s="2" t="inlineStr">
        <is>
          <t>2034796653629</t>
        </is>
      </c>
      <c r="F512" s="2">
        <v>0</v>
      </c>
      <c r="G512" s="2">
        <v>0</v>
      </c>
      <c r="H512" s="2">
        <v>0</v>
      </c>
      <c r="I512" s="2" t="inlineStr">
        <is>
          <t>1030</t>
        </is>
      </c>
      <c r="J512" s="4"/>
      <c r="K512" s="2">
        <v>10</v>
      </c>
      <c r="L512" s="6"/>
      <c r="M512" s="2" t="str">
        <f>IF(J512="",ROUND(I512*(1-IF(ISBLANK(L512),K512,L512)/100),2),ROUND(J512*(1-IF(ISBLANK(L512),K512,L512)/100),2))</f>
      </c>
      <c r="N512" s="7" t="str">
        <f>IF(NOT(AND(J512="",L512="")),IF(OR(AND(L512&lt;&gt;"",NOT(ISNUMBER(L512))),IFERROR(MOD(L512,1),1)&gt;0,AND(ISNUMBER(L512),OR(L512&lt;0,L512&gt;95))),"Введите целое число от 0 до 95",IF(OR(AND(J512&lt;&gt;"",NOT(ISNUMBER(J512))),IFERROR(MOD(J512,1),1)&gt;0,AND(ISNUMBER(J512),OR(J512&lt;50,J512&gt;20000000))),"Введите целое число от 50 до 20000000",IF(NOT(ABS(IFERROR(VALUE(LEFT(M512,FIND("-",M512)-1)),M512)*100-(5000+2000000000)/2)&lt;=ABS(5000-2000000000)/2),"Цена со скидкой должна быть от 50 до 20000000",IF(IFERROR(VALUE(LEFT(M512,FIND("-",M512)-1)),M512)*229&lt;92700,"Вы уменьшили цену в несколько раз, товар попадет в карантин цен","")))),"")</f>
      </c>
    </row>
    <row r="513">
      <c r="A513" s="2" t="inlineStr">
        <is>
          <t>CuteShop</t>
        </is>
      </c>
      <c r="B513" s="2" t="inlineStr">
        <is>
          <t>Держатели для пустышек</t>
        </is>
      </c>
      <c r="C513" s="2">
        <v>156252846</v>
      </c>
      <c r="D513" s="2" t="inlineStr">
        <is>
          <t>YulechkaLama</t>
        </is>
      </c>
      <c r="E513" s="2" t="inlineStr">
        <is>
          <t>2037706482890</t>
        </is>
      </c>
      <c r="F513" s="2">
        <v>0</v>
      </c>
      <c r="G513" s="2">
        <v>1</v>
      </c>
      <c r="H513" s="2">
        <v>1</v>
      </c>
      <c r="I513" s="2" t="inlineStr">
        <is>
          <t>1030</t>
        </is>
      </c>
      <c r="J513" s="4"/>
      <c r="K513" s="2">
        <v>10</v>
      </c>
      <c r="L513" s="6"/>
      <c r="M513" s="2" t="str">
        <f>IF(J513="",ROUND(I513*(1-IF(ISBLANK(L513),K513,L513)/100),2),ROUND(J513*(1-IF(ISBLANK(L513),K513,L513)/100),2))</f>
      </c>
      <c r="N513" s="7" t="str">
        <f>IF(NOT(AND(J513="",L513="")),IF(OR(AND(L513&lt;&gt;"",NOT(ISNUMBER(L513))),IFERROR(MOD(L513,1),1)&gt;0,AND(ISNUMBER(L513),OR(L513&lt;0,L513&gt;95))),"Введите целое число от 0 до 95",IF(OR(AND(J513&lt;&gt;"",NOT(ISNUMBER(J513))),IFERROR(MOD(J513,1),1)&gt;0,AND(ISNUMBER(J513),OR(J513&lt;50,J513&gt;20000000))),"Введите целое число от 50 до 20000000",IF(NOT(ABS(IFERROR(VALUE(LEFT(M513,FIND("-",M513)-1)),M513)*100-(5000+2000000000)/2)&lt;=ABS(5000-2000000000)/2),"Цена со скидкой должна быть от 50 до 20000000",IF(IFERROR(VALUE(LEFT(M513,FIND("-",M513)-1)),M513)*229&lt;92700,"Вы уменьшили цену в несколько раз, товар попадет в карантин цен","")))),"")</f>
      </c>
    </row>
    <row r="514">
      <c r="A514" s="2" t="inlineStr">
        <is>
          <t>CuteShop</t>
        </is>
      </c>
      <c r="B514" s="2" t="inlineStr">
        <is>
          <t>Держатели для пустышек</t>
        </is>
      </c>
      <c r="C514" s="2">
        <v>110884113</v>
      </c>
      <c r="D514" s="2" t="inlineStr">
        <is>
          <t>Sofiya3BG</t>
        </is>
      </c>
      <c r="E514" s="2" t="inlineStr">
        <is>
          <t>2037220101628</t>
        </is>
      </c>
      <c r="F514" s="2">
        <v>0</v>
      </c>
      <c r="G514" s="2">
        <v>0</v>
      </c>
      <c r="H514" s="2">
        <v>0</v>
      </c>
      <c r="I514" s="2" t="inlineStr">
        <is>
          <t>790</t>
        </is>
      </c>
      <c r="J514" s="4"/>
      <c r="K514" s="2">
        <v>10</v>
      </c>
      <c r="L514" s="6"/>
      <c r="M514" s="2" t="str">
        <f>IF(J514="",ROUND(I514*(1-IF(ISBLANK(L514),K514,L514)/100),2),ROUND(J514*(1-IF(ISBLANK(L514),K514,L514)/100),2))</f>
      </c>
      <c r="N514" s="7" t="str">
        <f>IF(NOT(AND(J514="",L514="")),IF(OR(AND(L514&lt;&gt;"",NOT(ISNUMBER(L514))),IFERROR(MOD(L514,1),1)&gt;0,AND(ISNUMBER(L514),OR(L514&lt;0,L514&gt;95))),"Введите целое число от 0 до 95",IF(OR(AND(J514&lt;&gt;"",NOT(ISNUMBER(J514))),IFERROR(MOD(J514,1),1)&gt;0,AND(ISNUMBER(J514),OR(J514&lt;50,J514&gt;20000000))),"Введите целое число от 50 до 20000000",IF(NOT(ABS(IFERROR(VALUE(LEFT(M514,FIND("-",M514)-1)),M514)*100-(5000+2000000000)/2)&lt;=ABS(5000-2000000000)/2),"Цена со скидкой должна быть от 50 до 20000000",IF(IFERROR(VALUE(LEFT(M514,FIND("-",M514)-1)),M514)*229&lt;71100,"Вы уменьшили цену в несколько раз, товар попадет в карантин цен","")))),"")</f>
      </c>
    </row>
    <row r="515">
      <c r="A515" s="2" t="inlineStr">
        <is>
          <t>CuteShop</t>
        </is>
      </c>
      <c r="B515" s="2" t="inlineStr">
        <is>
          <t>Держатели для пустышек</t>
        </is>
      </c>
      <c r="C515" s="2">
        <v>179851867</v>
      </c>
      <c r="D515" s="2" t="inlineStr">
        <is>
          <t>AmirchikMish</t>
        </is>
      </c>
      <c r="E515" s="2" t="inlineStr">
        <is>
          <t>2038716195985</t>
        </is>
      </c>
      <c r="F515" s="2">
        <v>0</v>
      </c>
      <c r="G515" s="2">
        <v>1</v>
      </c>
      <c r="H515" s="2" t="inlineStr">
        <is>
          <t/>
        </is>
      </c>
      <c r="I515" s="2" t="inlineStr">
        <is>
          <t>1030</t>
        </is>
      </c>
      <c r="J515" s="4"/>
      <c r="K515" s="2">
        <v>10</v>
      </c>
      <c r="L515" s="6"/>
      <c r="M515" s="2" t="str">
        <f>IF(J515="",ROUND(I515*(1-IF(ISBLANK(L515),K515,L515)/100),2),ROUND(J515*(1-IF(ISBLANK(L515),K515,L515)/100),2))</f>
      </c>
      <c r="N515" s="7" t="str">
        <f>IF(NOT(AND(J515="",L515="")),IF(OR(AND(L515&lt;&gt;"",NOT(ISNUMBER(L515))),IFERROR(MOD(L515,1),1)&gt;0,AND(ISNUMBER(L515),OR(L515&lt;0,L515&gt;95))),"Введите целое число от 0 до 95",IF(OR(AND(J515&lt;&gt;"",NOT(ISNUMBER(J515))),IFERROR(MOD(J515,1),1)&gt;0,AND(ISNUMBER(J515),OR(J515&lt;50,J515&gt;20000000))),"Введите целое число от 50 до 20000000",IF(NOT(ABS(IFERROR(VALUE(LEFT(M515,FIND("-",M515)-1)),M515)*100-(5000+2000000000)/2)&lt;=ABS(5000-2000000000)/2),"Цена со скидкой должна быть от 50 до 20000000",IF(IFERROR(VALUE(LEFT(M515,FIND("-",M515)-1)),M515)*229&lt;92700,"Вы уменьшили цену в несколько раз, товар попадет в карантин цен","")))),"")</f>
      </c>
    </row>
    <row r="516">
      <c r="A516" s="2" t="inlineStr">
        <is>
          <t>CuteShop</t>
        </is>
      </c>
      <c r="B516" s="2" t="inlineStr">
        <is>
          <t>Держатели для пустышек</t>
        </is>
      </c>
      <c r="C516" s="2">
        <v>87359535</v>
      </c>
      <c r="D516" s="2" t="inlineStr">
        <is>
          <t>KiraMish</t>
        </is>
      </c>
      <c r="E516" s="2" t="inlineStr">
        <is>
          <t>2034751403627</t>
        </is>
      </c>
      <c r="F516" s="2">
        <v>0</v>
      </c>
      <c r="G516" s="2">
        <v>1</v>
      </c>
      <c r="H516" s="2">
        <v>0</v>
      </c>
      <c r="I516" s="2" t="inlineStr">
        <is>
          <t>1030</t>
        </is>
      </c>
      <c r="J516" s="4"/>
      <c r="K516" s="2">
        <v>10</v>
      </c>
      <c r="L516" s="6"/>
      <c r="M516" s="2" t="str">
        <f>IF(J516="",ROUND(I516*(1-IF(ISBLANK(L516),K516,L516)/100),2),ROUND(J516*(1-IF(ISBLANK(L516),K516,L516)/100),2))</f>
      </c>
      <c r="N516" s="7" t="str">
        <f>IF(NOT(AND(J516="",L516="")),IF(OR(AND(L516&lt;&gt;"",NOT(ISNUMBER(L516))),IFERROR(MOD(L516,1),1)&gt;0,AND(ISNUMBER(L516),OR(L516&lt;0,L516&gt;95))),"Введите целое число от 0 до 95",IF(OR(AND(J516&lt;&gt;"",NOT(ISNUMBER(J516))),IFERROR(MOD(J516,1),1)&gt;0,AND(ISNUMBER(J516),OR(J516&lt;50,J516&gt;20000000))),"Введите целое число от 50 до 20000000",IF(NOT(ABS(IFERROR(VALUE(LEFT(M516,FIND("-",M516)-1)),M516)*100-(5000+2000000000)/2)&lt;=ABS(5000-2000000000)/2),"Цена со скидкой должна быть от 50 до 20000000",IF(IFERROR(VALUE(LEFT(M516,FIND("-",M516)-1)),M516)*229&lt;92700,"Вы уменьшили цену в несколько раз, товар попадет в карантин цен","")))),"")</f>
      </c>
    </row>
    <row r="517">
      <c r="A517" s="2" t="inlineStr">
        <is>
          <t>CuteShop</t>
        </is>
      </c>
      <c r="B517" s="2" t="inlineStr">
        <is>
          <t>Держатели для пустышек</t>
        </is>
      </c>
      <c r="C517" s="2">
        <v>87674019</v>
      </c>
      <c r="D517" s="2" t="inlineStr">
        <is>
          <t>MilenaBelGol</t>
        </is>
      </c>
      <c r="E517" s="2" t="inlineStr">
        <is>
          <t>2034876266626</t>
        </is>
      </c>
      <c r="F517" s="2">
        <v>0</v>
      </c>
      <c r="G517" s="2">
        <v>1</v>
      </c>
      <c r="H517" s="2">
        <v>0</v>
      </c>
      <c r="I517" s="2" t="inlineStr">
        <is>
          <t>1030</t>
        </is>
      </c>
      <c r="J517" s="4"/>
      <c r="K517" s="2">
        <v>10</v>
      </c>
      <c r="L517" s="6"/>
      <c r="M517" s="2" t="str">
        <f>IF(J517="",ROUND(I517*(1-IF(ISBLANK(L517),K517,L517)/100),2),ROUND(J517*(1-IF(ISBLANK(L517),K517,L517)/100),2))</f>
      </c>
      <c r="N517" s="7" t="str">
        <f>IF(NOT(AND(J517="",L517="")),IF(OR(AND(L517&lt;&gt;"",NOT(ISNUMBER(L517))),IFERROR(MOD(L517,1),1)&gt;0,AND(ISNUMBER(L517),OR(L517&lt;0,L517&gt;95))),"Введите целое число от 0 до 95",IF(OR(AND(J517&lt;&gt;"",NOT(ISNUMBER(J517))),IFERROR(MOD(J517,1),1)&gt;0,AND(ISNUMBER(J517),OR(J517&lt;50,J517&gt;20000000))),"Введите целое число от 50 до 20000000",IF(NOT(ABS(IFERROR(VALUE(LEFT(M517,FIND("-",M517)-1)),M517)*100-(5000+2000000000)/2)&lt;=ABS(5000-2000000000)/2),"Цена со скидкой должна быть от 50 до 20000000",IF(IFERROR(VALUE(LEFT(M517,FIND("-",M517)-1)),M517)*229&lt;92700,"Вы уменьшили цену в несколько раз, товар попадет в карантин цен","")))),"")</f>
      </c>
    </row>
    <row r="518">
      <c r="A518" s="2" t="inlineStr">
        <is>
          <t>CuteShop</t>
        </is>
      </c>
      <c r="B518" s="2" t="inlineStr">
        <is>
          <t>Держатели для пустышек</t>
        </is>
      </c>
      <c r="C518" s="2">
        <v>117609416</v>
      </c>
      <c r="D518" s="2" t="inlineStr">
        <is>
          <t>LizaMish1</t>
        </is>
      </c>
      <c r="E518" s="2" t="inlineStr">
        <is>
          <t>2042148263624</t>
        </is>
      </c>
      <c r="F518" s="2">
        <v>0</v>
      </c>
      <c r="G518" s="2">
        <v>1</v>
      </c>
      <c r="H518" s="2">
        <v>17</v>
      </c>
      <c r="I518" s="2" t="inlineStr">
        <is>
          <t>1030</t>
        </is>
      </c>
      <c r="J518" s="4"/>
      <c r="K518" s="2">
        <v>10</v>
      </c>
      <c r="L518" s="6"/>
      <c r="M518" s="2" t="str">
        <f>IF(J518="",ROUND(I518*(1-IF(ISBLANK(L518),K518,L518)/100),2),ROUND(J518*(1-IF(ISBLANK(L518),K518,L518)/100),2))</f>
      </c>
      <c r="N518" s="7" t="str">
        <f>IF(NOT(AND(J518="",L518="")),IF(OR(AND(L518&lt;&gt;"",NOT(ISNUMBER(L518))),IFERROR(MOD(L518,1),1)&gt;0,AND(ISNUMBER(L518),OR(L518&lt;0,L518&gt;95))),"Введите целое число от 0 до 95",IF(OR(AND(J518&lt;&gt;"",NOT(ISNUMBER(J518))),IFERROR(MOD(J518,1),1)&gt;0,AND(ISNUMBER(J518),OR(J518&lt;50,J518&gt;20000000))),"Введите целое число от 50 до 20000000",IF(NOT(ABS(IFERROR(VALUE(LEFT(M518,FIND("-",M518)-1)),M518)*100-(5000+2000000000)/2)&lt;=ABS(5000-2000000000)/2),"Цена со скидкой должна быть от 50 до 20000000",IF(IFERROR(VALUE(LEFT(M518,FIND("-",M518)-1)),M518)*229&lt;92700,"Вы уменьшили цену в несколько раз, товар попадет в карантин цен","")))),"")</f>
      </c>
    </row>
    <row r="519">
      <c r="A519" s="2" t="inlineStr">
        <is>
          <t>CuteShop</t>
        </is>
      </c>
      <c r="B519" s="2" t="inlineStr">
        <is>
          <t>Держатели для пустышек</t>
        </is>
      </c>
      <c r="C519" s="2">
        <v>87721390</v>
      </c>
      <c r="D519" s="2" t="inlineStr">
        <is>
          <t>TimStich</t>
        </is>
      </c>
      <c r="E519" s="2" t="inlineStr">
        <is>
          <t>2034891987629</t>
        </is>
      </c>
      <c r="F519" s="2">
        <v>0</v>
      </c>
      <c r="G519" s="2">
        <v>0</v>
      </c>
      <c r="H519" s="2">
        <v>0</v>
      </c>
      <c r="I519" s="2" t="inlineStr">
        <is>
          <t>1030</t>
        </is>
      </c>
      <c r="J519" s="4"/>
      <c r="K519" s="2">
        <v>10</v>
      </c>
      <c r="L519" s="6"/>
      <c r="M519" s="2" t="str">
        <f>IF(J519="",ROUND(I519*(1-IF(ISBLANK(L519),K519,L519)/100),2),ROUND(J519*(1-IF(ISBLANK(L519),K519,L519)/100),2))</f>
      </c>
      <c r="N519" s="7" t="str">
        <f>IF(NOT(AND(J519="",L519="")),IF(OR(AND(L519&lt;&gt;"",NOT(ISNUMBER(L519))),IFERROR(MOD(L519,1),1)&gt;0,AND(ISNUMBER(L519),OR(L519&lt;0,L519&gt;95))),"Введите целое число от 0 до 95",IF(OR(AND(J519&lt;&gt;"",NOT(ISNUMBER(J519))),IFERROR(MOD(J519,1),1)&gt;0,AND(ISNUMBER(J519),OR(J519&lt;50,J519&gt;20000000))),"Введите целое число от 50 до 20000000",IF(NOT(ABS(IFERROR(VALUE(LEFT(M519,FIND("-",M519)-1)),M519)*100-(5000+2000000000)/2)&lt;=ABS(5000-2000000000)/2),"Цена со скидкой должна быть от 50 до 20000000",IF(IFERROR(VALUE(LEFT(M519,FIND("-",M519)-1)),M519)*229&lt;92700,"Вы уменьшили цену в несколько раз, товар попадет в карантин цен","")))),"")</f>
      </c>
    </row>
    <row r="520">
      <c r="A520" s="2" t="inlineStr">
        <is>
          <t>CuteShop</t>
        </is>
      </c>
      <c r="B520" s="2" t="inlineStr">
        <is>
          <t>Держатели для пустышек</t>
        </is>
      </c>
      <c r="C520" s="2">
        <v>272525008</v>
      </c>
      <c r="D520" s="2" t="inlineStr">
        <is>
          <t>PolinaLama</t>
        </is>
      </c>
      <c r="E520" s="2" t="inlineStr">
        <is>
          <t>2041508056722</t>
        </is>
      </c>
      <c r="F520" s="2">
        <v>0</v>
      </c>
      <c r="G520" s="2">
        <v>0</v>
      </c>
      <c r="H520" s="2" t="inlineStr">
        <is>
          <t/>
        </is>
      </c>
      <c r="I520" s="2" t="inlineStr">
        <is>
          <t>1030</t>
        </is>
      </c>
      <c r="J520" s="4"/>
      <c r="K520" s="2">
        <v>10</v>
      </c>
      <c r="L520" s="6"/>
      <c r="M520" s="2" t="str">
        <f>IF(J520="",ROUND(I520*(1-IF(ISBLANK(L520),K520,L520)/100),2),ROUND(J520*(1-IF(ISBLANK(L520),K520,L520)/100),2))</f>
      </c>
      <c r="N520" s="7" t="str">
        <f>IF(NOT(AND(J520="",L520="")),IF(OR(AND(L520&lt;&gt;"",NOT(ISNUMBER(L520))),IFERROR(MOD(L520,1),1)&gt;0,AND(ISNUMBER(L520),OR(L520&lt;0,L520&gt;95))),"Введите целое число от 0 до 95",IF(OR(AND(J520&lt;&gt;"",NOT(ISNUMBER(J520))),IFERROR(MOD(J520,1),1)&gt;0,AND(ISNUMBER(J520),OR(J520&lt;50,J520&gt;20000000))),"Введите целое число от 50 до 20000000",IF(NOT(ABS(IFERROR(VALUE(LEFT(M520,FIND("-",M520)-1)),M520)*100-(5000+2000000000)/2)&lt;=ABS(5000-2000000000)/2),"Цена со скидкой должна быть от 50 до 20000000",IF(IFERROR(VALUE(LEFT(M520,FIND("-",M520)-1)),M520)*229&lt;92700,"Вы уменьшили цену в несколько раз, товар попадет в карантин цен","")))),"")</f>
      </c>
    </row>
    <row r="521">
      <c r="A521" s="2" t="inlineStr">
        <is>
          <t>CuteShop</t>
        </is>
      </c>
      <c r="B521" s="2" t="inlineStr">
        <is>
          <t>Держатели для пустышек</t>
        </is>
      </c>
      <c r="C521" s="2">
        <v>87458137</v>
      </c>
      <c r="D521" s="2" t="inlineStr">
        <is>
          <t>LizaKot</t>
        </is>
      </c>
      <c r="E521" s="2" t="inlineStr">
        <is>
          <t>2034789699627</t>
        </is>
      </c>
      <c r="F521" s="2">
        <v>0</v>
      </c>
      <c r="G521" s="2">
        <v>0</v>
      </c>
      <c r="H521" s="2">
        <v>0</v>
      </c>
      <c r="I521" s="2" t="inlineStr">
        <is>
          <t>1030</t>
        </is>
      </c>
      <c r="J521" s="4"/>
      <c r="K521" s="2">
        <v>10</v>
      </c>
      <c r="L521" s="6"/>
      <c r="M521" s="2" t="str">
        <f>IF(J521="",ROUND(I521*(1-IF(ISBLANK(L521),K521,L521)/100),2),ROUND(J521*(1-IF(ISBLANK(L521),K521,L521)/100),2))</f>
      </c>
      <c r="N521" s="7" t="str">
        <f>IF(NOT(AND(J521="",L521="")),IF(OR(AND(L521&lt;&gt;"",NOT(ISNUMBER(L521))),IFERROR(MOD(L521,1),1)&gt;0,AND(ISNUMBER(L521),OR(L521&lt;0,L521&gt;95))),"Введите целое число от 0 до 95",IF(OR(AND(J521&lt;&gt;"",NOT(ISNUMBER(J521))),IFERROR(MOD(J521,1),1)&gt;0,AND(ISNUMBER(J521),OR(J521&lt;50,J521&gt;20000000))),"Введите целое число от 50 до 20000000",IF(NOT(ABS(IFERROR(VALUE(LEFT(M521,FIND("-",M521)-1)),M521)*100-(5000+2000000000)/2)&lt;=ABS(5000-2000000000)/2),"Цена со скидкой должна быть от 50 до 20000000",IF(IFERROR(VALUE(LEFT(M521,FIND("-",M521)-1)),M521)*229&lt;92700,"Вы уменьшили цену в несколько раз, товар попадет в карантин цен","")))),"")</f>
      </c>
    </row>
    <row r="522">
      <c r="A522" s="2" t="inlineStr">
        <is>
          <t>CuteShop</t>
        </is>
      </c>
      <c r="B522" s="2" t="inlineStr">
        <is>
          <t>Держатели для пустышек</t>
        </is>
      </c>
      <c r="C522" s="2">
        <v>272963914</v>
      </c>
      <c r="D522" s="2" t="inlineStr">
        <is>
          <t>PolyaEdin</t>
        </is>
      </c>
      <c r="E522" s="2" t="inlineStr">
        <is>
          <t>2041518914708</t>
        </is>
      </c>
      <c r="F522" s="2">
        <v>0</v>
      </c>
      <c r="G522" s="2">
        <v>0</v>
      </c>
      <c r="H522" s="2" t="inlineStr">
        <is>
          <t/>
        </is>
      </c>
      <c r="I522" s="2" t="inlineStr">
        <is>
          <t>1030</t>
        </is>
      </c>
      <c r="J522" s="4"/>
      <c r="K522" s="2">
        <v>10</v>
      </c>
      <c r="L522" s="6"/>
      <c r="M522" s="2" t="str">
        <f>IF(J522="",ROUND(I522*(1-IF(ISBLANK(L522),K522,L522)/100),2),ROUND(J522*(1-IF(ISBLANK(L522),K522,L522)/100),2))</f>
      </c>
      <c r="N522" s="7" t="str">
        <f>IF(NOT(AND(J522="",L522="")),IF(OR(AND(L522&lt;&gt;"",NOT(ISNUMBER(L522))),IFERROR(MOD(L522,1),1)&gt;0,AND(ISNUMBER(L522),OR(L522&lt;0,L522&gt;95))),"Введите целое число от 0 до 95",IF(OR(AND(J522&lt;&gt;"",NOT(ISNUMBER(J522))),IFERROR(MOD(J522,1),1)&gt;0,AND(ISNUMBER(J522),OR(J522&lt;50,J522&gt;20000000))),"Введите целое число от 50 до 20000000",IF(NOT(ABS(IFERROR(VALUE(LEFT(M522,FIND("-",M522)-1)),M522)*100-(5000+2000000000)/2)&lt;=ABS(5000-2000000000)/2),"Цена со скидкой должна быть от 50 до 20000000",IF(IFERROR(VALUE(LEFT(M522,FIND("-",M522)-1)),M522)*229&lt;92700,"Вы уменьшили цену в несколько раз, товар попадет в карантин цен","")))),"")</f>
      </c>
    </row>
    <row r="523">
      <c r="A523" s="2" t="inlineStr">
        <is>
          <t>CuteShop</t>
        </is>
      </c>
      <c r="B523" s="2" t="inlineStr">
        <is>
          <t>Держатели для пустышек</t>
        </is>
      </c>
      <c r="C523" s="2">
        <v>88839062</v>
      </c>
      <c r="D523" s="2" t="inlineStr">
        <is>
          <t>SafiyaBG</t>
        </is>
      </c>
      <c r="E523" s="2" t="inlineStr">
        <is>
          <t>2035432128624</t>
        </is>
      </c>
      <c r="F523" s="2">
        <v>0</v>
      </c>
      <c r="G523" s="2">
        <v>1</v>
      </c>
      <c r="H523" s="2">
        <v>0</v>
      </c>
      <c r="I523" s="2" t="inlineStr">
        <is>
          <t>790</t>
        </is>
      </c>
      <c r="J523" s="4"/>
      <c r="K523" s="2">
        <v>10</v>
      </c>
      <c r="L523" s="6"/>
      <c r="M523" s="2" t="str">
        <f>IF(J523="",ROUND(I523*(1-IF(ISBLANK(L523),K523,L523)/100),2),ROUND(J523*(1-IF(ISBLANK(L523),K523,L523)/100),2))</f>
      </c>
      <c r="N523" s="7" t="str">
        <f>IF(NOT(AND(J523="",L523="")),IF(OR(AND(L523&lt;&gt;"",NOT(ISNUMBER(L523))),IFERROR(MOD(L523,1),1)&gt;0,AND(ISNUMBER(L523),OR(L523&lt;0,L523&gt;95))),"Введите целое число от 0 до 95",IF(OR(AND(J523&lt;&gt;"",NOT(ISNUMBER(J523))),IFERROR(MOD(J523,1),1)&gt;0,AND(ISNUMBER(J523),OR(J523&lt;50,J523&gt;20000000))),"Введите целое число от 50 до 20000000",IF(NOT(ABS(IFERROR(VALUE(LEFT(M523,FIND("-",M523)-1)),M523)*100-(5000+2000000000)/2)&lt;=ABS(5000-2000000000)/2),"Цена со скидкой должна быть от 50 до 20000000",IF(IFERROR(VALUE(LEFT(M523,FIND("-",M523)-1)),M523)*229&lt;71100,"Вы уменьшили цену в несколько раз, товар попадет в карантин цен","")))),"")</f>
      </c>
    </row>
    <row r="524">
      <c r="A524" s="2" t="inlineStr">
        <is>
          <t>CuteShop</t>
        </is>
      </c>
      <c r="B524" s="2" t="inlineStr">
        <is>
          <t>Держатели для пустышек</t>
        </is>
      </c>
      <c r="C524" s="2">
        <v>105656689</v>
      </c>
      <c r="D524" s="2" t="inlineStr">
        <is>
          <t>StepanSob1</t>
        </is>
      </c>
      <c r="E524" s="2" t="inlineStr">
        <is>
          <t>2036887632711</t>
        </is>
      </c>
      <c r="F524" s="2">
        <v>0</v>
      </c>
      <c r="G524" s="2">
        <v>0</v>
      </c>
      <c r="H524" s="2">
        <v>0</v>
      </c>
      <c r="I524" s="2" t="inlineStr">
        <is>
          <t>1030</t>
        </is>
      </c>
      <c r="J524" s="4"/>
      <c r="K524" s="2">
        <v>10</v>
      </c>
      <c r="L524" s="6"/>
      <c r="M524" s="2" t="str">
        <f>IF(J524="",ROUND(I524*(1-IF(ISBLANK(L524),K524,L524)/100),2),ROUND(J524*(1-IF(ISBLANK(L524),K524,L524)/100),2))</f>
      </c>
      <c r="N524" s="7" t="str">
        <f>IF(NOT(AND(J524="",L524="")),IF(OR(AND(L524&lt;&gt;"",NOT(ISNUMBER(L524))),IFERROR(MOD(L524,1),1)&gt;0,AND(ISNUMBER(L524),OR(L524&lt;0,L524&gt;95))),"Введите целое число от 0 до 95",IF(OR(AND(J524&lt;&gt;"",NOT(ISNUMBER(J524))),IFERROR(MOD(J524,1),1)&gt;0,AND(ISNUMBER(J524),OR(J524&lt;50,J524&gt;20000000))),"Введите целое число от 50 до 20000000",IF(NOT(ABS(IFERROR(VALUE(LEFT(M524,FIND("-",M524)-1)),M524)*100-(5000+2000000000)/2)&lt;=ABS(5000-2000000000)/2),"Цена со скидкой должна быть от 50 до 20000000",IF(IFERROR(VALUE(LEFT(M524,FIND("-",M524)-1)),M524)*229&lt;92700,"Вы уменьшили цену в несколько раз, товар попадет в карантин цен","")))),"")</f>
      </c>
    </row>
    <row r="525">
      <c r="A525" s="2" t="inlineStr">
        <is>
          <t>CuteShop</t>
        </is>
      </c>
      <c r="B525" s="2" t="inlineStr">
        <is>
          <t>Держатели для пустышек</t>
        </is>
      </c>
      <c r="C525" s="2">
        <v>87460471</v>
      </c>
      <c r="D525" s="2" t="inlineStr">
        <is>
          <t>SabinaLama</t>
        </is>
      </c>
      <c r="E525" s="2" t="inlineStr">
        <is>
          <t>2034791488622</t>
        </is>
      </c>
      <c r="F525" s="2">
        <v>0</v>
      </c>
      <c r="G525" s="2">
        <v>0</v>
      </c>
      <c r="H525" s="2" t="inlineStr">
        <is>
          <t/>
        </is>
      </c>
      <c r="I525" s="2" t="inlineStr">
        <is>
          <t>1030</t>
        </is>
      </c>
      <c r="J525" s="4"/>
      <c r="K525" s="2">
        <v>10</v>
      </c>
      <c r="L525" s="6"/>
      <c r="M525" s="2" t="str">
        <f>IF(J525="",ROUND(I525*(1-IF(ISBLANK(L525),K525,L525)/100),2),ROUND(J525*(1-IF(ISBLANK(L525),K525,L525)/100),2))</f>
      </c>
      <c r="N525" s="7" t="str">
        <f>IF(NOT(AND(J525="",L525="")),IF(OR(AND(L525&lt;&gt;"",NOT(ISNUMBER(L525))),IFERROR(MOD(L525,1),1)&gt;0,AND(ISNUMBER(L525),OR(L525&lt;0,L525&gt;95))),"Введите целое число от 0 до 95",IF(OR(AND(J525&lt;&gt;"",NOT(ISNUMBER(J525))),IFERROR(MOD(J525,1),1)&gt;0,AND(ISNUMBER(J525),OR(J525&lt;50,J525&gt;20000000))),"Введите целое число от 50 до 20000000",IF(NOT(ABS(IFERROR(VALUE(LEFT(M525,FIND("-",M525)-1)),M525)*100-(5000+2000000000)/2)&lt;=ABS(5000-2000000000)/2),"Цена со скидкой должна быть от 50 до 20000000",IF(IFERROR(VALUE(LEFT(M525,FIND("-",M525)-1)),M525)*229&lt;92700,"Вы уменьшили цену в несколько раз, товар попадет в карантин цен","")))),"")</f>
      </c>
    </row>
    <row r="526">
      <c r="A526" s="2" t="inlineStr">
        <is>
          <t>CuteShop</t>
        </is>
      </c>
      <c r="B526" s="2" t="inlineStr">
        <is>
          <t>Держатели для пустышек</t>
        </is>
      </c>
      <c r="C526" s="2">
        <v>87469382</v>
      </c>
      <c r="D526" s="2" t="inlineStr">
        <is>
          <t>AdamBG</t>
        </is>
      </c>
      <c r="E526" s="2" t="inlineStr">
        <is>
          <t>2034796212628</t>
        </is>
      </c>
      <c r="F526" s="2">
        <v>0</v>
      </c>
      <c r="G526" s="2">
        <v>1</v>
      </c>
      <c r="H526" s="2">
        <v>0</v>
      </c>
      <c r="I526" s="2" t="inlineStr">
        <is>
          <t>790</t>
        </is>
      </c>
      <c r="J526" s="4"/>
      <c r="K526" s="2">
        <v>10</v>
      </c>
      <c r="L526" s="6"/>
      <c r="M526" s="2" t="str">
        <f>IF(J526="",ROUND(I526*(1-IF(ISBLANK(L526),K526,L526)/100),2),ROUND(J526*(1-IF(ISBLANK(L526),K526,L526)/100),2))</f>
      </c>
      <c r="N526" s="7" t="str">
        <f>IF(NOT(AND(J526="",L526="")),IF(OR(AND(L526&lt;&gt;"",NOT(ISNUMBER(L526))),IFERROR(MOD(L526,1),1)&gt;0,AND(ISNUMBER(L526),OR(L526&lt;0,L526&gt;95))),"Введите целое число от 0 до 95",IF(OR(AND(J526&lt;&gt;"",NOT(ISNUMBER(J526))),IFERROR(MOD(J526,1),1)&gt;0,AND(ISNUMBER(J526),OR(J526&lt;50,J526&gt;20000000))),"Введите целое число от 50 до 20000000",IF(NOT(ABS(IFERROR(VALUE(LEFT(M526,FIND("-",M526)-1)),M526)*100-(5000+2000000000)/2)&lt;=ABS(5000-2000000000)/2),"Цена со скидкой должна быть от 50 до 20000000",IF(IFERROR(VALUE(LEFT(M526,FIND("-",M526)-1)),M526)*229&lt;71100,"Вы уменьшили цену в несколько раз, товар попадет в карантин цен","")))),"")</f>
      </c>
    </row>
    <row r="527">
      <c r="A527" s="2" t="inlineStr">
        <is>
          <t>CuteShop</t>
        </is>
      </c>
      <c r="B527" s="2" t="inlineStr">
        <is>
          <t>Держатели для пустышек</t>
        </is>
      </c>
      <c r="C527" s="2">
        <v>89002882</v>
      </c>
      <c r="D527" s="2" t="inlineStr">
        <is>
          <t>TimurOlen</t>
        </is>
      </c>
      <c r="E527" s="2" t="inlineStr">
        <is>
          <t>2035646441625</t>
        </is>
      </c>
      <c r="F527" s="2">
        <v>0</v>
      </c>
      <c r="G527" s="2">
        <v>0</v>
      </c>
      <c r="H527" s="2" t="inlineStr">
        <is>
          <t/>
        </is>
      </c>
      <c r="I527" s="2" t="inlineStr">
        <is>
          <t>1030</t>
        </is>
      </c>
      <c r="J527" s="4"/>
      <c r="K527" s="2">
        <v>10</v>
      </c>
      <c r="L527" s="6"/>
      <c r="M527" s="2" t="str">
        <f>IF(J527="",ROUND(I527*(1-IF(ISBLANK(L527),K527,L527)/100),2),ROUND(J527*(1-IF(ISBLANK(L527),K527,L527)/100),2))</f>
      </c>
      <c r="N527" s="7" t="str">
        <f>IF(NOT(AND(J527="",L527="")),IF(OR(AND(L527&lt;&gt;"",NOT(ISNUMBER(L527))),IFERROR(MOD(L527,1),1)&gt;0,AND(ISNUMBER(L527),OR(L527&lt;0,L527&gt;95))),"Введите целое число от 0 до 95",IF(OR(AND(J527&lt;&gt;"",NOT(ISNUMBER(J527))),IFERROR(MOD(J527,1),1)&gt;0,AND(ISNUMBER(J527),OR(J527&lt;50,J527&gt;20000000))),"Введите целое число от 50 до 20000000",IF(NOT(ABS(IFERROR(VALUE(LEFT(M527,FIND("-",M527)-1)),M527)*100-(5000+2000000000)/2)&lt;=ABS(5000-2000000000)/2),"Цена со скидкой должна быть от 50 до 20000000",IF(IFERROR(VALUE(LEFT(M527,FIND("-",M527)-1)),M527)*229&lt;92700,"Вы уменьшили цену в несколько раз, товар попадет в карантин цен","")))),"")</f>
      </c>
    </row>
    <row r="528">
      <c r="A528" s="2" t="inlineStr">
        <is>
          <t>CuteShop</t>
        </is>
      </c>
      <c r="B528" s="2" t="inlineStr">
        <is>
          <t>Держатели для пустышек</t>
        </is>
      </c>
      <c r="C528" s="2">
        <v>275630730</v>
      </c>
      <c r="D528" s="2" t="inlineStr">
        <is>
          <t>Derzh-Nab2</t>
        </is>
      </c>
      <c r="E528" s="2" t="inlineStr">
        <is>
          <t>2041601064716</t>
        </is>
      </c>
      <c r="F528" s="2">
        <v>0</v>
      </c>
      <c r="G528" s="2">
        <v>1</v>
      </c>
      <c r="H528" s="2" t="inlineStr">
        <is>
          <t/>
        </is>
      </c>
      <c r="I528" s="2" t="inlineStr">
        <is>
          <t>580</t>
        </is>
      </c>
      <c r="J528" s="4"/>
      <c r="K528" s="2">
        <v>10</v>
      </c>
      <c r="L528" s="6"/>
      <c r="M528" s="2" t="str">
        <f>IF(J528="",ROUND(I528*(1-IF(ISBLANK(L528),K528,L528)/100),2),ROUND(J528*(1-IF(ISBLANK(L528),K528,L528)/100),2))</f>
      </c>
      <c r="N528" s="7" t="str">
        <f>IF(NOT(AND(J528="",L528="")),IF(OR(AND(L528&lt;&gt;"",NOT(ISNUMBER(L528))),IFERROR(MOD(L528,1),1)&gt;0,AND(ISNUMBER(L528),OR(L528&lt;0,L528&gt;95))),"Введите целое число от 0 до 95",IF(OR(AND(J528&lt;&gt;"",NOT(ISNUMBER(J528))),IFERROR(MOD(J528,1),1)&gt;0,AND(ISNUMBER(J528),OR(J528&lt;50,J528&gt;20000000))),"Введите целое число от 50 до 20000000",IF(NOT(ABS(IFERROR(VALUE(LEFT(M528,FIND("-",M528)-1)),M528)*100-(5000+2000000000)/2)&lt;=ABS(5000-2000000000)/2),"Цена со скидкой должна быть от 50 до 20000000",IF(IFERROR(VALUE(LEFT(M528,FIND("-",M528)-1)),M528)*229&lt;52200,"Вы уменьшили цену в несколько раз, товар попадет в карантин цен","")))),"")</f>
      </c>
    </row>
    <row r="529">
      <c r="A529" s="2" t="inlineStr">
        <is>
          <t>CuteShop</t>
        </is>
      </c>
      <c r="B529" s="2" t="inlineStr">
        <is>
          <t>Держатели для пустышек</t>
        </is>
      </c>
      <c r="C529" s="2">
        <v>88835038</v>
      </c>
      <c r="D529" s="2" t="inlineStr">
        <is>
          <t>MiraBG</t>
        </is>
      </c>
      <c r="E529" s="2" t="inlineStr">
        <is>
          <t>2035428649621</t>
        </is>
      </c>
      <c r="F529" s="2">
        <v>0</v>
      </c>
      <c r="G529" s="2">
        <v>1</v>
      </c>
      <c r="H529" s="2">
        <v>0</v>
      </c>
      <c r="I529" s="2" t="inlineStr">
        <is>
          <t>790</t>
        </is>
      </c>
      <c r="J529" s="4"/>
      <c r="K529" s="2">
        <v>10</v>
      </c>
      <c r="L529" s="6"/>
      <c r="M529" s="2" t="str">
        <f>IF(J529="",ROUND(I529*(1-IF(ISBLANK(L529),K529,L529)/100),2),ROUND(J529*(1-IF(ISBLANK(L529),K529,L529)/100),2))</f>
      </c>
      <c r="N529" s="7" t="str">
        <f>IF(NOT(AND(J529="",L529="")),IF(OR(AND(L529&lt;&gt;"",NOT(ISNUMBER(L529))),IFERROR(MOD(L529,1),1)&gt;0,AND(ISNUMBER(L529),OR(L529&lt;0,L529&gt;95))),"Введите целое число от 0 до 95",IF(OR(AND(J529&lt;&gt;"",NOT(ISNUMBER(J529))),IFERROR(MOD(J529,1),1)&gt;0,AND(ISNUMBER(J529),OR(J529&lt;50,J529&gt;20000000))),"Введите целое число от 50 до 20000000",IF(NOT(ABS(IFERROR(VALUE(LEFT(M529,FIND("-",M529)-1)),M529)*100-(5000+2000000000)/2)&lt;=ABS(5000-2000000000)/2),"Цена со скидкой должна быть от 50 до 20000000",IF(IFERROR(VALUE(LEFT(M529,FIND("-",M529)-1)),M529)*229&lt;71100,"Вы уменьшили цену в несколько раз, товар попадет в карантин цен","")))),"")</f>
      </c>
    </row>
    <row r="530">
      <c r="A530" s="2" t="inlineStr">
        <is>
          <t>CuteShop</t>
        </is>
      </c>
      <c r="B530" s="2" t="inlineStr">
        <is>
          <t>Держатели для пустышек</t>
        </is>
      </c>
      <c r="C530" s="2">
        <v>87469386</v>
      </c>
      <c r="D530" s="2" t="inlineStr">
        <is>
          <t>AdamMishGol</t>
        </is>
      </c>
      <c r="E530" s="2" t="inlineStr">
        <is>
          <t>2034796614620</t>
        </is>
      </c>
      <c r="F530" s="2">
        <v>0</v>
      </c>
      <c r="G530" s="2">
        <v>1</v>
      </c>
      <c r="H530" s="2">
        <v>0</v>
      </c>
      <c r="I530" s="2" t="inlineStr">
        <is>
          <t>1030</t>
        </is>
      </c>
      <c r="J530" s="4"/>
      <c r="K530" s="2">
        <v>10</v>
      </c>
      <c r="L530" s="6"/>
      <c r="M530" s="2" t="str">
        <f>IF(J530="",ROUND(I530*(1-IF(ISBLANK(L530),K530,L530)/100),2),ROUND(J530*(1-IF(ISBLANK(L530),K530,L530)/100),2))</f>
      </c>
      <c r="N530" s="7" t="str">
        <f>IF(NOT(AND(J530="",L530="")),IF(OR(AND(L530&lt;&gt;"",NOT(ISNUMBER(L530))),IFERROR(MOD(L530,1),1)&gt;0,AND(ISNUMBER(L530),OR(L530&lt;0,L530&gt;95))),"Введите целое число от 0 до 95",IF(OR(AND(J530&lt;&gt;"",NOT(ISNUMBER(J530))),IFERROR(MOD(J530,1),1)&gt;0,AND(ISNUMBER(J530),OR(J530&lt;50,J530&gt;20000000))),"Введите целое число от 50 до 20000000",IF(NOT(ABS(IFERROR(VALUE(LEFT(M530,FIND("-",M530)-1)),M530)*100-(5000+2000000000)/2)&lt;=ABS(5000-2000000000)/2),"Цена со скидкой должна быть от 50 до 20000000",IF(IFERROR(VALUE(LEFT(M530,FIND("-",M530)-1)),M530)*229&lt;92700,"Вы уменьшили цену в несколько раз, товар попадет в карантин цен","")))),"")</f>
      </c>
    </row>
    <row r="531">
      <c r="A531" s="2" t="inlineStr">
        <is>
          <t>CuteShop</t>
        </is>
      </c>
      <c r="B531" s="2" t="inlineStr">
        <is>
          <t>Держатели для пустышек</t>
        </is>
      </c>
      <c r="C531" s="2">
        <v>111020756</v>
      </c>
      <c r="D531" s="2" t="inlineStr">
        <is>
          <t>EseniyaBG</t>
        </is>
      </c>
      <c r="E531" s="2" t="inlineStr">
        <is>
          <t>2037436010622</t>
        </is>
      </c>
      <c r="F531" s="2">
        <v>0</v>
      </c>
      <c r="G531" s="2">
        <v>1</v>
      </c>
      <c r="H531" s="2">
        <v>1</v>
      </c>
      <c r="I531" s="2" t="inlineStr">
        <is>
          <t>790</t>
        </is>
      </c>
      <c r="J531" s="4"/>
      <c r="K531" s="2">
        <v>10</v>
      </c>
      <c r="L531" s="6"/>
      <c r="M531" s="2" t="str">
        <f>IF(J531="",ROUND(I531*(1-IF(ISBLANK(L531),K531,L531)/100),2),ROUND(J531*(1-IF(ISBLANK(L531),K531,L531)/100),2))</f>
      </c>
      <c r="N531" s="7" t="str">
        <f>IF(NOT(AND(J531="",L531="")),IF(OR(AND(L531&lt;&gt;"",NOT(ISNUMBER(L531))),IFERROR(MOD(L531,1),1)&gt;0,AND(ISNUMBER(L531),OR(L531&lt;0,L531&gt;95))),"Введите целое число от 0 до 95",IF(OR(AND(J531&lt;&gt;"",NOT(ISNUMBER(J531))),IFERROR(MOD(J531,1),1)&gt;0,AND(ISNUMBER(J531),OR(J531&lt;50,J531&gt;20000000))),"Введите целое число от 50 до 20000000",IF(NOT(ABS(IFERROR(VALUE(LEFT(M531,FIND("-",M531)-1)),M531)*100-(5000+2000000000)/2)&lt;=ABS(5000-2000000000)/2),"Цена со скидкой должна быть от 50 до 20000000",IF(IFERROR(VALUE(LEFT(M531,FIND("-",M531)-1)),M531)*229&lt;71100,"Вы уменьшили цену в несколько раз, товар попадет в карантин цен","")))),"")</f>
      </c>
    </row>
    <row r="532">
      <c r="A532" s="2" t="inlineStr">
        <is>
          <t>CuteShop</t>
        </is>
      </c>
      <c r="B532" s="2" t="inlineStr">
        <is>
          <t>Держатели для пустышек</t>
        </is>
      </c>
      <c r="C532" s="2">
        <v>87469383</v>
      </c>
      <c r="D532" s="2" t="inlineStr">
        <is>
          <t>AdamKoalaGol</t>
        </is>
      </c>
      <c r="E532" s="2" t="inlineStr">
        <is>
          <t>2034796490620</t>
        </is>
      </c>
      <c r="F532" s="2">
        <v>0</v>
      </c>
      <c r="G532" s="2">
        <v>0</v>
      </c>
      <c r="H532" s="2" t="inlineStr">
        <is>
          <t/>
        </is>
      </c>
      <c r="I532" s="2" t="inlineStr">
        <is>
          <t>1030</t>
        </is>
      </c>
      <c r="J532" s="4"/>
      <c r="K532" s="2">
        <v>10</v>
      </c>
      <c r="L532" s="6"/>
      <c r="M532" s="2" t="str">
        <f>IF(J532="",ROUND(I532*(1-IF(ISBLANK(L532),K532,L532)/100),2),ROUND(J532*(1-IF(ISBLANK(L532),K532,L532)/100),2))</f>
      </c>
      <c r="N532" s="7" t="str">
        <f>IF(NOT(AND(J532="",L532="")),IF(OR(AND(L532&lt;&gt;"",NOT(ISNUMBER(L532))),IFERROR(MOD(L532,1),1)&gt;0,AND(ISNUMBER(L532),OR(L532&lt;0,L532&gt;95))),"Введите целое число от 0 до 95",IF(OR(AND(J532&lt;&gt;"",NOT(ISNUMBER(J532))),IFERROR(MOD(J532,1),1)&gt;0,AND(ISNUMBER(J532),OR(J532&lt;50,J532&gt;20000000))),"Введите целое число от 50 до 20000000",IF(NOT(ABS(IFERROR(VALUE(LEFT(M532,FIND("-",M532)-1)),M532)*100-(5000+2000000000)/2)&lt;=ABS(5000-2000000000)/2),"Цена со скидкой должна быть от 50 до 20000000",IF(IFERROR(VALUE(LEFT(M532,FIND("-",M532)-1)),M532)*229&lt;92700,"Вы уменьшили цену в несколько раз, товар попадет в карантин цен","")))),"")</f>
      </c>
    </row>
    <row r="533">
      <c r="A533" s="2" t="inlineStr">
        <is>
          <t>CuteShop</t>
        </is>
      </c>
      <c r="B533" s="2" t="inlineStr">
        <is>
          <t>Держатели для пустышек</t>
        </is>
      </c>
      <c r="C533" s="2">
        <v>111020759</v>
      </c>
      <c r="D533" s="2" t="inlineStr">
        <is>
          <t>EseniyaZayBlue</t>
        </is>
      </c>
      <c r="E533" s="2" t="inlineStr">
        <is>
          <t>2037436389629</t>
        </is>
      </c>
      <c r="F533" s="2">
        <v>0</v>
      </c>
      <c r="G533" s="2">
        <v>1</v>
      </c>
      <c r="H533" s="2">
        <v>1</v>
      </c>
      <c r="I533" s="2" t="inlineStr">
        <is>
          <t>1030</t>
        </is>
      </c>
      <c r="J533" s="4"/>
      <c r="K533" s="2">
        <v>10</v>
      </c>
      <c r="L533" s="6"/>
      <c r="M533" s="2" t="str">
        <f>IF(J533="",ROUND(I533*(1-IF(ISBLANK(L533),K533,L533)/100),2),ROUND(J533*(1-IF(ISBLANK(L533),K533,L533)/100),2))</f>
      </c>
      <c r="N533" s="7" t="str">
        <f>IF(NOT(AND(J533="",L533="")),IF(OR(AND(L533&lt;&gt;"",NOT(ISNUMBER(L533))),IFERROR(MOD(L533,1),1)&gt;0,AND(ISNUMBER(L533),OR(L533&lt;0,L533&gt;95))),"Введите целое число от 0 до 95",IF(OR(AND(J533&lt;&gt;"",NOT(ISNUMBER(J533))),IFERROR(MOD(J533,1),1)&gt;0,AND(ISNUMBER(J533),OR(J533&lt;50,J533&gt;20000000))),"Введите целое число от 50 до 20000000",IF(NOT(ABS(IFERROR(VALUE(LEFT(M533,FIND("-",M533)-1)),M533)*100-(5000+2000000000)/2)&lt;=ABS(5000-2000000000)/2),"Цена со скидкой должна быть от 50 до 20000000",IF(IFERROR(VALUE(LEFT(M533,FIND("-",M533)-1)),M533)*229&lt;92700,"Вы уменьшили цену в несколько раз, товар попадет в карантин цен","")))),"")</f>
      </c>
    </row>
    <row r="534">
      <c r="A534" s="2" t="inlineStr">
        <is>
          <t>CuteShop</t>
        </is>
      </c>
      <c r="B534" s="2" t="inlineStr">
        <is>
          <t>Держатели для пустышек</t>
        </is>
      </c>
      <c r="C534" s="2">
        <v>110532865</v>
      </c>
      <c r="D534" s="2" t="inlineStr">
        <is>
          <t>MilenaYellowZhiraf</t>
        </is>
      </c>
      <c r="E534" s="2" t="inlineStr">
        <is>
          <t>2036786697620</t>
        </is>
      </c>
      <c r="F534" s="2">
        <v>0</v>
      </c>
      <c r="G534" s="2">
        <v>0</v>
      </c>
      <c r="H534" s="2">
        <v>0</v>
      </c>
      <c r="I534" s="2" t="inlineStr">
        <is>
          <t>1030</t>
        </is>
      </c>
      <c r="J534" s="4"/>
      <c r="K534" s="2">
        <v>10</v>
      </c>
      <c r="L534" s="6"/>
      <c r="M534" s="2" t="str">
        <f>IF(J534="",ROUND(I534*(1-IF(ISBLANK(L534),K534,L534)/100),2),ROUND(J534*(1-IF(ISBLANK(L534),K534,L534)/100),2))</f>
      </c>
      <c r="N534" s="7" t="str">
        <f>IF(NOT(AND(J534="",L534="")),IF(OR(AND(L534&lt;&gt;"",NOT(ISNUMBER(L534))),IFERROR(MOD(L534,1),1)&gt;0,AND(ISNUMBER(L534),OR(L534&lt;0,L534&gt;95))),"Введите целое число от 0 до 95",IF(OR(AND(J534&lt;&gt;"",NOT(ISNUMBER(J534))),IFERROR(MOD(J534,1),1)&gt;0,AND(ISNUMBER(J534),OR(J534&lt;50,J534&gt;20000000))),"Введите целое число от 50 до 20000000",IF(NOT(ABS(IFERROR(VALUE(LEFT(M534,FIND("-",M534)-1)),M534)*100-(5000+2000000000)/2)&lt;=ABS(5000-2000000000)/2),"Цена со скидкой должна быть от 50 до 20000000",IF(IFERROR(VALUE(LEFT(M534,FIND("-",M534)-1)),M534)*229&lt;92700,"Вы уменьшили цену в несколько раз, товар попадет в карантин цен","")))),"")</f>
      </c>
    </row>
    <row r="535">
      <c r="A535" s="2" t="inlineStr">
        <is>
          <t>CuteShop</t>
        </is>
      </c>
      <c r="B535" s="2" t="inlineStr">
        <is>
          <t>Держатели для пустышек</t>
        </is>
      </c>
      <c r="C535" s="2">
        <v>117637849</v>
      </c>
      <c r="D535" s="2" t="inlineStr">
        <is>
          <t>KsyushaKsenBG</t>
        </is>
      </c>
      <c r="E535" s="2" t="inlineStr">
        <is>
          <t>2042164233625</t>
        </is>
      </c>
      <c r="F535" s="2">
        <v>0</v>
      </c>
      <c r="G535" s="2">
        <v>1</v>
      </c>
      <c r="H535" s="2">
        <v>0</v>
      </c>
      <c r="I535" s="2" t="inlineStr">
        <is>
          <t>790</t>
        </is>
      </c>
      <c r="J535" s="4"/>
      <c r="K535" s="2">
        <v>10</v>
      </c>
      <c r="L535" s="6"/>
      <c r="M535" s="2" t="str">
        <f>IF(J535="",ROUND(I535*(1-IF(ISBLANK(L535),K535,L535)/100),2),ROUND(J535*(1-IF(ISBLANK(L535),K535,L535)/100),2))</f>
      </c>
      <c r="N535" s="7" t="str">
        <f>IF(NOT(AND(J535="",L535="")),IF(OR(AND(L535&lt;&gt;"",NOT(ISNUMBER(L535))),IFERROR(MOD(L535,1),1)&gt;0,AND(ISNUMBER(L535),OR(L535&lt;0,L535&gt;95))),"Введите целое число от 0 до 95",IF(OR(AND(J535&lt;&gt;"",NOT(ISNUMBER(J535))),IFERROR(MOD(J535,1),1)&gt;0,AND(ISNUMBER(J535),OR(J535&lt;50,J535&gt;20000000))),"Введите целое число от 50 до 20000000",IF(NOT(ABS(IFERROR(VALUE(LEFT(M535,FIND("-",M535)-1)),M535)*100-(5000+2000000000)/2)&lt;=ABS(5000-2000000000)/2),"Цена со скидкой должна быть от 50 до 20000000",IF(IFERROR(VALUE(LEFT(M535,FIND("-",M535)-1)),M535)*229&lt;71100,"Вы уменьшили цену в несколько раз, товар попадет в карантин цен","")))),"")</f>
      </c>
    </row>
    <row r="536">
      <c r="A536" s="2" t="inlineStr">
        <is>
          <t>CuteShop</t>
        </is>
      </c>
      <c r="B536" s="2" t="inlineStr">
        <is>
          <t>Держатели для пустышек</t>
        </is>
      </c>
      <c r="C536" s="2">
        <v>314686821</v>
      </c>
      <c r="D536" s="2" t="inlineStr">
        <is>
          <t>EgorKit</t>
        </is>
      </c>
      <c r="E536" s="2" t="inlineStr">
        <is>
          <t>2042539349241</t>
        </is>
      </c>
      <c r="F536" s="2">
        <v>0</v>
      </c>
      <c r="G536" s="2">
        <v>0</v>
      </c>
      <c r="H536" s="2" t="inlineStr">
        <is>
          <t/>
        </is>
      </c>
      <c r="I536" s="2" t="inlineStr">
        <is>
          <t>1030</t>
        </is>
      </c>
      <c r="J536" s="4"/>
      <c r="K536" s="2">
        <v>10</v>
      </c>
      <c r="L536" s="6"/>
      <c r="M536" s="2" t="str">
        <f>IF(J536="",ROUND(I536*(1-IF(ISBLANK(L536),K536,L536)/100),2),ROUND(J536*(1-IF(ISBLANK(L536),K536,L536)/100),2))</f>
      </c>
      <c r="N536" s="7" t="str">
        <f>IF(NOT(AND(J536="",L536="")),IF(OR(AND(L536&lt;&gt;"",NOT(ISNUMBER(L536))),IFERROR(MOD(L536,1),1)&gt;0,AND(ISNUMBER(L536),OR(L536&lt;0,L536&gt;95))),"Введите целое число от 0 до 95",IF(OR(AND(J536&lt;&gt;"",NOT(ISNUMBER(J536))),IFERROR(MOD(J536,1),1)&gt;0,AND(ISNUMBER(J536),OR(J536&lt;50,J536&gt;20000000))),"Введите целое число от 50 до 20000000",IF(NOT(ABS(IFERROR(VALUE(LEFT(M536,FIND("-",M536)-1)),M536)*100-(5000+2000000000)/2)&lt;=ABS(5000-2000000000)/2),"Цена со скидкой должна быть от 50 до 20000000",IF(IFERROR(VALUE(LEFT(M536,FIND("-",M536)-1)),M536)*229&lt;92700,"Вы уменьшили цену в несколько раз, товар попадет в карантин цен","")))),"")</f>
      </c>
    </row>
    <row r="537">
      <c r="A537" s="2" t="inlineStr">
        <is>
          <t>CuteShop</t>
        </is>
      </c>
      <c r="B537" s="2" t="inlineStr">
        <is>
          <t>Держатели для пустышек</t>
        </is>
      </c>
      <c r="C537" s="2">
        <v>117638709</v>
      </c>
      <c r="D537" s="2" t="inlineStr">
        <is>
          <t>VeronikaEdin</t>
        </is>
      </c>
      <c r="E537" s="2" t="inlineStr">
        <is>
          <t>2042165188627</t>
        </is>
      </c>
      <c r="F537" s="2">
        <v>0</v>
      </c>
      <c r="G537" s="2">
        <v>0</v>
      </c>
      <c r="H537" s="2">
        <v>0</v>
      </c>
      <c r="I537" s="2" t="inlineStr">
        <is>
          <t>1030</t>
        </is>
      </c>
      <c r="J537" s="4"/>
      <c r="K537" s="2">
        <v>10</v>
      </c>
      <c r="L537" s="6"/>
      <c r="M537" s="2" t="str">
        <f>IF(J537="",ROUND(I537*(1-IF(ISBLANK(L537),K537,L537)/100),2),ROUND(J537*(1-IF(ISBLANK(L537),K537,L537)/100),2))</f>
      </c>
      <c r="N537" s="7" t="str">
        <f>IF(NOT(AND(J537="",L537="")),IF(OR(AND(L537&lt;&gt;"",NOT(ISNUMBER(L537))),IFERROR(MOD(L537,1),1)&gt;0,AND(ISNUMBER(L537),OR(L537&lt;0,L537&gt;95))),"Введите целое число от 0 до 95",IF(OR(AND(J537&lt;&gt;"",NOT(ISNUMBER(J537))),IFERROR(MOD(J537,1),1)&gt;0,AND(ISNUMBER(J537),OR(J537&lt;50,J537&gt;20000000))),"Введите целое число от 50 до 20000000",IF(NOT(ABS(IFERROR(VALUE(LEFT(M537,FIND("-",M537)-1)),M537)*100-(5000+2000000000)/2)&lt;=ABS(5000-2000000000)/2),"Цена со скидкой должна быть от 50 до 20000000",IF(IFERROR(VALUE(LEFT(M537,FIND("-",M537)-1)),M537)*229&lt;92700,"Вы уменьшили цену в несколько раз, товар попадет в карантин цен","")))),"")</f>
      </c>
    </row>
    <row r="538">
      <c r="A538" s="2" t="inlineStr">
        <is>
          <t>CuteShop</t>
        </is>
      </c>
      <c r="B538" s="2" t="inlineStr">
        <is>
          <t>Держатели для пустышек</t>
        </is>
      </c>
      <c r="C538" s="2">
        <v>111023783</v>
      </c>
      <c r="D538" s="2" t="inlineStr">
        <is>
          <t>EvochkaBG</t>
        </is>
      </c>
      <c r="E538" s="2" t="inlineStr">
        <is>
          <t>2037449591620</t>
        </is>
      </c>
      <c r="F538" s="2">
        <v>0</v>
      </c>
      <c r="G538" s="2">
        <v>1</v>
      </c>
      <c r="H538" s="2">
        <v>0</v>
      </c>
      <c r="I538" s="2" t="inlineStr">
        <is>
          <t>790</t>
        </is>
      </c>
      <c r="J538" s="4"/>
      <c r="K538" s="2">
        <v>10</v>
      </c>
      <c r="L538" s="6"/>
      <c r="M538" s="2" t="str">
        <f>IF(J538="",ROUND(I538*(1-IF(ISBLANK(L538),K538,L538)/100),2),ROUND(J538*(1-IF(ISBLANK(L538),K538,L538)/100),2))</f>
      </c>
      <c r="N538" s="7" t="str">
        <f>IF(NOT(AND(J538="",L538="")),IF(OR(AND(L538&lt;&gt;"",NOT(ISNUMBER(L538))),IFERROR(MOD(L538,1),1)&gt;0,AND(ISNUMBER(L538),OR(L538&lt;0,L538&gt;95))),"Введите целое число от 0 до 95",IF(OR(AND(J538&lt;&gt;"",NOT(ISNUMBER(J538))),IFERROR(MOD(J538,1),1)&gt;0,AND(ISNUMBER(J538),OR(J538&lt;50,J538&gt;20000000))),"Введите целое число от 50 до 20000000",IF(NOT(ABS(IFERROR(VALUE(LEFT(M538,FIND("-",M538)-1)),M538)*100-(5000+2000000000)/2)&lt;=ABS(5000-2000000000)/2),"Цена со скидкой должна быть от 50 до 20000000",IF(IFERROR(VALUE(LEFT(M538,FIND("-",M538)-1)),M538)*229&lt;71100,"Вы уменьшили цену в несколько раз, товар попадет в карантин цен","")))),"")</f>
      </c>
    </row>
    <row r="539">
      <c r="A539" s="2" t="inlineStr">
        <is>
          <t>CuteShop</t>
        </is>
      </c>
      <c r="B539" s="2" t="inlineStr">
        <is>
          <t>Держатели для пустышек</t>
        </is>
      </c>
      <c r="C539" s="2">
        <v>117637852</v>
      </c>
      <c r="D539" s="2" t="inlineStr">
        <is>
          <t>KsyushaKsenZayPink</t>
        </is>
      </c>
      <c r="E539" s="2" t="inlineStr">
        <is>
          <t>2042164401628</t>
        </is>
      </c>
      <c r="F539" s="2">
        <v>0</v>
      </c>
      <c r="G539" s="2">
        <v>1</v>
      </c>
      <c r="H539" s="2">
        <v>0</v>
      </c>
      <c r="I539" s="2" t="inlineStr">
        <is>
          <t>1030</t>
        </is>
      </c>
      <c r="J539" s="4"/>
      <c r="K539" s="2">
        <v>10</v>
      </c>
      <c r="L539" s="6"/>
      <c r="M539" s="2" t="str">
        <f>IF(J539="",ROUND(I539*(1-IF(ISBLANK(L539),K539,L539)/100),2),ROUND(J539*(1-IF(ISBLANK(L539),K539,L539)/100),2))</f>
      </c>
      <c r="N539" s="7" t="str">
        <f>IF(NOT(AND(J539="",L539="")),IF(OR(AND(L539&lt;&gt;"",NOT(ISNUMBER(L539))),IFERROR(MOD(L539,1),1)&gt;0,AND(ISNUMBER(L539),OR(L539&lt;0,L539&gt;95))),"Введите целое число от 0 до 95",IF(OR(AND(J539&lt;&gt;"",NOT(ISNUMBER(J539))),IFERROR(MOD(J539,1),1)&gt;0,AND(ISNUMBER(J539),OR(J539&lt;50,J539&gt;20000000))),"Введите целое число от 50 до 20000000",IF(NOT(ABS(IFERROR(VALUE(LEFT(M539,FIND("-",M539)-1)),M539)*100-(5000+2000000000)/2)&lt;=ABS(5000-2000000000)/2),"Цена со скидкой должна быть от 50 до 20000000",IF(IFERROR(VALUE(LEFT(M539,FIND("-",M539)-1)),M539)*229&lt;92700,"Вы уменьшили цену в несколько раз, товар попадет в карантин цен","")))),"")</f>
      </c>
    </row>
    <row r="540">
      <c r="A540" s="2" t="inlineStr">
        <is>
          <t>CuteShop</t>
        </is>
      </c>
      <c r="B540" s="2" t="inlineStr">
        <is>
          <t>Держатели для пустышек</t>
        </is>
      </c>
      <c r="C540" s="2">
        <v>111032311</v>
      </c>
      <c r="D540" s="2" t="inlineStr">
        <is>
          <t>VasilisaLis</t>
        </is>
      </c>
      <c r="E540" s="2" t="inlineStr">
        <is>
          <t>2037466352624</t>
        </is>
      </c>
      <c r="F540" s="2">
        <v>0</v>
      </c>
      <c r="G540" s="2">
        <v>0</v>
      </c>
      <c r="H540" s="2">
        <v>1</v>
      </c>
      <c r="I540" s="2" t="inlineStr">
        <is>
          <t>1030</t>
        </is>
      </c>
      <c r="J540" s="4"/>
      <c r="K540" s="2">
        <v>10</v>
      </c>
      <c r="L540" s="6"/>
      <c r="M540" s="2" t="str">
        <f>IF(J540="",ROUND(I540*(1-IF(ISBLANK(L540),K540,L540)/100),2),ROUND(J540*(1-IF(ISBLANK(L540),K540,L540)/100),2))</f>
      </c>
      <c r="N540" s="7" t="str">
        <f>IF(NOT(AND(J540="",L540="")),IF(OR(AND(L540&lt;&gt;"",NOT(ISNUMBER(L540))),IFERROR(MOD(L540,1),1)&gt;0,AND(ISNUMBER(L540),OR(L540&lt;0,L540&gt;95))),"Введите целое число от 0 до 95",IF(OR(AND(J540&lt;&gt;"",NOT(ISNUMBER(J540))),IFERROR(MOD(J540,1),1)&gt;0,AND(ISNUMBER(J540),OR(J540&lt;50,J540&gt;20000000))),"Введите целое число от 50 до 20000000",IF(NOT(ABS(IFERROR(VALUE(LEFT(M540,FIND("-",M540)-1)),M540)*100-(5000+2000000000)/2)&lt;=ABS(5000-2000000000)/2),"Цена со скидкой должна быть от 50 до 20000000",IF(IFERROR(VALUE(LEFT(M540,FIND("-",M540)-1)),M540)*229&lt;92700,"Вы уменьшили цену в несколько раз, товар попадет в карантин цен","")))),"")</f>
      </c>
    </row>
    <row r="541">
      <c r="A541" s="2" t="inlineStr">
        <is>
          <t>CuteShop</t>
        </is>
      </c>
      <c r="B541" s="2" t="inlineStr">
        <is>
          <t>Держатели для пустышек</t>
        </is>
      </c>
      <c r="C541" s="2">
        <v>103205076</v>
      </c>
      <c r="D541" s="2" t="inlineStr">
        <is>
          <t>MilochkaBG</t>
        </is>
      </c>
      <c r="E541" s="2" t="inlineStr">
        <is>
          <t>2036852537416</t>
        </is>
      </c>
      <c r="F541" s="2">
        <v>0</v>
      </c>
      <c r="G541" s="2">
        <v>1</v>
      </c>
      <c r="H541" s="2">
        <v>0</v>
      </c>
      <c r="I541" s="2" t="inlineStr">
        <is>
          <t>790</t>
        </is>
      </c>
      <c r="J541" s="4"/>
      <c r="K541" s="2">
        <v>10</v>
      </c>
      <c r="L541" s="6"/>
      <c r="M541" s="2" t="str">
        <f>IF(J541="",ROUND(I541*(1-IF(ISBLANK(L541),K541,L541)/100),2),ROUND(J541*(1-IF(ISBLANK(L541),K541,L541)/100),2))</f>
      </c>
      <c r="N541" s="7" t="str">
        <f>IF(NOT(AND(J541="",L541="")),IF(OR(AND(L541&lt;&gt;"",NOT(ISNUMBER(L541))),IFERROR(MOD(L541,1),1)&gt;0,AND(ISNUMBER(L541),OR(L541&lt;0,L541&gt;95))),"Введите целое число от 0 до 95",IF(OR(AND(J541&lt;&gt;"",NOT(ISNUMBER(J541))),IFERROR(MOD(J541,1),1)&gt;0,AND(ISNUMBER(J541),OR(J541&lt;50,J541&gt;20000000))),"Введите целое число от 50 до 20000000",IF(NOT(ABS(IFERROR(VALUE(LEFT(M541,FIND("-",M541)-1)),M541)*100-(5000+2000000000)/2)&lt;=ABS(5000-2000000000)/2),"Цена со скидкой должна быть от 50 до 20000000",IF(IFERROR(VALUE(LEFT(M541,FIND("-",M541)-1)),M541)*229&lt;71100,"Вы уменьшили цену в несколько раз, товар попадет в карантин цен","")))),"")</f>
      </c>
    </row>
    <row r="542">
      <c r="A542" s="2" t="inlineStr">
        <is>
          <t>CuteShop</t>
        </is>
      </c>
      <c r="B542" s="2" t="inlineStr">
        <is>
          <t>Держатели для пустышек</t>
        </is>
      </c>
      <c r="C542" s="2">
        <v>111033748</v>
      </c>
      <c r="D542" s="2" t="inlineStr">
        <is>
          <t>AgataMish</t>
        </is>
      </c>
      <c r="E542" s="2" t="inlineStr">
        <is>
          <t>2037468692629</t>
        </is>
      </c>
      <c r="F542" s="2">
        <v>0</v>
      </c>
      <c r="G542" s="2">
        <v>1</v>
      </c>
      <c r="H542" s="2">
        <v>1</v>
      </c>
      <c r="I542" s="2" t="inlineStr">
        <is>
          <t>1030</t>
        </is>
      </c>
      <c r="J542" s="4"/>
      <c r="K542" s="2">
        <v>10</v>
      </c>
      <c r="L542" s="6"/>
      <c r="M542" s="2" t="str">
        <f>IF(J542="",ROUND(I542*(1-IF(ISBLANK(L542),K542,L542)/100),2),ROUND(J542*(1-IF(ISBLANK(L542),K542,L542)/100),2))</f>
      </c>
      <c r="N542" s="7" t="str">
        <f>IF(NOT(AND(J542="",L542="")),IF(OR(AND(L542&lt;&gt;"",NOT(ISNUMBER(L542))),IFERROR(MOD(L542,1),1)&gt;0,AND(ISNUMBER(L542),OR(L542&lt;0,L542&gt;95))),"Введите целое число от 0 до 95",IF(OR(AND(J542&lt;&gt;"",NOT(ISNUMBER(J542))),IFERROR(MOD(J542,1),1)&gt;0,AND(ISNUMBER(J542),OR(J542&lt;50,J542&gt;20000000))),"Введите целое число от 50 до 20000000",IF(NOT(ABS(IFERROR(VALUE(LEFT(M542,FIND("-",M542)-1)),M542)*100-(5000+2000000000)/2)&lt;=ABS(5000-2000000000)/2),"Цена со скидкой должна быть от 50 до 20000000",IF(IFERROR(VALUE(LEFT(M542,FIND("-",M542)-1)),M542)*229&lt;92700,"Вы уменьшили цену в несколько раз, товар попадет в карантин цен","")))),"")</f>
      </c>
    </row>
    <row r="543">
      <c r="A543" s="2" t="inlineStr">
        <is>
          <t>CuteShop</t>
        </is>
      </c>
      <c r="B543" s="2" t="inlineStr">
        <is>
          <t>Держатели для пустышек</t>
        </is>
      </c>
      <c r="C543" s="2">
        <v>111034483</v>
      </c>
      <c r="D543" s="2" t="inlineStr">
        <is>
          <t>AlekseyKot</t>
        </is>
      </c>
      <c r="E543" s="2" t="inlineStr">
        <is>
          <t>2037469779626</t>
        </is>
      </c>
      <c r="F543" s="2">
        <v>0</v>
      </c>
      <c r="G543" s="2">
        <v>0</v>
      </c>
      <c r="H543" s="2">
        <v>1</v>
      </c>
      <c r="I543" s="2" t="inlineStr">
        <is>
          <t>1030</t>
        </is>
      </c>
      <c r="J543" s="4"/>
      <c r="K543" s="2">
        <v>10</v>
      </c>
      <c r="L543" s="6"/>
      <c r="M543" s="2" t="str">
        <f>IF(J543="",ROUND(I543*(1-IF(ISBLANK(L543),K543,L543)/100),2),ROUND(J543*(1-IF(ISBLANK(L543),K543,L543)/100),2))</f>
      </c>
      <c r="N543" s="7" t="str">
        <f>IF(NOT(AND(J543="",L543="")),IF(OR(AND(L543&lt;&gt;"",NOT(ISNUMBER(L543))),IFERROR(MOD(L543,1),1)&gt;0,AND(ISNUMBER(L543),OR(L543&lt;0,L543&gt;95))),"Введите целое число от 0 до 95",IF(OR(AND(J543&lt;&gt;"",NOT(ISNUMBER(J543))),IFERROR(MOD(J543,1),1)&gt;0,AND(ISNUMBER(J543),OR(J543&lt;50,J543&gt;20000000))),"Введите целое число от 50 до 20000000",IF(NOT(ABS(IFERROR(VALUE(LEFT(M543,FIND("-",M543)-1)),M543)*100-(5000+2000000000)/2)&lt;=ABS(5000-2000000000)/2),"Цена со скидкой должна быть от 50 до 20000000",IF(IFERROR(VALUE(LEFT(M543,FIND("-",M543)-1)),M543)*229&lt;92700,"Вы уменьшили цену в несколько раз, товар попадет в карантин цен","")))),"")</f>
      </c>
    </row>
    <row r="544">
      <c r="A544" s="2" t="inlineStr">
        <is>
          <t>CuteShop</t>
        </is>
      </c>
      <c r="B544" s="2" t="inlineStr">
        <is>
          <t>Держатели для пустышек</t>
        </is>
      </c>
      <c r="C544" s="2">
        <v>111038434</v>
      </c>
      <c r="D544" s="2" t="inlineStr">
        <is>
          <t>LevaBG</t>
        </is>
      </c>
      <c r="E544" s="2" t="inlineStr">
        <is>
          <t>2037478983625</t>
        </is>
      </c>
      <c r="F544" s="2">
        <v>0</v>
      </c>
      <c r="G544" s="2">
        <v>1</v>
      </c>
      <c r="H544" s="2">
        <v>0</v>
      </c>
      <c r="I544" s="2" t="inlineStr">
        <is>
          <t>790</t>
        </is>
      </c>
      <c r="J544" s="4"/>
      <c r="K544" s="2">
        <v>10</v>
      </c>
      <c r="L544" s="6"/>
      <c r="M544" s="2" t="str">
        <f>IF(J544="",ROUND(I544*(1-IF(ISBLANK(L544),K544,L544)/100),2),ROUND(J544*(1-IF(ISBLANK(L544),K544,L544)/100),2))</f>
      </c>
      <c r="N544" s="7" t="str">
        <f>IF(NOT(AND(J544="",L544="")),IF(OR(AND(L544&lt;&gt;"",NOT(ISNUMBER(L544))),IFERROR(MOD(L544,1),1)&gt;0,AND(ISNUMBER(L544),OR(L544&lt;0,L544&gt;95))),"Введите целое число от 0 до 95",IF(OR(AND(J544&lt;&gt;"",NOT(ISNUMBER(J544))),IFERROR(MOD(J544,1),1)&gt;0,AND(ISNUMBER(J544),OR(J544&lt;50,J544&gt;20000000))),"Введите целое число от 50 до 20000000",IF(NOT(ABS(IFERROR(VALUE(LEFT(M544,FIND("-",M544)-1)),M544)*100-(5000+2000000000)/2)&lt;=ABS(5000-2000000000)/2),"Цена со скидкой должна быть от 50 до 20000000",IF(IFERROR(VALUE(LEFT(M544,FIND("-",M544)-1)),M544)*229&lt;71100,"Вы уменьшили цену в несколько раз, товар попадет в карантин цен","")))),"")</f>
      </c>
    </row>
    <row r="545">
      <c r="A545" s="2" t="inlineStr">
        <is>
          <t>CuteShop</t>
        </is>
      </c>
      <c r="B545" s="2" t="inlineStr">
        <is>
          <t>Держатели для пустышек</t>
        </is>
      </c>
      <c r="C545" s="2">
        <v>153832863</v>
      </c>
      <c r="D545" s="2" t="inlineStr">
        <is>
          <t>EgorMish</t>
        </is>
      </c>
      <c r="E545" s="2" t="inlineStr">
        <is>
          <t>2037641642502</t>
        </is>
      </c>
      <c r="F545" s="2">
        <v>0</v>
      </c>
      <c r="G545" s="2">
        <v>1</v>
      </c>
      <c r="H545" s="2">
        <v>1</v>
      </c>
      <c r="I545" s="2" t="inlineStr">
        <is>
          <t>1030</t>
        </is>
      </c>
      <c r="J545" s="4"/>
      <c r="K545" s="2">
        <v>10</v>
      </c>
      <c r="L545" s="6"/>
      <c r="M545" s="2" t="str">
        <f>IF(J545="",ROUND(I545*(1-IF(ISBLANK(L545),K545,L545)/100),2),ROUND(J545*(1-IF(ISBLANK(L545),K545,L545)/100),2))</f>
      </c>
      <c r="N545" s="7" t="str">
        <f>IF(NOT(AND(J545="",L545="")),IF(OR(AND(L545&lt;&gt;"",NOT(ISNUMBER(L545))),IFERROR(MOD(L545,1),1)&gt;0,AND(ISNUMBER(L545),OR(L545&lt;0,L545&gt;95))),"Введите целое число от 0 до 95",IF(OR(AND(J545&lt;&gt;"",NOT(ISNUMBER(J545))),IFERROR(MOD(J545,1),1)&gt;0,AND(ISNUMBER(J545),OR(J545&lt;50,J545&gt;20000000))),"Введите целое число от 50 до 20000000",IF(NOT(ABS(IFERROR(VALUE(LEFT(M545,FIND("-",M545)-1)),M545)*100-(5000+2000000000)/2)&lt;=ABS(5000-2000000000)/2),"Цена со скидкой должна быть от 50 до 20000000",IF(IFERROR(VALUE(LEFT(M545,FIND("-",M545)-1)),M545)*229&lt;92700,"Вы уменьшили цену в несколько раз, товар попадет в карантин цен","")))),"")</f>
      </c>
    </row>
    <row r="546">
      <c r="A546" s="2" t="inlineStr">
        <is>
          <t>CuteShop</t>
        </is>
      </c>
      <c r="B546" s="2" t="inlineStr">
        <is>
          <t>Держатели для пустышек</t>
        </is>
      </c>
      <c r="C546" s="2">
        <v>150475644</v>
      </c>
      <c r="D546" s="2" t="inlineStr">
        <is>
          <t>DashaEdin</t>
        </is>
      </c>
      <c r="E546" s="2" t="inlineStr">
        <is>
          <t>2037574525392</t>
        </is>
      </c>
      <c r="F546" s="2">
        <v>0</v>
      </c>
      <c r="G546" s="2">
        <v>0</v>
      </c>
      <c r="H546" s="2" t="inlineStr">
        <is>
          <t/>
        </is>
      </c>
      <c r="I546" s="2" t="inlineStr">
        <is>
          <t>1030</t>
        </is>
      </c>
      <c r="J546" s="4"/>
      <c r="K546" s="2">
        <v>10</v>
      </c>
      <c r="L546" s="6"/>
      <c r="M546" s="2" t="str">
        <f>IF(J546="",ROUND(I546*(1-IF(ISBLANK(L546),K546,L546)/100),2),ROUND(J546*(1-IF(ISBLANK(L546),K546,L546)/100),2))</f>
      </c>
      <c r="N546" s="7" t="str">
        <f>IF(NOT(AND(J546="",L546="")),IF(OR(AND(L546&lt;&gt;"",NOT(ISNUMBER(L546))),IFERROR(MOD(L546,1),1)&gt;0,AND(ISNUMBER(L546),OR(L546&lt;0,L546&gt;95))),"Введите целое число от 0 до 95",IF(OR(AND(J546&lt;&gt;"",NOT(ISNUMBER(J546))),IFERROR(MOD(J546,1),1)&gt;0,AND(ISNUMBER(J546),OR(J546&lt;50,J546&gt;20000000))),"Введите целое число от 50 до 20000000",IF(NOT(ABS(IFERROR(VALUE(LEFT(M546,FIND("-",M546)-1)),M546)*100-(5000+2000000000)/2)&lt;=ABS(5000-2000000000)/2),"Цена со скидкой должна быть от 50 до 20000000",IF(IFERROR(VALUE(LEFT(M546,FIND("-",M546)-1)),M546)*229&lt;92700,"Вы уменьшили цену в несколько раз, товар попадет в карантин цен","")))),"")</f>
      </c>
    </row>
    <row r="547">
      <c r="A547" s="2" t="inlineStr">
        <is>
          <t>CuteShop</t>
        </is>
      </c>
      <c r="B547" s="2" t="inlineStr">
        <is>
          <t>Держатели для пустышек</t>
        </is>
      </c>
      <c r="C547" s="2">
        <v>147641321</v>
      </c>
      <c r="D547" s="2" t="inlineStr">
        <is>
          <t>RomanBG</t>
        </is>
      </c>
      <c r="E547" s="2" t="inlineStr">
        <is>
          <t>2037497874751</t>
        </is>
      </c>
      <c r="F547" s="2">
        <v>0</v>
      </c>
      <c r="G547" s="2">
        <v>1</v>
      </c>
      <c r="H547" s="2">
        <v>0</v>
      </c>
      <c r="I547" s="2" t="inlineStr">
        <is>
          <t>790</t>
        </is>
      </c>
      <c r="J547" s="4"/>
      <c r="K547" s="2">
        <v>10</v>
      </c>
      <c r="L547" s="6"/>
      <c r="M547" s="2" t="str">
        <f>IF(J547="",ROUND(I547*(1-IF(ISBLANK(L547),K547,L547)/100),2),ROUND(J547*(1-IF(ISBLANK(L547),K547,L547)/100),2))</f>
      </c>
      <c r="N547" s="7" t="str">
        <f>IF(NOT(AND(J547="",L547="")),IF(OR(AND(L547&lt;&gt;"",NOT(ISNUMBER(L547))),IFERROR(MOD(L547,1),1)&gt;0,AND(ISNUMBER(L547),OR(L547&lt;0,L547&gt;95))),"Введите целое число от 0 до 95",IF(OR(AND(J547&lt;&gt;"",NOT(ISNUMBER(J547))),IFERROR(MOD(J547,1),1)&gt;0,AND(ISNUMBER(J547),OR(J547&lt;50,J547&gt;20000000))),"Введите целое число от 50 до 20000000",IF(NOT(ABS(IFERROR(VALUE(LEFT(M547,FIND("-",M547)-1)),M547)*100-(5000+2000000000)/2)&lt;=ABS(5000-2000000000)/2),"Цена со скидкой должна быть от 50 до 20000000",IF(IFERROR(VALUE(LEFT(M547,FIND("-",M547)-1)),M547)*229&lt;71100,"Вы уменьшили цену в несколько раз, товар попадет в карантин цен","")))),"")</f>
      </c>
    </row>
    <row r="548">
      <c r="A548" s="2" t="inlineStr">
        <is>
          <t>CuteShop</t>
        </is>
      </c>
      <c r="B548" s="2" t="inlineStr">
        <is>
          <t>Держатели для пустышек</t>
        </is>
      </c>
      <c r="C548" s="2">
        <v>99960183</v>
      </c>
      <c r="D548" s="2" t="inlineStr">
        <is>
          <t>ZlataZay</t>
        </is>
      </c>
      <c r="E548" s="2" t="inlineStr">
        <is>
          <t>2036806310102</t>
        </is>
      </c>
      <c r="F548" s="2">
        <v>0</v>
      </c>
      <c r="G548" s="2">
        <v>0</v>
      </c>
      <c r="H548" s="2">
        <v>1</v>
      </c>
      <c r="I548" s="2" t="inlineStr">
        <is>
          <t>1030</t>
        </is>
      </c>
      <c r="J548" s="4"/>
      <c r="K548" s="2">
        <v>10</v>
      </c>
      <c r="L548" s="6"/>
      <c r="M548" s="2" t="str">
        <f>IF(J548="",ROUND(I548*(1-IF(ISBLANK(L548),K548,L548)/100),2),ROUND(J548*(1-IF(ISBLANK(L548),K548,L548)/100),2))</f>
      </c>
      <c r="N548" s="7" t="str">
        <f>IF(NOT(AND(J548="",L548="")),IF(OR(AND(L548&lt;&gt;"",NOT(ISNUMBER(L548))),IFERROR(MOD(L548,1),1)&gt;0,AND(ISNUMBER(L548),OR(L548&lt;0,L548&gt;95))),"Введите целое число от 0 до 95",IF(OR(AND(J548&lt;&gt;"",NOT(ISNUMBER(J548))),IFERROR(MOD(J548,1),1)&gt;0,AND(ISNUMBER(J548),OR(J548&lt;50,J548&gt;20000000))),"Введите целое число от 50 до 20000000",IF(NOT(ABS(IFERROR(VALUE(LEFT(M548,FIND("-",M548)-1)),M548)*100-(5000+2000000000)/2)&lt;=ABS(5000-2000000000)/2),"Цена со скидкой должна быть от 50 до 20000000",IF(IFERROR(VALUE(LEFT(M548,FIND("-",M548)-1)),M548)*229&lt;92700,"Вы уменьшили цену в несколько раз, товар попадет в карантин цен","")))),"")</f>
      </c>
    </row>
    <row r="549">
      <c r="A549" s="2" t="inlineStr">
        <is>
          <t>CuteShop</t>
        </is>
      </c>
      <c r="B549" s="2" t="inlineStr">
        <is>
          <t>Держатели для пустышек</t>
        </is>
      </c>
      <c r="C549" s="2">
        <v>272525924</v>
      </c>
      <c r="D549" s="2" t="inlineStr">
        <is>
          <t>PolechkaBel</t>
        </is>
      </c>
      <c r="E549" s="2" t="inlineStr">
        <is>
          <t>2041508068756</t>
        </is>
      </c>
      <c r="F549" s="2">
        <v>0</v>
      </c>
      <c r="G549" s="2">
        <v>0</v>
      </c>
      <c r="H549" s="2" t="inlineStr">
        <is>
          <t/>
        </is>
      </c>
      <c r="I549" s="2" t="inlineStr">
        <is>
          <t>1030</t>
        </is>
      </c>
      <c r="J549" s="4"/>
      <c r="K549" s="2">
        <v>10</v>
      </c>
      <c r="L549" s="6"/>
      <c r="M549" s="2" t="str">
        <f>IF(J549="",ROUND(I549*(1-IF(ISBLANK(L549),K549,L549)/100),2),ROUND(J549*(1-IF(ISBLANK(L549),K549,L549)/100),2))</f>
      </c>
      <c r="N549" s="7" t="str">
        <f>IF(NOT(AND(J549="",L549="")),IF(OR(AND(L549&lt;&gt;"",NOT(ISNUMBER(L549))),IFERROR(MOD(L549,1),1)&gt;0,AND(ISNUMBER(L549),OR(L549&lt;0,L549&gt;95))),"Введите целое число от 0 до 95",IF(OR(AND(J549&lt;&gt;"",NOT(ISNUMBER(J549))),IFERROR(MOD(J549,1),1)&gt;0,AND(ISNUMBER(J549),OR(J549&lt;50,J549&gt;20000000))),"Введите целое число от 50 до 20000000",IF(NOT(ABS(IFERROR(VALUE(LEFT(M549,FIND("-",M549)-1)),M549)*100-(5000+2000000000)/2)&lt;=ABS(5000-2000000000)/2),"Цена со скидкой должна быть от 50 до 20000000",IF(IFERROR(VALUE(LEFT(M549,FIND("-",M549)-1)),M549)*229&lt;92700,"Вы уменьшили цену в несколько раз, товар попадет в карантин цен","")))),"")</f>
      </c>
    </row>
    <row r="550">
      <c r="A550" s="2" t="inlineStr">
        <is>
          <t>CuteShop</t>
        </is>
      </c>
      <c r="B550" s="2" t="inlineStr">
        <is>
          <t>Держатели для пустышек</t>
        </is>
      </c>
      <c r="C550" s="2">
        <v>100701476</v>
      </c>
      <c r="D550" s="2" t="inlineStr">
        <is>
          <t>FedyaKoala</t>
        </is>
      </c>
      <c r="E550" s="2" t="inlineStr">
        <is>
          <t>2036814630902</t>
        </is>
      </c>
      <c r="F550" s="2">
        <v>0</v>
      </c>
      <c r="G550" s="2">
        <v>0</v>
      </c>
      <c r="H550" s="2">
        <v>0</v>
      </c>
      <c r="I550" s="2" t="inlineStr">
        <is>
          <t>1030</t>
        </is>
      </c>
      <c r="J550" s="4"/>
      <c r="K550" s="2">
        <v>10</v>
      </c>
      <c r="L550" s="6"/>
      <c r="M550" s="2" t="str">
        <f>IF(J550="",ROUND(I550*(1-IF(ISBLANK(L550),K550,L550)/100),2),ROUND(J550*(1-IF(ISBLANK(L550),K550,L550)/100),2))</f>
      </c>
      <c r="N550" s="7" t="str">
        <f>IF(NOT(AND(J550="",L550="")),IF(OR(AND(L550&lt;&gt;"",NOT(ISNUMBER(L550))),IFERROR(MOD(L550,1),1)&gt;0,AND(ISNUMBER(L550),OR(L550&lt;0,L550&gt;95))),"Введите целое число от 0 до 95",IF(OR(AND(J550&lt;&gt;"",NOT(ISNUMBER(J550))),IFERROR(MOD(J550,1),1)&gt;0,AND(ISNUMBER(J550),OR(J550&lt;50,J550&gt;20000000))),"Введите целое число от 50 до 20000000",IF(NOT(ABS(IFERROR(VALUE(LEFT(M550,FIND("-",M550)-1)),M550)*100-(5000+2000000000)/2)&lt;=ABS(5000-2000000000)/2),"Цена со скидкой должна быть от 50 до 20000000",IF(IFERROR(VALUE(LEFT(M550,FIND("-",M550)-1)),M550)*229&lt;92700,"Вы уменьшили цену в несколько раз, товар попадет в карантин цен","")))),"")</f>
      </c>
    </row>
    <row r="551">
      <c r="A551" s="2" t="inlineStr">
        <is>
          <t>CuteShop</t>
        </is>
      </c>
      <c r="B551" s="2" t="inlineStr">
        <is>
          <t>Держатели для пустышек</t>
        </is>
      </c>
      <c r="C551" s="2">
        <v>112952894</v>
      </c>
      <c r="D551" s="2" t="inlineStr">
        <is>
          <t>DanyaMish1</t>
        </is>
      </c>
      <c r="E551" s="2" t="inlineStr">
        <is>
          <t>2038999333623</t>
        </is>
      </c>
      <c r="F551" s="2">
        <v>0</v>
      </c>
      <c r="G551" s="2">
        <v>1</v>
      </c>
      <c r="H551" s="2">
        <v>1</v>
      </c>
      <c r="I551" s="2" t="inlineStr">
        <is>
          <t>1030</t>
        </is>
      </c>
      <c r="J551" s="4"/>
      <c r="K551" s="2">
        <v>10</v>
      </c>
      <c r="L551" s="6"/>
      <c r="M551" s="2" t="str">
        <f>IF(J551="",ROUND(I551*(1-IF(ISBLANK(L551),K551,L551)/100),2),ROUND(J551*(1-IF(ISBLANK(L551),K551,L551)/100),2))</f>
      </c>
      <c r="N551" s="7" t="str">
        <f>IF(NOT(AND(J551="",L551="")),IF(OR(AND(L551&lt;&gt;"",NOT(ISNUMBER(L551))),IFERROR(MOD(L551,1),1)&gt;0,AND(ISNUMBER(L551),OR(L551&lt;0,L551&gt;95))),"Введите целое число от 0 до 95",IF(OR(AND(J551&lt;&gt;"",NOT(ISNUMBER(J551))),IFERROR(MOD(J551,1),1)&gt;0,AND(ISNUMBER(J551),OR(J551&lt;50,J551&gt;20000000))),"Введите целое число от 50 до 20000000",IF(NOT(ABS(IFERROR(VALUE(LEFT(M551,FIND("-",M551)-1)),M551)*100-(5000+2000000000)/2)&lt;=ABS(5000-2000000000)/2),"Цена со скидкой должна быть от 50 до 20000000",IF(IFERROR(VALUE(LEFT(M551,FIND("-",M551)-1)),M551)*229&lt;92700,"Вы уменьшили цену в несколько раз, товар попадет в карантин цен","")))),"")</f>
      </c>
    </row>
    <row r="552">
      <c r="A552" s="2" t="inlineStr">
        <is>
          <t>CuteShop</t>
        </is>
      </c>
      <c r="B552" s="2" t="inlineStr">
        <is>
          <t>Держатели для пустышек</t>
        </is>
      </c>
      <c r="C552" s="2">
        <v>110865957</v>
      </c>
      <c r="D552" s="2" t="inlineStr">
        <is>
          <t>SemenBG</t>
        </is>
      </c>
      <c r="E552" s="2" t="inlineStr">
        <is>
          <t>2037161571627</t>
        </is>
      </c>
      <c r="F552" s="2">
        <v>0</v>
      </c>
      <c r="G552" s="2">
        <v>1</v>
      </c>
      <c r="H552" s="2">
        <v>0</v>
      </c>
      <c r="I552" s="2" t="inlineStr">
        <is>
          <t>790</t>
        </is>
      </c>
      <c r="J552" s="4"/>
      <c r="K552" s="2">
        <v>10</v>
      </c>
      <c r="L552" s="6"/>
      <c r="M552" s="2" t="str">
        <f>IF(J552="",ROUND(I552*(1-IF(ISBLANK(L552),K552,L552)/100),2),ROUND(J552*(1-IF(ISBLANK(L552),K552,L552)/100),2))</f>
      </c>
      <c r="N552" s="7" t="str">
        <f>IF(NOT(AND(J552="",L552="")),IF(OR(AND(L552&lt;&gt;"",NOT(ISNUMBER(L552))),IFERROR(MOD(L552,1),1)&gt;0,AND(ISNUMBER(L552),OR(L552&lt;0,L552&gt;95))),"Введите целое число от 0 до 95",IF(OR(AND(J552&lt;&gt;"",NOT(ISNUMBER(J552))),IFERROR(MOD(J552,1),1)&gt;0,AND(ISNUMBER(J552),OR(J552&lt;50,J552&gt;20000000))),"Введите целое число от 50 до 20000000",IF(NOT(ABS(IFERROR(VALUE(LEFT(M552,FIND("-",M552)-1)),M552)*100-(5000+2000000000)/2)&lt;=ABS(5000-2000000000)/2),"Цена со скидкой должна быть от 50 до 20000000",IF(IFERROR(VALUE(LEFT(M552,FIND("-",M552)-1)),M552)*229&lt;71100,"Вы уменьшили цену в несколько раз, товар попадет в карантин цен","")))),"")</f>
      </c>
    </row>
    <row r="553">
      <c r="A553" s="2" t="inlineStr">
        <is>
          <t>CuteShop</t>
        </is>
      </c>
      <c r="B553" s="2" t="inlineStr">
        <is>
          <t>Держатели для пустышек</t>
        </is>
      </c>
      <c r="C553" s="2">
        <v>111036691</v>
      </c>
      <c r="D553" s="2" t="inlineStr">
        <is>
          <t>BogdanBG</t>
        </is>
      </c>
      <c r="E553" s="2" t="inlineStr">
        <is>
          <t>2037475552626</t>
        </is>
      </c>
      <c r="F553" s="2">
        <v>0</v>
      </c>
      <c r="G553" s="2">
        <v>1</v>
      </c>
      <c r="H553" s="2">
        <v>0</v>
      </c>
      <c r="I553" s="2" t="inlineStr">
        <is>
          <t>790</t>
        </is>
      </c>
      <c r="J553" s="4"/>
      <c r="K553" s="2">
        <v>10</v>
      </c>
      <c r="L553" s="6"/>
      <c r="M553" s="2" t="str">
        <f>IF(J553="",ROUND(I553*(1-IF(ISBLANK(L553),K553,L553)/100),2),ROUND(J553*(1-IF(ISBLANK(L553),K553,L553)/100),2))</f>
      </c>
      <c r="N553" s="7" t="str">
        <f>IF(NOT(AND(J553="",L553="")),IF(OR(AND(L553&lt;&gt;"",NOT(ISNUMBER(L553))),IFERROR(MOD(L553,1),1)&gt;0,AND(ISNUMBER(L553),OR(L553&lt;0,L553&gt;95))),"Введите целое число от 0 до 95",IF(OR(AND(J553&lt;&gt;"",NOT(ISNUMBER(J553))),IFERROR(MOD(J553,1),1)&gt;0,AND(ISNUMBER(J553),OR(J553&lt;50,J553&gt;20000000))),"Введите целое число от 50 до 20000000",IF(NOT(ABS(IFERROR(VALUE(LEFT(M553,FIND("-",M553)-1)),M553)*100-(5000+2000000000)/2)&lt;=ABS(5000-2000000000)/2),"Цена со скидкой должна быть от 50 до 20000000",IF(IFERROR(VALUE(LEFT(M553,FIND("-",M553)-1)),M553)*229&lt;71100,"Вы уменьшили цену в несколько раз, товар попадет в карантин цен","")))),"")</f>
      </c>
    </row>
    <row r="554">
      <c r="A554" s="2" t="inlineStr">
        <is>
          <t>CuteShop</t>
        </is>
      </c>
      <c r="B554" s="2" t="inlineStr">
        <is>
          <t>Держатели для пустышек</t>
        </is>
      </c>
      <c r="C554" s="2">
        <v>147844220</v>
      </c>
      <c r="D554" s="2" t="inlineStr">
        <is>
          <t>VovochkaLis</t>
        </is>
      </c>
      <c r="E554" s="2" t="inlineStr">
        <is>
          <t>2037502987872</t>
        </is>
      </c>
      <c r="F554" s="2">
        <v>0</v>
      </c>
      <c r="G554" s="2">
        <v>1</v>
      </c>
      <c r="H554" s="2">
        <v>0</v>
      </c>
      <c r="I554" s="2" t="inlineStr">
        <is>
          <t>1030</t>
        </is>
      </c>
      <c r="J554" s="4"/>
      <c r="K554" s="2">
        <v>10</v>
      </c>
      <c r="L554" s="6"/>
      <c r="M554" s="2" t="str">
        <f>IF(J554="",ROUND(I554*(1-IF(ISBLANK(L554),K554,L554)/100),2),ROUND(J554*(1-IF(ISBLANK(L554),K554,L554)/100),2))</f>
      </c>
      <c r="N554" s="7" t="str">
        <f>IF(NOT(AND(J554="",L554="")),IF(OR(AND(L554&lt;&gt;"",NOT(ISNUMBER(L554))),IFERROR(MOD(L554,1),1)&gt;0,AND(ISNUMBER(L554),OR(L554&lt;0,L554&gt;95))),"Введите целое число от 0 до 95",IF(OR(AND(J554&lt;&gt;"",NOT(ISNUMBER(J554))),IFERROR(MOD(J554,1),1)&gt;0,AND(ISNUMBER(J554),OR(J554&lt;50,J554&gt;20000000))),"Введите целое число от 50 до 20000000",IF(NOT(ABS(IFERROR(VALUE(LEFT(M554,FIND("-",M554)-1)),M554)*100-(5000+2000000000)/2)&lt;=ABS(5000-2000000000)/2),"Цена со скидкой должна быть от 50 до 20000000",IF(IFERROR(VALUE(LEFT(M554,FIND("-",M554)-1)),M554)*229&lt;92700,"Вы уменьшили цену в несколько раз, товар попадет в карантин цен","")))),"")</f>
      </c>
    </row>
    <row r="555">
      <c r="A555" s="2" t="inlineStr">
        <is>
          <t>CuteShop</t>
        </is>
      </c>
      <c r="B555" s="2" t="inlineStr">
        <is>
          <t>Держатели для пустышек</t>
        </is>
      </c>
      <c r="C555" s="2">
        <v>228746286</v>
      </c>
      <c r="D555" s="2" t="inlineStr">
        <is>
          <t>AmalMish</t>
        </is>
      </c>
      <c r="E555" s="2" t="inlineStr">
        <is>
          <t>2039924886450</t>
        </is>
      </c>
      <c r="F555" s="2">
        <v>0</v>
      </c>
      <c r="G555" s="2">
        <v>1</v>
      </c>
      <c r="H555" s="2" t="inlineStr">
        <is>
          <t/>
        </is>
      </c>
      <c r="I555" s="2" t="inlineStr">
        <is>
          <t>1030</t>
        </is>
      </c>
      <c r="J555" s="4"/>
      <c r="K555" s="2">
        <v>10</v>
      </c>
      <c r="L555" s="6"/>
      <c r="M555" s="2" t="str">
        <f>IF(J555="",ROUND(I555*(1-IF(ISBLANK(L555),K555,L555)/100),2),ROUND(J555*(1-IF(ISBLANK(L555),K555,L555)/100),2))</f>
      </c>
      <c r="N555" s="7" t="str">
        <f>IF(NOT(AND(J555="",L555="")),IF(OR(AND(L555&lt;&gt;"",NOT(ISNUMBER(L555))),IFERROR(MOD(L555,1),1)&gt;0,AND(ISNUMBER(L555),OR(L555&lt;0,L555&gt;95))),"Введите целое число от 0 до 95",IF(OR(AND(J555&lt;&gt;"",NOT(ISNUMBER(J555))),IFERROR(MOD(J555,1),1)&gt;0,AND(ISNUMBER(J555),OR(J555&lt;50,J555&gt;20000000))),"Введите целое число от 50 до 20000000",IF(NOT(ABS(IFERROR(VALUE(LEFT(M555,FIND("-",M555)-1)),M555)*100-(5000+2000000000)/2)&lt;=ABS(5000-2000000000)/2),"Цена со скидкой должна быть от 50 до 20000000",IF(IFERROR(VALUE(LEFT(M555,FIND("-",M555)-1)),M555)*229&lt;92700,"Вы уменьшили цену в несколько раз, товар попадет в карантин цен","")))),"")</f>
      </c>
    </row>
    <row r="556">
      <c r="A556" s="2" t="inlineStr">
        <is>
          <t>CuteShop</t>
        </is>
      </c>
      <c r="B556" s="2" t="inlineStr">
        <is>
          <t>Держатели для пустышек</t>
        </is>
      </c>
      <c r="C556" s="2">
        <v>111020758</v>
      </c>
      <c r="D556" s="2" t="inlineStr">
        <is>
          <t>EseniyaMishRoz</t>
        </is>
      </c>
      <c r="E556" s="2" t="inlineStr">
        <is>
          <t>2037436695621</t>
        </is>
      </c>
      <c r="F556" s="2">
        <v>0</v>
      </c>
      <c r="G556" s="2">
        <v>1</v>
      </c>
      <c r="H556" s="2">
        <v>1</v>
      </c>
      <c r="I556" s="2" t="inlineStr">
        <is>
          <t>1030</t>
        </is>
      </c>
      <c r="J556" s="4"/>
      <c r="K556" s="2">
        <v>10</v>
      </c>
      <c r="L556" s="6"/>
      <c r="M556" s="2" t="str">
        <f>IF(J556="",ROUND(I556*(1-IF(ISBLANK(L556),K556,L556)/100),2),ROUND(J556*(1-IF(ISBLANK(L556),K556,L556)/100),2))</f>
      </c>
      <c r="N556" s="7" t="str">
        <f>IF(NOT(AND(J556="",L556="")),IF(OR(AND(L556&lt;&gt;"",NOT(ISNUMBER(L556))),IFERROR(MOD(L556,1),1)&gt;0,AND(ISNUMBER(L556),OR(L556&lt;0,L556&gt;95))),"Введите целое число от 0 до 95",IF(OR(AND(J556&lt;&gt;"",NOT(ISNUMBER(J556))),IFERROR(MOD(J556,1),1)&gt;0,AND(ISNUMBER(J556),OR(J556&lt;50,J556&gt;20000000))),"Введите целое число от 50 до 20000000",IF(NOT(ABS(IFERROR(VALUE(LEFT(M556,FIND("-",M556)-1)),M556)*100-(5000+2000000000)/2)&lt;=ABS(5000-2000000000)/2),"Цена со скидкой должна быть от 50 до 20000000",IF(IFERROR(VALUE(LEFT(M556,FIND("-",M556)-1)),M556)*229&lt;92700,"Вы уменьшили цену в несколько раз, товар попадет в карантин цен","")))),"")</f>
      </c>
    </row>
    <row r="557">
      <c r="A557" s="2" t="inlineStr">
        <is>
          <t>CuteShop</t>
        </is>
      </c>
      <c r="B557" s="2" t="inlineStr">
        <is>
          <t>Держатели для пустышек</t>
        </is>
      </c>
      <c r="C557" s="2">
        <v>111017434</v>
      </c>
      <c r="D557" s="2" t="inlineStr">
        <is>
          <t>MarkKot</t>
        </is>
      </c>
      <c r="E557" s="2" t="inlineStr">
        <is>
          <t>2037418961621</t>
        </is>
      </c>
      <c r="F557" s="2">
        <v>0</v>
      </c>
      <c r="G557" s="2">
        <v>0</v>
      </c>
      <c r="H557" s="2">
        <v>1</v>
      </c>
      <c r="I557" s="2" t="inlineStr">
        <is>
          <t>1030</t>
        </is>
      </c>
      <c r="J557" s="4"/>
      <c r="K557" s="2">
        <v>10</v>
      </c>
      <c r="L557" s="6"/>
      <c r="M557" s="2" t="str">
        <f>IF(J557="",ROUND(I557*(1-IF(ISBLANK(L557),K557,L557)/100),2),ROUND(J557*(1-IF(ISBLANK(L557),K557,L557)/100),2))</f>
      </c>
      <c r="N557" s="7" t="str">
        <f>IF(NOT(AND(J557="",L557="")),IF(OR(AND(L557&lt;&gt;"",NOT(ISNUMBER(L557))),IFERROR(MOD(L557,1),1)&gt;0,AND(ISNUMBER(L557),OR(L557&lt;0,L557&gt;95))),"Введите целое число от 0 до 95",IF(OR(AND(J557&lt;&gt;"",NOT(ISNUMBER(J557))),IFERROR(MOD(J557,1),1)&gt;0,AND(ISNUMBER(J557),OR(J557&lt;50,J557&gt;20000000))),"Введите целое число от 50 до 20000000",IF(NOT(ABS(IFERROR(VALUE(LEFT(M557,FIND("-",M557)-1)),M557)*100-(5000+2000000000)/2)&lt;=ABS(5000-2000000000)/2),"Цена со скидкой должна быть от 50 до 20000000",IF(IFERROR(VALUE(LEFT(M557,FIND("-",M557)-1)),M557)*229&lt;92700,"Вы уменьшили цену в несколько раз, товар попадет в карантин цен","")))),"")</f>
      </c>
    </row>
    <row r="558">
      <c r="A558" s="2" t="inlineStr">
        <is>
          <t>CuteShop</t>
        </is>
      </c>
      <c r="B558" s="2" t="inlineStr">
        <is>
          <t>Держатели для пустышек</t>
        </is>
      </c>
      <c r="C558" s="2">
        <v>132198090</v>
      </c>
      <c r="D558" s="2" t="inlineStr">
        <is>
          <t>SavvaBG</t>
        </is>
      </c>
      <c r="E558" s="2" t="inlineStr">
        <is>
          <t>2037042257121</t>
        </is>
      </c>
      <c r="F558" s="2">
        <v>0</v>
      </c>
      <c r="G558" s="2">
        <v>0</v>
      </c>
      <c r="H558" s="2">
        <v>1</v>
      </c>
      <c r="I558" s="2" t="inlineStr">
        <is>
          <t>790</t>
        </is>
      </c>
      <c r="J558" s="4"/>
      <c r="K558" s="2">
        <v>10</v>
      </c>
      <c r="L558" s="6"/>
      <c r="M558" s="2" t="str">
        <f>IF(J558="",ROUND(I558*(1-IF(ISBLANK(L558),K558,L558)/100),2),ROUND(J558*(1-IF(ISBLANK(L558),K558,L558)/100),2))</f>
      </c>
      <c r="N558" s="7" t="str">
        <f>IF(NOT(AND(J558="",L558="")),IF(OR(AND(L558&lt;&gt;"",NOT(ISNUMBER(L558))),IFERROR(MOD(L558,1),1)&gt;0,AND(ISNUMBER(L558),OR(L558&lt;0,L558&gt;95))),"Введите целое число от 0 до 95",IF(OR(AND(J558&lt;&gt;"",NOT(ISNUMBER(J558))),IFERROR(MOD(J558,1),1)&gt;0,AND(ISNUMBER(J558),OR(J558&lt;50,J558&gt;20000000))),"Введите целое число от 50 до 20000000",IF(NOT(ABS(IFERROR(VALUE(LEFT(M558,FIND("-",M558)-1)),M558)*100-(5000+2000000000)/2)&lt;=ABS(5000-2000000000)/2),"Цена со скидкой должна быть от 50 до 20000000",IF(IFERROR(VALUE(LEFT(M558,FIND("-",M558)-1)),M558)*229&lt;71100,"Вы уменьшили цену в несколько раз, товар попадет в карантин цен","")))),"")</f>
      </c>
    </row>
    <row r="559">
      <c r="A559" s="2" t="inlineStr">
        <is>
          <t>CuteShop</t>
        </is>
      </c>
      <c r="B559" s="2" t="inlineStr">
        <is>
          <t>Держатели для пустышек</t>
        </is>
      </c>
      <c r="C559" s="2">
        <v>111020760</v>
      </c>
      <c r="D559" s="2" t="inlineStr">
        <is>
          <t>EseniyaZayPink</t>
        </is>
      </c>
      <c r="E559" s="2" t="inlineStr">
        <is>
          <t>2037436916627</t>
        </is>
      </c>
      <c r="F559" s="2">
        <v>0</v>
      </c>
      <c r="G559" s="2">
        <v>1</v>
      </c>
      <c r="H559" s="2">
        <v>0</v>
      </c>
      <c r="I559" s="2" t="inlineStr">
        <is>
          <t>1030</t>
        </is>
      </c>
      <c r="J559" s="4"/>
      <c r="K559" s="2">
        <v>10</v>
      </c>
      <c r="L559" s="6"/>
      <c r="M559" s="2" t="str">
        <f>IF(J559="",ROUND(I559*(1-IF(ISBLANK(L559),K559,L559)/100),2),ROUND(J559*(1-IF(ISBLANK(L559),K559,L559)/100),2))</f>
      </c>
      <c r="N559" s="7" t="str">
        <f>IF(NOT(AND(J559="",L559="")),IF(OR(AND(L559&lt;&gt;"",NOT(ISNUMBER(L559))),IFERROR(MOD(L559,1),1)&gt;0,AND(ISNUMBER(L559),OR(L559&lt;0,L559&gt;95))),"Введите целое число от 0 до 95",IF(OR(AND(J559&lt;&gt;"",NOT(ISNUMBER(J559))),IFERROR(MOD(J559,1),1)&gt;0,AND(ISNUMBER(J559),OR(J559&lt;50,J559&gt;20000000))),"Введите целое число от 50 до 20000000",IF(NOT(ABS(IFERROR(VALUE(LEFT(M559,FIND("-",M559)-1)),M559)*100-(5000+2000000000)/2)&lt;=ABS(5000-2000000000)/2),"Цена со скидкой должна быть от 50 до 20000000",IF(IFERROR(VALUE(LEFT(M559,FIND("-",M559)-1)),M559)*229&lt;92700,"Вы уменьшили цену в несколько раз, товар попадет в карантин цен","")))),"")</f>
      </c>
    </row>
    <row r="560">
      <c r="A560" s="2" t="inlineStr">
        <is>
          <t>CuteShop</t>
        </is>
      </c>
      <c r="B560" s="2" t="inlineStr">
        <is>
          <t>Держатели для пустышек</t>
        </is>
      </c>
      <c r="C560" s="2">
        <v>111032310</v>
      </c>
      <c r="D560" s="2" t="inlineStr">
        <is>
          <t>VasilisaLev</t>
        </is>
      </c>
      <c r="E560" s="2" t="inlineStr">
        <is>
          <t>2037466371625</t>
        </is>
      </c>
      <c r="F560" s="2">
        <v>0</v>
      </c>
      <c r="G560" s="2">
        <v>1</v>
      </c>
      <c r="H560" s="2">
        <v>1</v>
      </c>
      <c r="I560" s="2" t="inlineStr">
        <is>
          <t>1030</t>
        </is>
      </c>
      <c r="J560" s="4"/>
      <c r="K560" s="2">
        <v>10</v>
      </c>
      <c r="L560" s="6"/>
      <c r="M560" s="2" t="str">
        <f>IF(J560="",ROUND(I560*(1-IF(ISBLANK(L560),K560,L560)/100),2),ROUND(J560*(1-IF(ISBLANK(L560),K560,L560)/100),2))</f>
      </c>
      <c r="N560" s="7" t="str">
        <f>IF(NOT(AND(J560="",L560="")),IF(OR(AND(L560&lt;&gt;"",NOT(ISNUMBER(L560))),IFERROR(MOD(L560,1),1)&gt;0,AND(ISNUMBER(L560),OR(L560&lt;0,L560&gt;95))),"Введите целое число от 0 до 95",IF(OR(AND(J560&lt;&gt;"",NOT(ISNUMBER(J560))),IFERROR(MOD(J560,1),1)&gt;0,AND(ISNUMBER(J560),OR(J560&lt;50,J560&gt;20000000))),"Введите целое число от 50 до 20000000",IF(NOT(ABS(IFERROR(VALUE(LEFT(M560,FIND("-",M560)-1)),M560)*100-(5000+2000000000)/2)&lt;=ABS(5000-2000000000)/2),"Цена со скидкой должна быть от 50 до 20000000",IF(IFERROR(VALUE(LEFT(M560,FIND("-",M560)-1)),M560)*229&lt;92700,"Вы уменьшили цену в несколько раз, товар попадет в карантин цен","")))),"")</f>
      </c>
    </row>
    <row r="561">
      <c r="A561" s="2" t="inlineStr">
        <is>
          <t>CuteShop</t>
        </is>
      </c>
      <c r="B561" s="2" t="inlineStr">
        <is>
          <t>Держатели для пустышек</t>
        </is>
      </c>
      <c r="C561" s="2">
        <v>156239094</v>
      </c>
      <c r="D561" s="2" t="inlineStr">
        <is>
          <t>AmeliyaEdin2</t>
        </is>
      </c>
      <c r="E561" s="2" t="inlineStr">
        <is>
          <t>2037706287075</t>
        </is>
      </c>
      <c r="F561" s="2">
        <v>0</v>
      </c>
      <c r="G561" s="2">
        <v>0</v>
      </c>
      <c r="H561" s="2" t="inlineStr">
        <is>
          <t/>
        </is>
      </c>
      <c r="I561" s="2" t="inlineStr">
        <is>
          <t>1030</t>
        </is>
      </c>
      <c r="J561" s="4"/>
      <c r="K561" s="2">
        <v>10</v>
      </c>
      <c r="L561" s="6"/>
      <c r="M561" s="2" t="str">
        <f>IF(J561="",ROUND(I561*(1-IF(ISBLANK(L561),K561,L561)/100),2),ROUND(J561*(1-IF(ISBLANK(L561),K561,L561)/100),2))</f>
      </c>
      <c r="N561" s="7" t="str">
        <f>IF(NOT(AND(J561="",L561="")),IF(OR(AND(L561&lt;&gt;"",NOT(ISNUMBER(L561))),IFERROR(MOD(L561,1),1)&gt;0,AND(ISNUMBER(L561),OR(L561&lt;0,L561&gt;95))),"Введите целое число от 0 до 95",IF(OR(AND(J561&lt;&gt;"",NOT(ISNUMBER(J561))),IFERROR(MOD(J561,1),1)&gt;0,AND(ISNUMBER(J561),OR(J561&lt;50,J561&gt;20000000))),"Введите целое число от 50 до 20000000",IF(NOT(ABS(IFERROR(VALUE(LEFT(M561,FIND("-",M561)-1)),M561)*100-(5000+2000000000)/2)&lt;=ABS(5000-2000000000)/2),"Цена со скидкой должна быть от 50 до 20000000",IF(IFERROR(VALUE(LEFT(M561,FIND("-",M561)-1)),M561)*229&lt;92700,"Вы уменьшили цену в несколько раз, товар попадет в карантин цен","")))),"")</f>
      </c>
    </row>
    <row r="562">
      <c r="A562" s="2" t="inlineStr">
        <is>
          <t>CuteShop</t>
        </is>
      </c>
      <c r="B562" s="2" t="inlineStr">
        <is>
          <t>Держатели для пустышек</t>
        </is>
      </c>
      <c r="C562" s="2">
        <v>132198092</v>
      </c>
      <c r="D562" s="2" t="inlineStr">
        <is>
          <t>SavvaLev</t>
        </is>
      </c>
      <c r="E562" s="2" t="inlineStr">
        <is>
          <t>2037042258029</t>
        </is>
      </c>
      <c r="F562" s="2">
        <v>0</v>
      </c>
      <c r="G562" s="2">
        <v>0</v>
      </c>
      <c r="H562" s="2">
        <v>0</v>
      </c>
      <c r="I562" s="2" t="inlineStr">
        <is>
          <t>1030</t>
        </is>
      </c>
      <c r="J562" s="4"/>
      <c r="K562" s="2">
        <v>10</v>
      </c>
      <c r="L562" s="6"/>
      <c r="M562" s="2" t="str">
        <f>IF(J562="",ROUND(I562*(1-IF(ISBLANK(L562),K562,L562)/100),2),ROUND(J562*(1-IF(ISBLANK(L562),K562,L562)/100),2))</f>
      </c>
      <c r="N562" s="7" t="str">
        <f>IF(NOT(AND(J562="",L562="")),IF(OR(AND(L562&lt;&gt;"",NOT(ISNUMBER(L562))),IFERROR(MOD(L562,1),1)&gt;0,AND(ISNUMBER(L562),OR(L562&lt;0,L562&gt;95))),"Введите целое число от 0 до 95",IF(OR(AND(J562&lt;&gt;"",NOT(ISNUMBER(J562))),IFERROR(MOD(J562,1),1)&gt;0,AND(ISNUMBER(J562),OR(J562&lt;50,J562&gt;20000000))),"Введите целое число от 50 до 20000000",IF(NOT(ABS(IFERROR(VALUE(LEFT(M562,FIND("-",M562)-1)),M562)*100-(5000+2000000000)/2)&lt;=ABS(5000-2000000000)/2),"Цена со скидкой должна быть от 50 до 20000000",IF(IFERROR(VALUE(LEFT(M562,FIND("-",M562)-1)),M562)*229&lt;92700,"Вы уменьшили цену в несколько раз, товар попадет в карантин цен","")))),"")</f>
      </c>
    </row>
    <row r="563">
      <c r="A563" s="2" t="inlineStr">
        <is>
          <t>CuteShop</t>
        </is>
      </c>
      <c r="B563" s="2" t="inlineStr">
        <is>
          <t>Держатели для пустышек</t>
        </is>
      </c>
      <c r="C563" s="2">
        <v>88835037</v>
      </c>
      <c r="D563" s="2" t="inlineStr">
        <is>
          <t>MiraBel</t>
        </is>
      </c>
      <c r="E563" s="2" t="inlineStr">
        <is>
          <t>2035429024625</t>
        </is>
      </c>
      <c r="F563" s="2">
        <v>0</v>
      </c>
      <c r="G563" s="2">
        <v>1</v>
      </c>
      <c r="H563" s="2">
        <v>1</v>
      </c>
      <c r="I563" s="2" t="inlineStr">
        <is>
          <t>1030</t>
        </is>
      </c>
      <c r="J563" s="4"/>
      <c r="K563" s="2">
        <v>10</v>
      </c>
      <c r="L563" s="6"/>
      <c r="M563" s="2" t="str">
        <f>IF(J563="",ROUND(I563*(1-IF(ISBLANK(L563),K563,L563)/100),2),ROUND(J563*(1-IF(ISBLANK(L563),K563,L563)/100),2))</f>
      </c>
      <c r="N563" s="7" t="str">
        <f>IF(NOT(AND(J563="",L563="")),IF(OR(AND(L563&lt;&gt;"",NOT(ISNUMBER(L563))),IFERROR(MOD(L563,1),1)&gt;0,AND(ISNUMBER(L563),OR(L563&lt;0,L563&gt;95))),"Введите целое число от 0 до 95",IF(OR(AND(J563&lt;&gt;"",NOT(ISNUMBER(J563))),IFERROR(MOD(J563,1),1)&gt;0,AND(ISNUMBER(J563),OR(J563&lt;50,J563&gt;20000000))),"Введите целое число от 50 до 20000000",IF(NOT(ABS(IFERROR(VALUE(LEFT(M563,FIND("-",M563)-1)),M563)*100-(5000+2000000000)/2)&lt;=ABS(5000-2000000000)/2),"Цена со скидкой должна быть от 50 до 20000000",IF(IFERROR(VALUE(LEFT(M563,FIND("-",M563)-1)),M563)*229&lt;92700,"Вы уменьшили цену в несколько раз, товар попадет в карантин цен","")))),"")</f>
      </c>
    </row>
    <row r="564">
      <c r="A564" s="2" t="inlineStr">
        <is>
          <t>CuteShop</t>
        </is>
      </c>
      <c r="B564" s="2" t="inlineStr">
        <is>
          <t>Держатели для пустышек</t>
        </is>
      </c>
      <c r="C564" s="2">
        <v>112947169</v>
      </c>
      <c r="D564" s="2" t="inlineStr">
        <is>
          <t>UlyanaBG1</t>
        </is>
      </c>
      <c r="E564" s="2" t="inlineStr">
        <is>
          <t>2038996270624</t>
        </is>
      </c>
      <c r="F564" s="2">
        <v>0</v>
      </c>
      <c r="G564" s="2">
        <v>1</v>
      </c>
      <c r="H564" s="2">
        <v>0</v>
      </c>
      <c r="I564" s="2" t="inlineStr">
        <is>
          <t>790</t>
        </is>
      </c>
      <c r="J564" s="4"/>
      <c r="K564" s="2">
        <v>10</v>
      </c>
      <c r="L564" s="6"/>
      <c r="M564" s="2" t="str">
        <f>IF(J564="",ROUND(I564*(1-IF(ISBLANK(L564),K564,L564)/100),2),ROUND(J564*(1-IF(ISBLANK(L564),K564,L564)/100),2))</f>
      </c>
      <c r="N564" s="7" t="str">
        <f>IF(NOT(AND(J564="",L564="")),IF(OR(AND(L564&lt;&gt;"",NOT(ISNUMBER(L564))),IFERROR(MOD(L564,1),1)&gt;0,AND(ISNUMBER(L564),OR(L564&lt;0,L564&gt;95))),"Введите целое число от 0 до 95",IF(OR(AND(J564&lt;&gt;"",NOT(ISNUMBER(J564))),IFERROR(MOD(J564,1),1)&gt;0,AND(ISNUMBER(J564),OR(J564&lt;50,J564&gt;20000000))),"Введите целое число от 50 до 20000000",IF(NOT(ABS(IFERROR(VALUE(LEFT(M564,FIND("-",M564)-1)),M564)*100-(5000+2000000000)/2)&lt;=ABS(5000-2000000000)/2),"Цена со скидкой должна быть от 50 до 20000000",IF(IFERROR(VALUE(LEFT(M564,FIND("-",M564)-1)),M564)*229&lt;71100,"Вы уменьшили цену в несколько раз, товар попадет в карантин цен","")))),"")</f>
      </c>
    </row>
    <row r="565">
      <c r="A565" s="2" t="inlineStr">
        <is>
          <t>CuteShop</t>
        </is>
      </c>
      <c r="B565" s="2" t="inlineStr">
        <is>
          <t>Держатели для пустышек</t>
        </is>
      </c>
      <c r="C565" s="2">
        <v>111034890</v>
      </c>
      <c r="D565" s="2" t="inlineStr">
        <is>
          <t>IgorBG</t>
        </is>
      </c>
      <c r="E565" s="2" t="inlineStr">
        <is>
          <t>2037471249629</t>
        </is>
      </c>
      <c r="F565" s="2">
        <v>0</v>
      </c>
      <c r="G565" s="2">
        <v>1</v>
      </c>
      <c r="H565" s="2">
        <v>0</v>
      </c>
      <c r="I565" s="2" t="inlineStr">
        <is>
          <t>790</t>
        </is>
      </c>
      <c r="J565" s="4"/>
      <c r="K565" s="2">
        <v>10</v>
      </c>
      <c r="L565" s="6"/>
      <c r="M565" s="2" t="str">
        <f>IF(J565="",ROUND(I565*(1-IF(ISBLANK(L565),K565,L565)/100),2),ROUND(J565*(1-IF(ISBLANK(L565),K565,L565)/100),2))</f>
      </c>
      <c r="N565" s="7" t="str">
        <f>IF(NOT(AND(J565="",L565="")),IF(OR(AND(L565&lt;&gt;"",NOT(ISNUMBER(L565))),IFERROR(MOD(L565,1),1)&gt;0,AND(ISNUMBER(L565),OR(L565&lt;0,L565&gt;95))),"Введите целое число от 0 до 95",IF(OR(AND(J565&lt;&gt;"",NOT(ISNUMBER(J565))),IFERROR(MOD(J565,1),1)&gt;0,AND(ISNUMBER(J565),OR(J565&lt;50,J565&gt;20000000))),"Введите целое число от 50 до 20000000",IF(NOT(ABS(IFERROR(VALUE(LEFT(M565,FIND("-",M565)-1)),M565)*100-(5000+2000000000)/2)&lt;=ABS(5000-2000000000)/2),"Цена со скидкой должна быть от 50 до 20000000",IF(IFERROR(VALUE(LEFT(M565,FIND("-",M565)-1)),M565)*229&lt;71100,"Вы уменьшили цену в несколько раз, товар попадет в карантин цен","")))),"")</f>
      </c>
    </row>
    <row r="566">
      <c r="A566" s="2" t="inlineStr">
        <is>
          <t>CuteShop</t>
        </is>
      </c>
      <c r="B566" s="2" t="inlineStr">
        <is>
          <t>Держатели для пустышек</t>
        </is>
      </c>
      <c r="C566" s="2">
        <v>112952891</v>
      </c>
      <c r="D566" s="2" t="inlineStr">
        <is>
          <t>DanyaBG</t>
        </is>
      </c>
      <c r="E566" s="2" t="inlineStr">
        <is>
          <t>2038999320623</t>
        </is>
      </c>
      <c r="F566" s="2">
        <v>0</v>
      </c>
      <c r="G566" s="2">
        <v>1</v>
      </c>
      <c r="H566" s="2">
        <v>0</v>
      </c>
      <c r="I566" s="2" t="inlineStr">
        <is>
          <t>790</t>
        </is>
      </c>
      <c r="J566" s="4"/>
      <c r="K566" s="2">
        <v>10</v>
      </c>
      <c r="L566" s="6"/>
      <c r="M566" s="2" t="str">
        <f>IF(J566="",ROUND(I566*(1-IF(ISBLANK(L566),K566,L566)/100),2),ROUND(J566*(1-IF(ISBLANK(L566),K566,L566)/100),2))</f>
      </c>
      <c r="N566" s="7" t="str">
        <f>IF(NOT(AND(J566="",L566="")),IF(OR(AND(L566&lt;&gt;"",NOT(ISNUMBER(L566))),IFERROR(MOD(L566,1),1)&gt;0,AND(ISNUMBER(L566),OR(L566&lt;0,L566&gt;95))),"Введите целое число от 0 до 95",IF(OR(AND(J566&lt;&gt;"",NOT(ISNUMBER(J566))),IFERROR(MOD(J566,1),1)&gt;0,AND(ISNUMBER(J566),OR(J566&lt;50,J566&gt;20000000))),"Введите целое число от 50 до 20000000",IF(NOT(ABS(IFERROR(VALUE(LEFT(M566,FIND("-",M566)-1)),M566)*100-(5000+2000000000)/2)&lt;=ABS(5000-2000000000)/2),"Цена со скидкой должна быть от 50 до 20000000",IF(IFERROR(VALUE(LEFT(M566,FIND("-",M566)-1)),M566)*229&lt;71100,"Вы уменьшили цену в несколько раз, товар попадет в карантин цен","")))),"")</f>
      </c>
    </row>
    <row r="567">
      <c r="A567" s="2" t="inlineStr">
        <is>
          <t>CuteShop</t>
        </is>
      </c>
      <c r="B567" s="2" t="inlineStr">
        <is>
          <t>Держатели для пустышек</t>
        </is>
      </c>
      <c r="C567" s="2">
        <v>112956191</v>
      </c>
      <c r="D567" s="2" t="inlineStr">
        <is>
          <t>LeraBG3</t>
        </is>
      </c>
      <c r="E567" s="2" t="inlineStr">
        <is>
          <t>2039001207628</t>
        </is>
      </c>
      <c r="F567" s="2">
        <v>0</v>
      </c>
      <c r="G567" s="2">
        <v>1</v>
      </c>
      <c r="H567" s="2">
        <v>0</v>
      </c>
      <c r="I567" s="2" t="inlineStr">
        <is>
          <t>790</t>
        </is>
      </c>
      <c r="J567" s="4"/>
      <c r="K567" s="2">
        <v>10</v>
      </c>
      <c r="L567" s="6"/>
      <c r="M567" s="2" t="str">
        <f>IF(J567="",ROUND(I567*(1-IF(ISBLANK(L567),K567,L567)/100),2),ROUND(J567*(1-IF(ISBLANK(L567),K567,L567)/100),2))</f>
      </c>
      <c r="N567" s="7" t="str">
        <f>IF(NOT(AND(J567="",L567="")),IF(OR(AND(L567&lt;&gt;"",NOT(ISNUMBER(L567))),IFERROR(MOD(L567,1),1)&gt;0,AND(ISNUMBER(L567),OR(L567&lt;0,L567&gt;95))),"Введите целое число от 0 до 95",IF(OR(AND(J567&lt;&gt;"",NOT(ISNUMBER(J567))),IFERROR(MOD(J567,1),1)&gt;0,AND(ISNUMBER(J567),OR(J567&lt;50,J567&gt;20000000))),"Введите целое число от 50 до 20000000",IF(NOT(ABS(IFERROR(VALUE(LEFT(M567,FIND("-",M567)-1)),M567)*100-(5000+2000000000)/2)&lt;=ABS(5000-2000000000)/2),"Цена со скидкой должна быть от 50 до 20000000",IF(IFERROR(VALUE(LEFT(M567,FIND("-",M567)-1)),M567)*229&lt;71100,"Вы уменьшили цену в несколько раз, товар попадет в карантин цен","")))),"")</f>
      </c>
    </row>
    <row r="568">
      <c r="A568" s="2" t="inlineStr">
        <is>
          <t>CuteShop</t>
        </is>
      </c>
      <c r="B568" s="2" t="inlineStr">
        <is>
          <t>Держатели для пустышек</t>
        </is>
      </c>
      <c r="C568" s="2">
        <v>111034712</v>
      </c>
      <c r="D568" s="2" t="inlineStr">
        <is>
          <t>NikitaBG</t>
        </is>
      </c>
      <c r="E568" s="2" t="inlineStr">
        <is>
          <t>2037470303629</t>
        </is>
      </c>
      <c r="F568" s="2">
        <v>0</v>
      </c>
      <c r="G568" s="2">
        <v>1</v>
      </c>
      <c r="H568" s="2">
        <v>0</v>
      </c>
      <c r="I568" s="2" t="inlineStr">
        <is>
          <t>790</t>
        </is>
      </c>
      <c r="J568" s="4"/>
      <c r="K568" s="2">
        <v>10</v>
      </c>
      <c r="L568" s="6"/>
      <c r="M568" s="2" t="str">
        <f>IF(J568="",ROUND(I568*(1-IF(ISBLANK(L568),K568,L568)/100),2),ROUND(J568*(1-IF(ISBLANK(L568),K568,L568)/100),2))</f>
      </c>
      <c r="N568" s="7" t="str">
        <f>IF(NOT(AND(J568="",L568="")),IF(OR(AND(L568&lt;&gt;"",NOT(ISNUMBER(L568))),IFERROR(MOD(L568,1),1)&gt;0,AND(ISNUMBER(L568),OR(L568&lt;0,L568&gt;95))),"Введите целое число от 0 до 95",IF(OR(AND(J568&lt;&gt;"",NOT(ISNUMBER(J568))),IFERROR(MOD(J568,1),1)&gt;0,AND(ISNUMBER(J568),OR(J568&lt;50,J568&gt;20000000))),"Введите целое число от 50 до 20000000",IF(NOT(ABS(IFERROR(VALUE(LEFT(M568,FIND("-",M568)-1)),M568)*100-(5000+2000000000)/2)&lt;=ABS(5000-2000000000)/2),"Цена со скидкой должна быть от 50 до 20000000",IF(IFERROR(VALUE(LEFT(M568,FIND("-",M568)-1)),M568)*229&lt;71100,"Вы уменьшили цену в несколько раз, товар попадет в карантин цен","")))),"")</f>
      </c>
    </row>
    <row r="569">
      <c r="A569" s="2" t="inlineStr">
        <is>
          <t>CuteShop</t>
        </is>
      </c>
      <c r="B569" s="2" t="inlineStr">
        <is>
          <t>Держатели для пустышек</t>
        </is>
      </c>
      <c r="C569" s="2">
        <v>111036555</v>
      </c>
      <c r="D569" s="2" t="inlineStr">
        <is>
          <t>KarinaSlon</t>
        </is>
      </c>
      <c r="E569" s="2" t="inlineStr">
        <is>
          <t>2037474997626</t>
        </is>
      </c>
      <c r="F569" s="2">
        <v>0</v>
      </c>
      <c r="G569" s="2">
        <v>1</v>
      </c>
      <c r="H569" s="2" t="inlineStr">
        <is>
          <t/>
        </is>
      </c>
      <c r="I569" s="2" t="inlineStr">
        <is>
          <t>1030</t>
        </is>
      </c>
      <c r="J569" s="4"/>
      <c r="K569" s="2">
        <v>10</v>
      </c>
      <c r="L569" s="6"/>
      <c r="M569" s="2" t="str">
        <f>IF(J569="",ROUND(I569*(1-IF(ISBLANK(L569),K569,L569)/100),2),ROUND(J569*(1-IF(ISBLANK(L569),K569,L569)/100),2))</f>
      </c>
      <c r="N569" s="7" t="str">
        <f>IF(NOT(AND(J569="",L569="")),IF(OR(AND(L569&lt;&gt;"",NOT(ISNUMBER(L569))),IFERROR(MOD(L569,1),1)&gt;0,AND(ISNUMBER(L569),OR(L569&lt;0,L569&gt;95))),"Введите целое число от 0 до 95",IF(OR(AND(J569&lt;&gt;"",NOT(ISNUMBER(J569))),IFERROR(MOD(J569,1),1)&gt;0,AND(ISNUMBER(J569),OR(J569&lt;50,J569&gt;20000000))),"Введите целое число от 50 до 20000000",IF(NOT(ABS(IFERROR(VALUE(LEFT(M569,FIND("-",M569)-1)),M569)*100-(5000+2000000000)/2)&lt;=ABS(5000-2000000000)/2),"Цена со скидкой должна быть от 50 до 20000000",IF(IFERROR(VALUE(LEFT(M569,FIND("-",M569)-1)),M569)*229&lt;92700,"Вы уменьшили цену в несколько раз, товар попадет в карантин цен","")))),"")</f>
      </c>
    </row>
    <row r="570">
      <c r="A570" s="2" t="inlineStr">
        <is>
          <t>CuteShop</t>
        </is>
      </c>
      <c r="B570" s="2" t="inlineStr">
        <is>
          <t>Держатели для пустышек</t>
        </is>
      </c>
      <c r="C570" s="2">
        <v>87712331</v>
      </c>
      <c r="D570" s="2" t="inlineStr">
        <is>
          <t>MakarMishSin</t>
        </is>
      </c>
      <c r="E570" s="2" t="inlineStr">
        <is>
          <t>2034890778624</t>
        </is>
      </c>
      <c r="F570" s="2">
        <v>0</v>
      </c>
      <c r="G570" s="2">
        <v>1</v>
      </c>
      <c r="H570" s="2">
        <v>14</v>
      </c>
      <c r="I570" s="2" t="inlineStr">
        <is>
          <t>1030</t>
        </is>
      </c>
      <c r="J570" s="4"/>
      <c r="K570" s="2">
        <v>10</v>
      </c>
      <c r="L570" s="6"/>
      <c r="M570" s="2" t="str">
        <f>IF(J570="",ROUND(I570*(1-IF(ISBLANK(L570),K570,L570)/100),2),ROUND(J570*(1-IF(ISBLANK(L570),K570,L570)/100),2))</f>
      </c>
      <c r="N570" s="7" t="str">
        <f>IF(NOT(AND(J570="",L570="")),IF(OR(AND(L570&lt;&gt;"",NOT(ISNUMBER(L570))),IFERROR(MOD(L570,1),1)&gt;0,AND(ISNUMBER(L570),OR(L570&lt;0,L570&gt;95))),"Введите целое число от 0 до 95",IF(OR(AND(J570&lt;&gt;"",NOT(ISNUMBER(J570))),IFERROR(MOD(J570,1),1)&gt;0,AND(ISNUMBER(J570),OR(J570&lt;50,J570&gt;20000000))),"Введите целое число от 50 до 20000000",IF(NOT(ABS(IFERROR(VALUE(LEFT(M570,FIND("-",M570)-1)),M570)*100-(5000+2000000000)/2)&lt;=ABS(5000-2000000000)/2),"Цена со скидкой должна быть от 50 до 20000000",IF(IFERROR(VALUE(LEFT(M570,FIND("-",M570)-1)),M570)*229&lt;92700,"Вы уменьшили цену в несколько раз, товар попадет в карантин цен","")))),"")</f>
      </c>
    </row>
    <row r="571">
      <c r="A571" s="2" t="inlineStr">
        <is>
          <t>CuteShop</t>
        </is>
      </c>
      <c r="B571" s="2" t="inlineStr">
        <is>
          <t>Держатели для пустышек</t>
        </is>
      </c>
      <c r="C571" s="2">
        <v>112956193</v>
      </c>
      <c r="D571" s="2" t="inlineStr">
        <is>
          <t>LeraEdin2</t>
        </is>
      </c>
      <c r="E571" s="2" t="inlineStr">
        <is>
          <t>2039001170625</t>
        </is>
      </c>
      <c r="F571" s="2">
        <v>0</v>
      </c>
      <c r="G571" s="2">
        <v>1</v>
      </c>
      <c r="H571" s="2">
        <v>0</v>
      </c>
      <c r="I571" s="2" t="inlineStr">
        <is>
          <t>1030</t>
        </is>
      </c>
      <c r="J571" s="4"/>
      <c r="K571" s="2">
        <v>10</v>
      </c>
      <c r="L571" s="6"/>
      <c r="M571" s="2" t="str">
        <f>IF(J571="",ROUND(I571*(1-IF(ISBLANK(L571),K571,L571)/100),2),ROUND(J571*(1-IF(ISBLANK(L571),K571,L571)/100),2))</f>
      </c>
      <c r="N571" s="7" t="str">
        <f>IF(NOT(AND(J571="",L571="")),IF(OR(AND(L571&lt;&gt;"",NOT(ISNUMBER(L571))),IFERROR(MOD(L571,1),1)&gt;0,AND(ISNUMBER(L571),OR(L571&lt;0,L571&gt;95))),"Введите целое число от 0 до 95",IF(OR(AND(J571&lt;&gt;"",NOT(ISNUMBER(J571))),IFERROR(MOD(J571,1),1)&gt;0,AND(ISNUMBER(J571),OR(J571&lt;50,J571&gt;20000000))),"Введите целое число от 50 до 20000000",IF(NOT(ABS(IFERROR(VALUE(LEFT(M571,FIND("-",M571)-1)),M571)*100-(5000+2000000000)/2)&lt;=ABS(5000-2000000000)/2),"Цена со скидкой должна быть от 50 до 20000000",IF(IFERROR(VALUE(LEFT(M571,FIND("-",M571)-1)),M571)*229&lt;92700,"Вы уменьшили цену в несколько раз, товар попадет в карантин цен","")))),"")</f>
      </c>
    </row>
    <row r="572">
      <c r="A572" s="2" t="inlineStr">
        <is>
          <t>CuteShop</t>
        </is>
      </c>
      <c r="B572" s="2" t="inlineStr">
        <is>
          <t>Держатели для пустышек</t>
        </is>
      </c>
      <c r="C572" s="2">
        <v>103570454</v>
      </c>
      <c r="D572" s="2" t="inlineStr">
        <is>
          <t>DarinaBG2</t>
        </is>
      </c>
      <c r="E572" s="2" t="inlineStr">
        <is>
          <t>2036857456644</t>
        </is>
      </c>
      <c r="F572" s="2">
        <v>0</v>
      </c>
      <c r="G572" s="2">
        <v>1</v>
      </c>
      <c r="H572" s="2" t="inlineStr">
        <is>
          <t/>
        </is>
      </c>
      <c r="I572" s="2" t="inlineStr">
        <is>
          <t>790</t>
        </is>
      </c>
      <c r="J572" s="4"/>
      <c r="K572" s="2">
        <v>10</v>
      </c>
      <c r="L572" s="6"/>
      <c r="M572" s="2" t="str">
        <f>IF(J572="",ROUND(I572*(1-IF(ISBLANK(L572),K572,L572)/100),2),ROUND(J572*(1-IF(ISBLANK(L572),K572,L572)/100),2))</f>
      </c>
      <c r="N572" s="7" t="str">
        <f>IF(NOT(AND(J572="",L572="")),IF(OR(AND(L572&lt;&gt;"",NOT(ISNUMBER(L572))),IFERROR(MOD(L572,1),1)&gt;0,AND(ISNUMBER(L572),OR(L572&lt;0,L572&gt;95))),"Введите целое число от 0 до 95",IF(OR(AND(J572&lt;&gt;"",NOT(ISNUMBER(J572))),IFERROR(MOD(J572,1),1)&gt;0,AND(ISNUMBER(J572),OR(J572&lt;50,J572&gt;20000000))),"Введите целое число от 50 до 20000000",IF(NOT(ABS(IFERROR(VALUE(LEFT(M572,FIND("-",M572)-1)),M572)*100-(5000+2000000000)/2)&lt;=ABS(5000-2000000000)/2),"Цена со скидкой должна быть от 50 до 20000000",IF(IFERROR(VALUE(LEFT(M572,FIND("-",M572)-1)),M572)*229&lt;71100,"Вы уменьшили цену в несколько раз, товар попадет в карантин цен","")))),"")</f>
      </c>
    </row>
    <row r="573">
      <c r="A573" s="2" t="inlineStr">
        <is>
          <t>CuteShop</t>
        </is>
      </c>
      <c r="B573" s="2" t="inlineStr">
        <is>
          <t>Держатели для пустышек</t>
        </is>
      </c>
      <c r="C573" s="2">
        <v>117637848</v>
      </c>
      <c r="D573" s="2" t="inlineStr">
        <is>
          <t>KsyushaKoa</t>
        </is>
      </c>
      <c r="E573" s="2" t="inlineStr">
        <is>
          <t>2042164182626</t>
        </is>
      </c>
      <c r="F573" s="2">
        <v>0</v>
      </c>
      <c r="G573" s="2">
        <v>1</v>
      </c>
      <c r="H573" s="2">
        <v>0</v>
      </c>
      <c r="I573" s="2" t="inlineStr">
        <is>
          <t>1030</t>
        </is>
      </c>
      <c r="J573" s="4"/>
      <c r="K573" s="2">
        <v>10</v>
      </c>
      <c r="L573" s="6"/>
      <c r="M573" s="2" t="str">
        <f>IF(J573="",ROUND(I573*(1-IF(ISBLANK(L573),K573,L573)/100),2),ROUND(J573*(1-IF(ISBLANK(L573),K573,L573)/100),2))</f>
      </c>
      <c r="N573" s="7" t="str">
        <f>IF(NOT(AND(J573="",L573="")),IF(OR(AND(L573&lt;&gt;"",NOT(ISNUMBER(L573))),IFERROR(MOD(L573,1),1)&gt;0,AND(ISNUMBER(L573),OR(L573&lt;0,L573&gt;95))),"Введите целое число от 0 до 95",IF(OR(AND(J573&lt;&gt;"",NOT(ISNUMBER(J573))),IFERROR(MOD(J573,1),1)&gt;0,AND(ISNUMBER(J573),OR(J573&lt;50,J573&gt;20000000))),"Введите целое число от 50 до 20000000",IF(NOT(ABS(IFERROR(VALUE(LEFT(M573,FIND("-",M573)-1)),M573)*100-(5000+2000000000)/2)&lt;=ABS(5000-2000000000)/2),"Цена со скидкой должна быть от 50 до 20000000",IF(IFERROR(VALUE(LEFT(M573,FIND("-",M573)-1)),M573)*229&lt;92700,"Вы уменьшили цену в несколько раз, товар попадет в карантин цен","")))),"")</f>
      </c>
    </row>
    <row r="574">
      <c r="A574" s="2" t="inlineStr">
        <is>
          <t>CuteShop</t>
        </is>
      </c>
      <c r="B574" s="2" t="inlineStr">
        <is>
          <t>Держатели для пустышек</t>
        </is>
      </c>
      <c r="C574" s="2">
        <v>112600162</v>
      </c>
      <c r="D574" s="2" t="inlineStr">
        <is>
          <t>EmiliyaZay</t>
        </is>
      </c>
      <c r="E574" s="2" t="inlineStr">
        <is>
          <t>2038874962627</t>
        </is>
      </c>
      <c r="F574" s="2">
        <v>0</v>
      </c>
      <c r="G574" s="2">
        <v>0</v>
      </c>
      <c r="H574" s="2">
        <v>0</v>
      </c>
      <c r="I574" s="2" t="inlineStr">
        <is>
          <t>1030</t>
        </is>
      </c>
      <c r="J574" s="4"/>
      <c r="K574" s="2">
        <v>10</v>
      </c>
      <c r="L574" s="6"/>
      <c r="M574" s="2" t="str">
        <f>IF(J574="",ROUND(I574*(1-IF(ISBLANK(L574),K574,L574)/100),2),ROUND(J574*(1-IF(ISBLANK(L574),K574,L574)/100),2))</f>
      </c>
      <c r="N574" s="7" t="str">
        <f>IF(NOT(AND(J574="",L574="")),IF(OR(AND(L574&lt;&gt;"",NOT(ISNUMBER(L574))),IFERROR(MOD(L574,1),1)&gt;0,AND(ISNUMBER(L574),OR(L574&lt;0,L574&gt;95))),"Введите целое число от 0 до 95",IF(OR(AND(J574&lt;&gt;"",NOT(ISNUMBER(J574))),IFERROR(MOD(J574,1),1)&gt;0,AND(ISNUMBER(J574),OR(J574&lt;50,J574&gt;20000000))),"Введите целое число от 50 до 20000000",IF(NOT(ABS(IFERROR(VALUE(LEFT(M574,FIND("-",M574)-1)),M574)*100-(5000+2000000000)/2)&lt;=ABS(5000-2000000000)/2),"Цена со скидкой должна быть от 50 до 20000000",IF(IFERROR(VALUE(LEFT(M574,FIND("-",M574)-1)),M574)*229&lt;92700,"Вы уменьшили цену в несколько раз, товар попадет в карантин цен","")))),"")</f>
      </c>
    </row>
    <row r="575">
      <c r="A575" s="2" t="inlineStr">
        <is>
          <t>CuteShop</t>
        </is>
      </c>
      <c r="B575" s="2" t="inlineStr">
        <is>
          <t>Держатели для пустышек</t>
        </is>
      </c>
      <c r="C575" s="2">
        <v>147844221</v>
      </c>
      <c r="D575" s="2" t="inlineStr">
        <is>
          <t>VladimirBG</t>
        </is>
      </c>
      <c r="E575" s="2" t="inlineStr">
        <is>
          <t>2037502992449</t>
        </is>
      </c>
      <c r="F575" s="2">
        <v>0</v>
      </c>
      <c r="G575" s="2">
        <v>1</v>
      </c>
      <c r="H575" s="2">
        <v>0</v>
      </c>
      <c r="I575" s="2" t="inlineStr">
        <is>
          <t>790</t>
        </is>
      </c>
      <c r="J575" s="4"/>
      <c r="K575" s="2">
        <v>10</v>
      </c>
      <c r="L575" s="6"/>
      <c r="M575" s="2" t="str">
        <f>IF(J575="",ROUND(I575*(1-IF(ISBLANK(L575),K575,L575)/100),2),ROUND(J575*(1-IF(ISBLANK(L575),K575,L575)/100),2))</f>
      </c>
      <c r="N575" s="7" t="str">
        <f>IF(NOT(AND(J575="",L575="")),IF(OR(AND(L575&lt;&gt;"",NOT(ISNUMBER(L575))),IFERROR(MOD(L575,1),1)&gt;0,AND(ISNUMBER(L575),OR(L575&lt;0,L575&gt;95))),"Введите целое число от 0 до 95",IF(OR(AND(J575&lt;&gt;"",NOT(ISNUMBER(J575))),IFERROR(MOD(J575,1),1)&gt;0,AND(ISNUMBER(J575),OR(J575&lt;50,J575&gt;20000000))),"Введите целое число от 50 до 20000000",IF(NOT(ABS(IFERROR(VALUE(LEFT(M575,FIND("-",M575)-1)),M575)*100-(5000+2000000000)/2)&lt;=ABS(5000-2000000000)/2),"Цена со скидкой должна быть от 50 до 20000000",IF(IFERROR(VALUE(LEFT(M575,FIND("-",M575)-1)),M575)*229&lt;71100,"Вы уменьшили цену в несколько раз, товар попадет в карантин цен","")))),"")</f>
      </c>
    </row>
    <row r="576">
      <c r="A576" s="2" t="inlineStr">
        <is>
          <t>CuteShop</t>
        </is>
      </c>
      <c r="B576" s="2" t="inlineStr">
        <is>
          <t>Держатели для пустышек</t>
        </is>
      </c>
      <c r="C576" s="2">
        <v>87697049</v>
      </c>
      <c r="D576" s="2" t="inlineStr">
        <is>
          <t>MilaKoala</t>
        </is>
      </c>
      <c r="E576" s="2" t="inlineStr">
        <is>
          <t>2034887165628</t>
        </is>
      </c>
      <c r="F576" s="2">
        <v>0</v>
      </c>
      <c r="G576" s="2">
        <v>1</v>
      </c>
      <c r="H576" s="2">
        <v>1</v>
      </c>
      <c r="I576" s="2" t="inlineStr">
        <is>
          <t>1030</t>
        </is>
      </c>
      <c r="J576" s="4"/>
      <c r="K576" s="2">
        <v>10</v>
      </c>
      <c r="L576" s="6"/>
      <c r="M576" s="2" t="str">
        <f>IF(J576="",ROUND(I576*(1-IF(ISBLANK(L576),K576,L576)/100),2),ROUND(J576*(1-IF(ISBLANK(L576),K576,L576)/100),2))</f>
      </c>
      <c r="N576" s="7" t="str">
        <f>IF(NOT(AND(J576="",L576="")),IF(OR(AND(L576&lt;&gt;"",NOT(ISNUMBER(L576))),IFERROR(MOD(L576,1),1)&gt;0,AND(ISNUMBER(L576),OR(L576&lt;0,L576&gt;95))),"Введите целое число от 0 до 95",IF(OR(AND(J576&lt;&gt;"",NOT(ISNUMBER(J576))),IFERROR(MOD(J576,1),1)&gt;0,AND(ISNUMBER(J576),OR(J576&lt;50,J576&gt;20000000))),"Введите целое число от 50 до 20000000",IF(NOT(ABS(IFERROR(VALUE(LEFT(M576,FIND("-",M576)-1)),M576)*100-(5000+2000000000)/2)&lt;=ABS(5000-2000000000)/2),"Цена со скидкой должна быть от 50 до 20000000",IF(IFERROR(VALUE(LEFT(M576,FIND("-",M576)-1)),M576)*229&lt;92700,"Вы уменьшили цену в несколько раз, товар попадет в карантин цен","")))),"")</f>
      </c>
    </row>
    <row r="577">
      <c r="A577" s="2" t="inlineStr">
        <is>
          <t>CuteShop</t>
        </is>
      </c>
      <c r="B577" s="2" t="inlineStr">
        <is>
          <t>Держатели для пустышек</t>
        </is>
      </c>
      <c r="C577" s="2">
        <v>112940595</v>
      </c>
      <c r="D577" s="2" t="inlineStr">
        <is>
          <t>PolinaMish</t>
        </is>
      </c>
      <c r="E577" s="2" t="inlineStr">
        <is>
          <t>2038995282628</t>
        </is>
      </c>
      <c r="F577" s="2">
        <v>0</v>
      </c>
      <c r="G577" s="2">
        <v>0</v>
      </c>
      <c r="H577" s="2">
        <v>1</v>
      </c>
      <c r="I577" s="2" t="inlineStr">
        <is>
          <t>1030</t>
        </is>
      </c>
      <c r="J577" s="4"/>
      <c r="K577" s="2">
        <v>10</v>
      </c>
      <c r="L577" s="6"/>
      <c r="M577" s="2" t="str">
        <f>IF(J577="",ROUND(I577*(1-IF(ISBLANK(L577),K577,L577)/100),2),ROUND(J577*(1-IF(ISBLANK(L577),K577,L577)/100),2))</f>
      </c>
      <c r="N577" s="7" t="str">
        <f>IF(NOT(AND(J577="",L577="")),IF(OR(AND(L577&lt;&gt;"",NOT(ISNUMBER(L577))),IFERROR(MOD(L577,1),1)&gt;0,AND(ISNUMBER(L577),OR(L577&lt;0,L577&gt;95))),"Введите целое число от 0 до 95",IF(OR(AND(J577&lt;&gt;"",NOT(ISNUMBER(J577))),IFERROR(MOD(J577,1),1)&gt;0,AND(ISNUMBER(J577),OR(J577&lt;50,J577&gt;20000000))),"Введите целое число от 50 до 20000000",IF(NOT(ABS(IFERROR(VALUE(LEFT(M577,FIND("-",M577)-1)),M577)*100-(5000+2000000000)/2)&lt;=ABS(5000-2000000000)/2),"Цена со скидкой должна быть от 50 до 20000000",IF(IFERROR(VALUE(LEFT(M577,FIND("-",M577)-1)),M577)*229&lt;92700,"Вы уменьшили цену в несколько раз, товар попадет в карантин цен","")))),"")</f>
      </c>
    </row>
    <row r="578">
      <c r="A578" s="2" t="inlineStr">
        <is>
          <t>CuteShop</t>
        </is>
      </c>
      <c r="B578" s="2" t="inlineStr">
        <is>
          <t>Держатели для пустышек</t>
        </is>
      </c>
      <c r="C578" s="2">
        <v>117637846</v>
      </c>
      <c r="D578" s="2" t="inlineStr">
        <is>
          <t>KsyushaBG</t>
        </is>
      </c>
      <c r="E578" s="2" t="inlineStr">
        <is>
          <t>2042164125623</t>
        </is>
      </c>
      <c r="F578" s="2">
        <v>0</v>
      </c>
      <c r="G578" s="2">
        <v>1</v>
      </c>
      <c r="H578" s="2" t="inlineStr">
        <is>
          <t/>
        </is>
      </c>
      <c r="I578" s="2" t="inlineStr">
        <is>
          <t>790</t>
        </is>
      </c>
      <c r="J578" s="4"/>
      <c r="K578" s="2">
        <v>10</v>
      </c>
      <c r="L578" s="6"/>
      <c r="M578" s="2" t="str">
        <f>IF(J578="",ROUND(I578*(1-IF(ISBLANK(L578),K578,L578)/100),2),ROUND(J578*(1-IF(ISBLANK(L578),K578,L578)/100),2))</f>
      </c>
      <c r="N578" s="7" t="str">
        <f>IF(NOT(AND(J578="",L578="")),IF(OR(AND(L578&lt;&gt;"",NOT(ISNUMBER(L578))),IFERROR(MOD(L578,1),1)&gt;0,AND(ISNUMBER(L578),OR(L578&lt;0,L578&gt;95))),"Введите целое число от 0 до 95",IF(OR(AND(J578&lt;&gt;"",NOT(ISNUMBER(J578))),IFERROR(MOD(J578,1),1)&gt;0,AND(ISNUMBER(J578),OR(J578&lt;50,J578&gt;20000000))),"Введите целое число от 50 до 20000000",IF(NOT(ABS(IFERROR(VALUE(LEFT(M578,FIND("-",M578)-1)),M578)*100-(5000+2000000000)/2)&lt;=ABS(5000-2000000000)/2),"Цена со скидкой должна быть от 50 до 20000000",IF(IFERROR(VALUE(LEFT(M578,FIND("-",M578)-1)),M578)*229&lt;71100,"Вы уменьшили цену в несколько раз, товар попадет в карантин цен","")))),"")</f>
      </c>
    </row>
    <row r="579">
      <c r="A579" s="2" t="inlineStr">
        <is>
          <t>CuteShop</t>
        </is>
      </c>
      <c r="B579" s="2" t="inlineStr">
        <is>
          <t>Держатели для пустышек</t>
        </is>
      </c>
      <c r="C579" s="2">
        <v>147844211</v>
      </c>
      <c r="D579" s="2" t="inlineStr">
        <is>
          <t>VladimirPanda</t>
        </is>
      </c>
      <c r="E579" s="2" t="inlineStr">
        <is>
          <t>2037502996379</t>
        </is>
      </c>
      <c r="F579" s="2">
        <v>0</v>
      </c>
      <c r="G579" s="2">
        <v>1</v>
      </c>
      <c r="H579" s="2">
        <v>0</v>
      </c>
      <c r="I579" s="2" t="inlineStr">
        <is>
          <t>1030</t>
        </is>
      </c>
      <c r="J579" s="4"/>
      <c r="K579" s="2">
        <v>10</v>
      </c>
      <c r="L579" s="6"/>
      <c r="M579" s="2" t="str">
        <f>IF(J579="",ROUND(I579*(1-IF(ISBLANK(L579),K579,L579)/100),2),ROUND(J579*(1-IF(ISBLANK(L579),K579,L579)/100),2))</f>
      </c>
      <c r="N579" s="7" t="str">
        <f>IF(NOT(AND(J579="",L579="")),IF(OR(AND(L579&lt;&gt;"",NOT(ISNUMBER(L579))),IFERROR(MOD(L579,1),1)&gt;0,AND(ISNUMBER(L579),OR(L579&lt;0,L579&gt;95))),"Введите целое число от 0 до 95",IF(OR(AND(J579&lt;&gt;"",NOT(ISNUMBER(J579))),IFERROR(MOD(J579,1),1)&gt;0,AND(ISNUMBER(J579),OR(J579&lt;50,J579&gt;20000000))),"Введите целое число от 50 до 20000000",IF(NOT(ABS(IFERROR(VALUE(LEFT(M579,FIND("-",M579)-1)),M579)*100-(5000+2000000000)/2)&lt;=ABS(5000-2000000000)/2),"Цена со скидкой должна быть от 50 до 20000000",IF(IFERROR(VALUE(LEFT(M579,FIND("-",M579)-1)),M579)*229&lt;92700,"Вы уменьшили цену в несколько раз, товар попадет в карантин цен","")))),"")</f>
      </c>
    </row>
    <row r="580">
      <c r="A580" s="2" t="inlineStr">
        <is>
          <t>CuteShop</t>
        </is>
      </c>
      <c r="B580" s="2" t="inlineStr">
        <is>
          <t>Держатели для пустышек</t>
        </is>
      </c>
      <c r="C580" s="2">
        <v>147844213</v>
      </c>
      <c r="D580" s="2" t="inlineStr">
        <is>
          <t>VovaBG</t>
        </is>
      </c>
      <c r="E580" s="2" t="inlineStr">
        <is>
          <t>2037502971932</t>
        </is>
      </c>
      <c r="F580" s="2">
        <v>0</v>
      </c>
      <c r="G580" s="2">
        <v>2</v>
      </c>
      <c r="H580" s="2">
        <v>0</v>
      </c>
      <c r="I580" s="2" t="inlineStr">
        <is>
          <t>790</t>
        </is>
      </c>
      <c r="J580" s="4"/>
      <c r="K580" s="2">
        <v>10</v>
      </c>
      <c r="L580" s="6"/>
      <c r="M580" s="2" t="str">
        <f>IF(J580="",ROUND(I580*(1-IF(ISBLANK(L580),K580,L580)/100),2),ROUND(J580*(1-IF(ISBLANK(L580),K580,L580)/100),2))</f>
      </c>
      <c r="N580" s="7" t="str">
        <f>IF(NOT(AND(J580="",L580="")),IF(OR(AND(L580&lt;&gt;"",NOT(ISNUMBER(L580))),IFERROR(MOD(L580,1),1)&gt;0,AND(ISNUMBER(L580),OR(L580&lt;0,L580&gt;95))),"Введите целое число от 0 до 95",IF(OR(AND(J580&lt;&gt;"",NOT(ISNUMBER(J580))),IFERROR(MOD(J580,1),1)&gt;0,AND(ISNUMBER(J580),OR(J580&lt;50,J580&gt;20000000))),"Введите целое число от 50 до 20000000",IF(NOT(ABS(IFERROR(VALUE(LEFT(M580,FIND("-",M580)-1)),M580)*100-(5000+2000000000)/2)&lt;=ABS(5000-2000000000)/2),"Цена со скидкой должна быть от 50 до 20000000",IF(IFERROR(VALUE(LEFT(M580,FIND("-",M580)-1)),M580)*229&lt;71100,"Вы уменьшили цену в несколько раз, товар попадет в карантин цен","")))),"")</f>
      </c>
    </row>
    <row r="581">
      <c r="A581" s="2" t="inlineStr">
        <is>
          <t>CuteShop</t>
        </is>
      </c>
      <c r="B581" s="2" t="inlineStr">
        <is>
          <t>Держатели для пустышек</t>
        </is>
      </c>
      <c r="C581" s="2">
        <v>147844218</v>
      </c>
      <c r="D581" s="2" t="inlineStr">
        <is>
          <t>VovochkaSob</t>
        </is>
      </c>
      <c r="E581" s="2" t="inlineStr">
        <is>
          <t>2037502984673</t>
        </is>
      </c>
      <c r="F581" s="2">
        <v>0</v>
      </c>
      <c r="G581" s="2">
        <v>0</v>
      </c>
      <c r="H581" s="2">
        <v>1</v>
      </c>
      <c r="I581" s="2" t="inlineStr">
        <is>
          <t>1030</t>
        </is>
      </c>
      <c r="J581" s="4"/>
      <c r="K581" s="2">
        <v>10</v>
      </c>
      <c r="L581" s="6"/>
      <c r="M581" s="2" t="str">
        <f>IF(J581="",ROUND(I581*(1-IF(ISBLANK(L581),K581,L581)/100),2),ROUND(J581*(1-IF(ISBLANK(L581),K581,L581)/100),2))</f>
      </c>
      <c r="N581" s="7" t="str">
        <f>IF(NOT(AND(J581="",L581="")),IF(OR(AND(L581&lt;&gt;"",NOT(ISNUMBER(L581))),IFERROR(MOD(L581,1),1)&gt;0,AND(ISNUMBER(L581),OR(L581&lt;0,L581&gt;95))),"Введите целое число от 0 до 95",IF(OR(AND(J581&lt;&gt;"",NOT(ISNUMBER(J581))),IFERROR(MOD(J581,1),1)&gt;0,AND(ISNUMBER(J581),OR(J581&lt;50,J581&gt;20000000))),"Введите целое число от 50 до 20000000",IF(NOT(ABS(IFERROR(VALUE(LEFT(M581,FIND("-",M581)-1)),M581)*100-(5000+2000000000)/2)&lt;=ABS(5000-2000000000)/2),"Цена со скидкой должна быть от 50 до 20000000",IF(IFERROR(VALUE(LEFT(M581,FIND("-",M581)-1)),M581)*229&lt;92700,"Вы уменьшили цену в несколько раз, товар попадет в карантин цен","")))),"")</f>
      </c>
    </row>
    <row r="582">
      <c r="A582" s="2" t="inlineStr">
        <is>
          <t>CuteShop</t>
        </is>
      </c>
      <c r="B582" s="2" t="inlineStr">
        <is>
          <t>Держатели для пустышек</t>
        </is>
      </c>
      <c r="C582" s="2">
        <v>102151023</v>
      </c>
      <c r="D582" s="2" t="inlineStr">
        <is>
          <t>Frunze</t>
        </is>
      </c>
      <c r="E582" s="2" t="inlineStr">
        <is>
          <t>2036836295882</t>
        </is>
      </c>
      <c r="F582" s="2">
        <v>0</v>
      </c>
      <c r="G582" s="2">
        <v>1</v>
      </c>
      <c r="H582" s="2">
        <v>0</v>
      </c>
      <c r="I582" s="2" t="inlineStr">
        <is>
          <t>1030</t>
        </is>
      </c>
      <c r="J582" s="4"/>
      <c r="K582" s="2">
        <v>10</v>
      </c>
      <c r="L582" s="6"/>
      <c r="M582" s="2" t="str">
        <f>IF(J582="",ROUND(I582*(1-IF(ISBLANK(L582),K582,L582)/100),2),ROUND(J582*(1-IF(ISBLANK(L582),K582,L582)/100),2))</f>
      </c>
      <c r="N582" s="7" t="str">
        <f>IF(NOT(AND(J582="",L582="")),IF(OR(AND(L582&lt;&gt;"",NOT(ISNUMBER(L582))),IFERROR(MOD(L582,1),1)&gt;0,AND(ISNUMBER(L582),OR(L582&lt;0,L582&gt;95))),"Введите целое число от 0 до 95",IF(OR(AND(J582&lt;&gt;"",NOT(ISNUMBER(J582))),IFERROR(MOD(J582,1),1)&gt;0,AND(ISNUMBER(J582),OR(J582&lt;50,J582&gt;20000000))),"Введите целое число от 50 до 20000000",IF(NOT(ABS(IFERROR(VALUE(LEFT(M582,FIND("-",M582)-1)),M582)*100-(5000+2000000000)/2)&lt;=ABS(5000-2000000000)/2),"Цена со скидкой должна быть от 50 до 20000000",IF(IFERROR(VALUE(LEFT(M582,FIND("-",M582)-1)),M582)*229&lt;92700,"Вы уменьшили цену в несколько раз, товар попадет в карантин цен","")))),"")</f>
      </c>
    </row>
    <row r="583">
      <c r="A583" s="2" t="inlineStr">
        <is>
          <t/>
        </is>
      </c>
      <c r="B583" s="2" t="inlineStr">
        <is>
          <t>Держатели для пустышек</t>
        </is>
      </c>
      <c r="C583" s="2">
        <v>385458961</v>
      </c>
      <c r="D583" s="2" t="inlineStr">
        <is>
          <t>Ahmadjon</t>
        </is>
      </c>
      <c r="E583" s="2" t="inlineStr">
        <is>
          <t>2043555953382</t>
        </is>
      </c>
      <c r="F583" s="2">
        <v>0</v>
      </c>
      <c r="G583" s="2">
        <v>1</v>
      </c>
      <c r="H583" s="2" t="inlineStr">
        <is>
          <t/>
        </is>
      </c>
      <c r="I583" s="2" t="inlineStr">
        <is>
          <t>800</t>
        </is>
      </c>
      <c r="J583" s="4"/>
      <c r="K583" s="2">
        <v>10</v>
      </c>
      <c r="L583" s="6"/>
      <c r="M583" s="2" t="str">
        <f>IF(J583="",ROUND(I583*(1-IF(ISBLANK(L583),K583,L583)/100),2),ROUND(J583*(1-IF(ISBLANK(L583),K583,L583)/100),2))</f>
      </c>
      <c r="N583" s="7" t="str">
        <f>IF(NOT(AND(J583="",L583="")),IF(OR(AND(L583&lt;&gt;"",NOT(ISNUMBER(L583))),IFERROR(MOD(L583,1),1)&gt;0,AND(ISNUMBER(L583),OR(L583&lt;0,L583&gt;95))),"Введите целое число от 0 до 95",IF(OR(AND(J583&lt;&gt;"",NOT(ISNUMBER(J583))),IFERROR(MOD(J583,1),1)&gt;0,AND(ISNUMBER(J583),OR(J583&lt;50,J583&gt;20000000))),"Введите целое число от 50 до 20000000",IF(NOT(ABS(IFERROR(VALUE(LEFT(M583,FIND("-",M583)-1)),M583)*100-(5000+2000000000)/2)&lt;=ABS(5000-2000000000)/2),"Цена со скидкой должна быть от 50 до 20000000",IF(IFERROR(VALUE(LEFT(M583,FIND("-",M583)-1)),M583)*229&lt;72000,"Вы уменьшили цену в несколько раз, товар попадет в карантин цен","")))),"")</f>
      </c>
    </row>
    <row r="584">
      <c r="A584" s="2" t="inlineStr">
        <is>
          <t>CuteShop</t>
        </is>
      </c>
      <c r="B584" s="2" t="inlineStr">
        <is>
          <t>Держатели для пустышек</t>
        </is>
      </c>
      <c r="C584" s="2">
        <v>87685582</v>
      </c>
      <c r="D584" s="2" t="inlineStr">
        <is>
          <t>MilanaBG</t>
        </is>
      </c>
      <c r="E584" s="2" t="inlineStr">
        <is>
          <t>2034881178624</t>
        </is>
      </c>
      <c r="F584" s="2">
        <v>0</v>
      </c>
      <c r="G584" s="2">
        <v>0</v>
      </c>
      <c r="H584" s="2">
        <v>0</v>
      </c>
      <c r="I584" s="2" t="inlineStr">
        <is>
          <t>790</t>
        </is>
      </c>
      <c r="J584" s="4"/>
      <c r="K584" s="2">
        <v>10</v>
      </c>
      <c r="L584" s="6"/>
      <c r="M584" s="2" t="str">
        <f>IF(J584="",ROUND(I584*(1-IF(ISBLANK(L584),K584,L584)/100),2),ROUND(J584*(1-IF(ISBLANK(L584),K584,L584)/100),2))</f>
      </c>
      <c r="N584" s="7" t="str">
        <f>IF(NOT(AND(J584="",L584="")),IF(OR(AND(L584&lt;&gt;"",NOT(ISNUMBER(L584))),IFERROR(MOD(L584,1),1)&gt;0,AND(ISNUMBER(L584),OR(L584&lt;0,L584&gt;95))),"Введите целое число от 0 до 95",IF(OR(AND(J584&lt;&gt;"",NOT(ISNUMBER(J584))),IFERROR(MOD(J584,1),1)&gt;0,AND(ISNUMBER(J584),OR(J584&lt;50,J584&gt;20000000))),"Введите целое число от 50 до 20000000",IF(NOT(ABS(IFERROR(VALUE(LEFT(M584,FIND("-",M584)-1)),M584)*100-(5000+2000000000)/2)&lt;=ABS(5000-2000000000)/2),"Цена со скидкой должна быть от 50 до 20000000",IF(IFERROR(VALUE(LEFT(M584,FIND("-",M584)-1)),M584)*229&lt;71100,"Вы уменьшили цену в несколько раз, товар попадет в карантин цен","")))),"")</f>
      </c>
    </row>
    <row r="585">
      <c r="A585" s="2" t="inlineStr">
        <is>
          <t>CuteShop</t>
        </is>
      </c>
      <c r="B585" s="2" t="inlineStr">
        <is>
          <t>Держатели для пустышек</t>
        </is>
      </c>
      <c r="C585" s="2">
        <v>103673739</v>
      </c>
      <c r="D585" s="2" t="inlineStr">
        <is>
          <t>LeraLama</t>
        </is>
      </c>
      <c r="E585" s="2" t="inlineStr">
        <is>
          <t>2036858805892</t>
        </is>
      </c>
      <c r="F585" s="2">
        <v>0</v>
      </c>
      <c r="G585" s="2">
        <v>0</v>
      </c>
      <c r="H585" s="2">
        <v>0</v>
      </c>
      <c r="I585" s="2" t="inlineStr">
        <is>
          <t>1030</t>
        </is>
      </c>
      <c r="J585" s="4"/>
      <c r="K585" s="2">
        <v>10</v>
      </c>
      <c r="L585" s="6"/>
      <c r="M585" s="2" t="str">
        <f>IF(J585="",ROUND(I585*(1-IF(ISBLANK(L585),K585,L585)/100),2),ROUND(J585*(1-IF(ISBLANK(L585),K585,L585)/100),2))</f>
      </c>
      <c r="N585" s="7" t="str">
        <f>IF(NOT(AND(J585="",L585="")),IF(OR(AND(L585&lt;&gt;"",NOT(ISNUMBER(L585))),IFERROR(MOD(L585,1),1)&gt;0,AND(ISNUMBER(L585),OR(L585&lt;0,L585&gt;95))),"Введите целое число от 0 до 95",IF(OR(AND(J585&lt;&gt;"",NOT(ISNUMBER(J585))),IFERROR(MOD(J585,1),1)&gt;0,AND(ISNUMBER(J585),OR(J585&lt;50,J585&gt;20000000))),"Введите целое число от 50 до 20000000",IF(NOT(ABS(IFERROR(VALUE(LEFT(M585,FIND("-",M585)-1)),M585)*100-(5000+2000000000)/2)&lt;=ABS(5000-2000000000)/2),"Цена со скидкой должна быть от 50 до 20000000",IF(IFERROR(VALUE(LEFT(M585,FIND("-",M585)-1)),M585)*229&lt;92700,"Вы уменьшили цену в несколько раз, товар попадет в карантин цен","")))),"")</f>
      </c>
    </row>
    <row r="586">
      <c r="A586" s="2" t="inlineStr">
        <is>
          <t>CuteShop</t>
        </is>
      </c>
      <c r="B586" s="2" t="inlineStr">
        <is>
          <t>Держатели для пустышек</t>
        </is>
      </c>
      <c r="C586" s="2">
        <v>87686349</v>
      </c>
      <c r="D586" s="2" t="inlineStr">
        <is>
          <t>MilanaMish2</t>
        </is>
      </c>
      <c r="E586" s="2" t="inlineStr">
        <is>
          <t>2034882835625</t>
        </is>
      </c>
      <c r="F586" s="2">
        <v>0</v>
      </c>
      <c r="G586" s="2">
        <v>1</v>
      </c>
      <c r="H586" s="2">
        <v>0</v>
      </c>
      <c r="I586" s="2" t="inlineStr">
        <is>
          <t>1030</t>
        </is>
      </c>
      <c r="J586" s="4"/>
      <c r="K586" s="2">
        <v>10</v>
      </c>
      <c r="L586" s="6"/>
      <c r="M586" s="2" t="str">
        <f>IF(J586="",ROUND(I586*(1-IF(ISBLANK(L586),K586,L586)/100),2),ROUND(J586*(1-IF(ISBLANK(L586),K586,L586)/100),2))</f>
      </c>
      <c r="N586" s="7" t="str">
        <f>IF(NOT(AND(J586="",L586="")),IF(OR(AND(L586&lt;&gt;"",NOT(ISNUMBER(L586))),IFERROR(MOD(L586,1),1)&gt;0,AND(ISNUMBER(L586),OR(L586&lt;0,L586&gt;95))),"Введите целое число от 0 до 95",IF(OR(AND(J586&lt;&gt;"",NOT(ISNUMBER(J586))),IFERROR(MOD(J586,1),1)&gt;0,AND(ISNUMBER(J586),OR(J586&lt;50,J586&gt;20000000))),"Введите целое число от 50 до 20000000",IF(NOT(ABS(IFERROR(VALUE(LEFT(M586,FIND("-",M586)-1)),M586)*100-(5000+2000000000)/2)&lt;=ABS(5000-2000000000)/2),"Цена со скидкой должна быть от 50 до 20000000",IF(IFERROR(VALUE(LEFT(M586,FIND("-",M586)-1)),M586)*229&lt;92700,"Вы уменьшили цену в несколько раз, товар попадет в карантин цен","")))),"")</f>
      </c>
    </row>
    <row r="587">
      <c r="A587" s="2" t="inlineStr">
        <is>
          <t>CuteShop</t>
        </is>
      </c>
      <c r="B587" s="2" t="inlineStr">
        <is>
          <t>Держатели для пустышек</t>
        </is>
      </c>
      <c r="C587" s="2">
        <v>87670309</v>
      </c>
      <c r="D587" s="2" t="inlineStr">
        <is>
          <t>TaisiyaMishRoz1</t>
        </is>
      </c>
      <c r="E587" s="2" t="inlineStr">
        <is>
          <t>2034874196628</t>
        </is>
      </c>
      <c r="F587" s="2">
        <v>0</v>
      </c>
      <c r="G587" s="2">
        <v>1</v>
      </c>
      <c r="H587" s="2">
        <v>1</v>
      </c>
      <c r="I587" s="2" t="inlineStr">
        <is>
          <t>1030</t>
        </is>
      </c>
      <c r="J587" s="4"/>
      <c r="K587" s="2">
        <v>10</v>
      </c>
      <c r="L587" s="6"/>
      <c r="M587" s="2" t="str">
        <f>IF(J587="",ROUND(I587*(1-IF(ISBLANK(L587),K587,L587)/100),2),ROUND(J587*(1-IF(ISBLANK(L587),K587,L587)/100),2))</f>
      </c>
      <c r="N587" s="7" t="str">
        <f>IF(NOT(AND(J587="",L587="")),IF(OR(AND(L587&lt;&gt;"",NOT(ISNUMBER(L587))),IFERROR(MOD(L587,1),1)&gt;0,AND(ISNUMBER(L587),OR(L587&lt;0,L587&gt;95))),"Введите целое число от 0 до 95",IF(OR(AND(J587&lt;&gt;"",NOT(ISNUMBER(J587))),IFERROR(MOD(J587,1),1)&gt;0,AND(ISNUMBER(J587),OR(J587&lt;50,J587&gt;20000000))),"Введите целое число от 50 до 20000000",IF(NOT(ABS(IFERROR(VALUE(LEFT(M587,FIND("-",M587)-1)),M587)*100-(5000+2000000000)/2)&lt;=ABS(5000-2000000000)/2),"Цена со скидкой должна быть от 50 до 20000000",IF(IFERROR(VALUE(LEFT(M587,FIND("-",M587)-1)),M587)*229&lt;92700,"Вы уменьшили цену в несколько раз, товар попадет в карантин цен","")))),"")</f>
      </c>
    </row>
    <row r="588">
      <c r="A588" s="2" t="inlineStr">
        <is>
          <t>CuteShop</t>
        </is>
      </c>
      <c r="B588" s="2" t="inlineStr">
        <is>
          <t>Держатели для пустышек</t>
        </is>
      </c>
      <c r="C588" s="2">
        <v>112949845</v>
      </c>
      <c r="D588" s="2" t="inlineStr">
        <is>
          <t>AndreyMMash</t>
        </is>
      </c>
      <c r="E588" s="2" t="inlineStr">
        <is>
          <t>2038998153628</t>
        </is>
      </c>
      <c r="F588" s="2">
        <v>0</v>
      </c>
      <c r="G588" s="2">
        <v>0</v>
      </c>
      <c r="H588" s="2">
        <v>0</v>
      </c>
      <c r="I588" s="2" t="inlineStr">
        <is>
          <t>1030</t>
        </is>
      </c>
      <c r="J588" s="4"/>
      <c r="K588" s="2">
        <v>10</v>
      </c>
      <c r="L588" s="6"/>
      <c r="M588" s="2" t="str">
        <f>IF(J588="",ROUND(I588*(1-IF(ISBLANK(L588),K588,L588)/100),2),ROUND(J588*(1-IF(ISBLANK(L588),K588,L588)/100),2))</f>
      </c>
      <c r="N588" s="7" t="str">
        <f>IF(NOT(AND(J588="",L588="")),IF(OR(AND(L588&lt;&gt;"",NOT(ISNUMBER(L588))),IFERROR(MOD(L588,1),1)&gt;0,AND(ISNUMBER(L588),OR(L588&lt;0,L588&gt;95))),"Введите целое число от 0 до 95",IF(OR(AND(J588&lt;&gt;"",NOT(ISNUMBER(J588))),IFERROR(MOD(J588,1),1)&gt;0,AND(ISNUMBER(J588),OR(J588&lt;50,J588&gt;20000000))),"Введите целое число от 50 до 20000000",IF(NOT(ABS(IFERROR(VALUE(LEFT(M588,FIND("-",M588)-1)),M588)*100-(5000+2000000000)/2)&lt;=ABS(5000-2000000000)/2),"Цена со скидкой должна быть от 50 до 20000000",IF(IFERROR(VALUE(LEFT(M588,FIND("-",M588)-1)),M588)*229&lt;92700,"Вы уменьшили цену в несколько раз, товар попадет в карантин цен","")))),"")</f>
      </c>
    </row>
    <row r="589">
      <c r="A589" s="2" t="inlineStr">
        <is>
          <t>CuteShop</t>
        </is>
      </c>
      <c r="B589" s="2" t="inlineStr">
        <is>
          <t>Держатели для пустышек</t>
        </is>
      </c>
      <c r="C589" s="2">
        <v>112956195</v>
      </c>
      <c r="D589" s="2" t="inlineStr">
        <is>
          <t>LeraLama2</t>
        </is>
      </c>
      <c r="E589" s="2" t="inlineStr">
        <is>
          <t>2039001397626</t>
        </is>
      </c>
      <c r="F589" s="2">
        <v>0</v>
      </c>
      <c r="G589" s="2">
        <v>0</v>
      </c>
      <c r="H589" s="2" t="inlineStr">
        <is>
          <t/>
        </is>
      </c>
      <c r="I589" s="2" t="inlineStr">
        <is>
          <t>1030</t>
        </is>
      </c>
      <c r="J589" s="4"/>
      <c r="K589" s="2">
        <v>10</v>
      </c>
      <c r="L589" s="6"/>
      <c r="M589" s="2" t="str">
        <f>IF(J589="",ROUND(I589*(1-IF(ISBLANK(L589),K589,L589)/100),2),ROUND(J589*(1-IF(ISBLANK(L589),K589,L589)/100),2))</f>
      </c>
      <c r="N589" s="7" t="str">
        <f>IF(NOT(AND(J589="",L589="")),IF(OR(AND(L589&lt;&gt;"",NOT(ISNUMBER(L589))),IFERROR(MOD(L589,1),1)&gt;0,AND(ISNUMBER(L589),OR(L589&lt;0,L589&gt;95))),"Введите целое число от 0 до 95",IF(OR(AND(J589&lt;&gt;"",NOT(ISNUMBER(J589))),IFERROR(MOD(J589,1),1)&gt;0,AND(ISNUMBER(J589),OR(J589&lt;50,J589&gt;20000000))),"Введите целое число от 50 до 20000000",IF(NOT(ABS(IFERROR(VALUE(LEFT(M589,FIND("-",M589)-1)),M589)*100-(5000+2000000000)/2)&lt;=ABS(5000-2000000000)/2),"Цена со скидкой должна быть от 50 до 20000000",IF(IFERROR(VALUE(LEFT(M589,FIND("-",M589)-1)),M589)*229&lt;92700,"Вы уменьшили цену в несколько раз, товар попадет в карантин цен","")))),"")</f>
      </c>
    </row>
    <row r="590">
      <c r="A590" s="2" t="inlineStr">
        <is>
          <t>CuteShop</t>
        </is>
      </c>
      <c r="B590" s="2" t="inlineStr">
        <is>
          <t>Держатели для пустышек</t>
        </is>
      </c>
      <c r="C590" s="2">
        <v>112952893</v>
      </c>
      <c r="D590" s="2" t="inlineStr">
        <is>
          <t>DanyaLisSer</t>
        </is>
      </c>
      <c r="E590" s="2" t="inlineStr">
        <is>
          <t>2038999355625</t>
        </is>
      </c>
      <c r="F590" s="2">
        <v>0</v>
      </c>
      <c r="G590" s="2">
        <v>1</v>
      </c>
      <c r="H590" s="2" t="inlineStr">
        <is>
          <t/>
        </is>
      </c>
      <c r="I590" s="2" t="inlineStr">
        <is>
          <t>1030</t>
        </is>
      </c>
      <c r="J590" s="4"/>
      <c r="K590" s="2">
        <v>10</v>
      </c>
      <c r="L590" s="6"/>
      <c r="M590" s="2" t="str">
        <f>IF(J590="",ROUND(I590*(1-IF(ISBLANK(L590),K590,L590)/100),2),ROUND(J590*(1-IF(ISBLANK(L590),K590,L590)/100),2))</f>
      </c>
      <c r="N590" s="7" t="str">
        <f>IF(NOT(AND(J590="",L590="")),IF(OR(AND(L590&lt;&gt;"",NOT(ISNUMBER(L590))),IFERROR(MOD(L590,1),1)&gt;0,AND(ISNUMBER(L590),OR(L590&lt;0,L590&gt;95))),"Введите целое число от 0 до 95",IF(OR(AND(J590&lt;&gt;"",NOT(ISNUMBER(J590))),IFERROR(MOD(J590,1),1)&gt;0,AND(ISNUMBER(J590),OR(J590&lt;50,J590&gt;20000000))),"Введите целое число от 50 до 20000000",IF(NOT(ABS(IFERROR(VALUE(LEFT(M590,FIND("-",M590)-1)),M590)*100-(5000+2000000000)/2)&lt;=ABS(5000-2000000000)/2),"Цена со скидкой должна быть от 50 до 20000000",IF(IFERROR(VALUE(LEFT(M590,FIND("-",M590)-1)),M590)*229&lt;92700,"Вы уменьшили цену в несколько раз, товар попадет в карантин цен","")))),"")</f>
      </c>
    </row>
    <row r="591">
      <c r="A591" s="2" t="inlineStr">
        <is>
          <t>CuteShop</t>
        </is>
      </c>
      <c r="B591" s="2" t="inlineStr">
        <is>
          <t>Держатели для пустышек</t>
        </is>
      </c>
      <c r="C591" s="2">
        <v>89002879</v>
      </c>
      <c r="D591" s="2" t="inlineStr">
        <is>
          <t>TimurMishSer</t>
        </is>
      </c>
      <c r="E591" s="2" t="inlineStr">
        <is>
          <t>2035646230625</t>
        </is>
      </c>
      <c r="F591" s="2">
        <v>0</v>
      </c>
      <c r="G591" s="2">
        <v>1</v>
      </c>
      <c r="H591" s="2">
        <v>0</v>
      </c>
      <c r="I591" s="2" t="inlineStr">
        <is>
          <t>1030</t>
        </is>
      </c>
      <c r="J591" s="4"/>
      <c r="K591" s="2">
        <v>10</v>
      </c>
      <c r="L591" s="6"/>
      <c r="M591" s="2" t="str">
        <f>IF(J591="",ROUND(I591*(1-IF(ISBLANK(L591),K591,L591)/100),2),ROUND(J591*(1-IF(ISBLANK(L591),K591,L591)/100),2))</f>
      </c>
      <c r="N591" s="7" t="str">
        <f>IF(NOT(AND(J591="",L591="")),IF(OR(AND(L591&lt;&gt;"",NOT(ISNUMBER(L591))),IFERROR(MOD(L591,1),1)&gt;0,AND(ISNUMBER(L591),OR(L591&lt;0,L591&gt;95))),"Введите целое число от 0 до 95",IF(OR(AND(J591&lt;&gt;"",NOT(ISNUMBER(J591))),IFERROR(MOD(J591,1),1)&gt;0,AND(ISNUMBER(J591),OR(J591&lt;50,J591&gt;20000000))),"Введите целое число от 50 до 20000000",IF(NOT(ABS(IFERROR(VALUE(LEFT(M591,FIND("-",M591)-1)),M591)*100-(5000+2000000000)/2)&lt;=ABS(5000-2000000000)/2),"Цена со скидкой должна быть от 50 до 20000000",IF(IFERROR(VALUE(LEFT(M591,FIND("-",M591)-1)),M591)*229&lt;92700,"Вы уменьшили цену в несколько раз, товар попадет в карантин цен","")))),"")</f>
      </c>
    </row>
    <row r="592">
      <c r="A592" s="2" t="inlineStr">
        <is>
          <t>CuteShop</t>
        </is>
      </c>
      <c r="B592" s="2" t="inlineStr">
        <is>
          <t>Держатели для пустышек</t>
        </is>
      </c>
      <c r="C592" s="2">
        <v>132222245</v>
      </c>
      <c r="D592" s="2" t="inlineStr">
        <is>
          <t>MariyaMaruMish</t>
        </is>
      </c>
      <c r="E592" s="2" t="inlineStr">
        <is>
          <t>2037042561785</t>
        </is>
      </c>
      <c r="F592" s="2">
        <v>0</v>
      </c>
      <c r="G592" s="2">
        <v>1</v>
      </c>
      <c r="H592" s="2">
        <v>0</v>
      </c>
      <c r="I592" s="2" t="inlineStr">
        <is>
          <t>1030</t>
        </is>
      </c>
      <c r="J592" s="4"/>
      <c r="K592" s="2">
        <v>10</v>
      </c>
      <c r="L592" s="6"/>
      <c r="M592" s="2" t="str">
        <f>IF(J592="",ROUND(I592*(1-IF(ISBLANK(L592),K592,L592)/100),2),ROUND(J592*(1-IF(ISBLANK(L592),K592,L592)/100),2))</f>
      </c>
      <c r="N592" s="7" t="str">
        <f>IF(NOT(AND(J592="",L592="")),IF(OR(AND(L592&lt;&gt;"",NOT(ISNUMBER(L592))),IFERROR(MOD(L592,1),1)&gt;0,AND(ISNUMBER(L592),OR(L592&lt;0,L592&gt;95))),"Введите целое число от 0 до 95",IF(OR(AND(J592&lt;&gt;"",NOT(ISNUMBER(J592))),IFERROR(MOD(J592,1),1)&gt;0,AND(ISNUMBER(J592),OR(J592&lt;50,J592&gt;20000000))),"Введите целое число от 50 до 20000000",IF(NOT(ABS(IFERROR(VALUE(LEFT(M592,FIND("-",M592)-1)),M592)*100-(5000+2000000000)/2)&lt;=ABS(5000-2000000000)/2),"Цена со скидкой должна быть от 50 до 20000000",IF(IFERROR(VALUE(LEFT(M592,FIND("-",M592)-1)),M592)*229&lt;92700,"Вы уменьшили цену в несколько раз, товар попадет в карантин цен","")))),"")</f>
      </c>
    </row>
    <row r="593">
      <c r="A593" s="2" t="inlineStr">
        <is>
          <t>CuteShop</t>
        </is>
      </c>
      <c r="B593" s="2" t="inlineStr">
        <is>
          <t>Держатели для пустышек</t>
        </is>
      </c>
      <c r="C593" s="2">
        <v>87359537</v>
      </c>
      <c r="D593" s="2" t="inlineStr">
        <is>
          <t>KiraSlon</t>
        </is>
      </c>
      <c r="E593" s="2" t="inlineStr">
        <is>
          <t>2034751559621</t>
        </is>
      </c>
      <c r="F593" s="2">
        <v>0</v>
      </c>
      <c r="G593" s="2">
        <v>0</v>
      </c>
      <c r="H593" s="2">
        <v>0</v>
      </c>
      <c r="I593" s="2" t="inlineStr">
        <is>
          <t>1030</t>
        </is>
      </c>
      <c r="J593" s="4"/>
      <c r="K593" s="2">
        <v>10</v>
      </c>
      <c r="L593" s="6"/>
      <c r="M593" s="2" t="str">
        <f>IF(J593="",ROUND(I593*(1-IF(ISBLANK(L593),K593,L593)/100),2),ROUND(J593*(1-IF(ISBLANK(L593),K593,L593)/100),2))</f>
      </c>
      <c r="N593" s="7" t="str">
        <f>IF(NOT(AND(J593="",L593="")),IF(OR(AND(L593&lt;&gt;"",NOT(ISNUMBER(L593))),IFERROR(MOD(L593,1),1)&gt;0,AND(ISNUMBER(L593),OR(L593&lt;0,L593&gt;95))),"Введите целое число от 0 до 95",IF(OR(AND(J593&lt;&gt;"",NOT(ISNUMBER(J593))),IFERROR(MOD(J593,1),1)&gt;0,AND(ISNUMBER(J593),OR(J593&lt;50,J593&gt;20000000))),"Введите целое число от 50 до 20000000",IF(NOT(ABS(IFERROR(VALUE(LEFT(M593,FIND("-",M593)-1)),M593)*100-(5000+2000000000)/2)&lt;=ABS(5000-2000000000)/2),"Цена со скидкой должна быть от 50 до 20000000",IF(IFERROR(VALUE(LEFT(M593,FIND("-",M593)-1)),M593)*229&lt;92700,"Вы уменьшили цену в несколько раз, товар попадет в карантин цен","")))),"")</f>
      </c>
    </row>
    <row r="594">
      <c r="A594" s="2" t="inlineStr">
        <is>
          <t>CuteShop</t>
        </is>
      </c>
      <c r="B594" s="2" t="inlineStr">
        <is>
          <t>Держатели для пустышек</t>
        </is>
      </c>
      <c r="C594" s="2">
        <v>87670307</v>
      </c>
      <c r="D594" s="2" t="inlineStr">
        <is>
          <t>TaisiyaBG3</t>
        </is>
      </c>
      <c r="E594" s="2" t="inlineStr">
        <is>
          <t>2034873678620</t>
        </is>
      </c>
      <c r="F594" s="2">
        <v>0</v>
      </c>
      <c r="G594" s="2">
        <v>1</v>
      </c>
      <c r="H594" s="2">
        <v>0</v>
      </c>
      <c r="I594" s="2" t="inlineStr">
        <is>
          <t>790</t>
        </is>
      </c>
      <c r="J594" s="4"/>
      <c r="K594" s="2">
        <v>10</v>
      </c>
      <c r="L594" s="6"/>
      <c r="M594" s="2" t="str">
        <f>IF(J594="",ROUND(I594*(1-IF(ISBLANK(L594),K594,L594)/100),2),ROUND(J594*(1-IF(ISBLANK(L594),K594,L594)/100),2))</f>
      </c>
      <c r="N594" s="7" t="str">
        <f>IF(NOT(AND(J594="",L594="")),IF(OR(AND(L594&lt;&gt;"",NOT(ISNUMBER(L594))),IFERROR(MOD(L594,1),1)&gt;0,AND(ISNUMBER(L594),OR(L594&lt;0,L594&gt;95))),"Введите целое число от 0 до 95",IF(OR(AND(J594&lt;&gt;"",NOT(ISNUMBER(J594))),IFERROR(MOD(J594,1),1)&gt;0,AND(ISNUMBER(J594),OR(J594&lt;50,J594&gt;20000000))),"Введите целое число от 50 до 20000000",IF(NOT(ABS(IFERROR(VALUE(LEFT(M594,FIND("-",M594)-1)),M594)*100-(5000+2000000000)/2)&lt;=ABS(5000-2000000000)/2),"Цена со скидкой должна быть от 50 до 20000000",IF(IFERROR(VALUE(LEFT(M594,FIND("-",M594)-1)),M594)*229&lt;71100,"Вы уменьшили цену в несколько раз, товар попадет в карантин цен","")))),"")</f>
      </c>
    </row>
    <row r="595">
      <c r="A595" s="2" t="inlineStr">
        <is>
          <t>CuteShop</t>
        </is>
      </c>
      <c r="B595" s="2" t="inlineStr">
        <is>
          <t>Держатели для пустышек</t>
        </is>
      </c>
      <c r="C595" s="2">
        <v>254314911</v>
      </c>
      <c r="D595" s="2" t="inlineStr">
        <is>
          <t>EmiliBG</t>
        </is>
      </c>
      <c r="E595" s="2" t="inlineStr">
        <is>
          <t>2040977336106</t>
        </is>
      </c>
      <c r="F595" s="2">
        <v>0</v>
      </c>
      <c r="G595" s="2">
        <v>1</v>
      </c>
      <c r="H595" s="2" t="inlineStr">
        <is>
          <t/>
        </is>
      </c>
      <c r="I595" s="2" t="inlineStr">
        <is>
          <t>740</t>
        </is>
      </c>
      <c r="J595" s="4"/>
      <c r="K595" s="2">
        <v>10</v>
      </c>
      <c r="L595" s="6"/>
      <c r="M595" s="2" t="str">
        <f>IF(J595="",ROUND(I595*(1-IF(ISBLANK(L595),K595,L595)/100),2),ROUND(J595*(1-IF(ISBLANK(L595),K595,L595)/100),2))</f>
      </c>
      <c r="N595" s="7" t="str">
        <f>IF(NOT(AND(J595="",L595="")),IF(OR(AND(L595&lt;&gt;"",NOT(ISNUMBER(L595))),IFERROR(MOD(L595,1),1)&gt;0,AND(ISNUMBER(L595),OR(L595&lt;0,L595&gt;95))),"Введите целое число от 0 до 95",IF(OR(AND(J595&lt;&gt;"",NOT(ISNUMBER(J595))),IFERROR(MOD(J595,1),1)&gt;0,AND(ISNUMBER(J595),OR(J595&lt;50,J595&gt;20000000))),"Введите целое число от 50 до 20000000",IF(NOT(ABS(IFERROR(VALUE(LEFT(M595,FIND("-",M595)-1)),M595)*100-(5000+2000000000)/2)&lt;=ABS(5000-2000000000)/2),"Цена со скидкой должна быть от 50 до 20000000",IF(IFERROR(VALUE(LEFT(M595,FIND("-",M595)-1)),M595)*229&lt;66600,"Вы уменьшили цену в несколько раз, товар попадет в карантин цен","")))),"")</f>
      </c>
    </row>
    <row r="596">
      <c r="A596" s="2" t="inlineStr">
        <is>
          <t>CuteShop</t>
        </is>
      </c>
      <c r="B596" s="2" t="inlineStr">
        <is>
          <t>Держатели для пустышек</t>
        </is>
      </c>
      <c r="C596" s="2">
        <v>87670311</v>
      </c>
      <c r="D596" s="2" t="inlineStr">
        <is>
          <t>TaisiyaMishRoz4</t>
        </is>
      </c>
      <c r="E596" s="2" t="inlineStr">
        <is>
          <t>2034874356626</t>
        </is>
      </c>
      <c r="F596" s="2">
        <v>0</v>
      </c>
      <c r="G596" s="2">
        <v>1</v>
      </c>
      <c r="H596" s="2">
        <v>0</v>
      </c>
      <c r="I596" s="2" t="inlineStr">
        <is>
          <t>1030</t>
        </is>
      </c>
      <c r="J596" s="4"/>
      <c r="K596" s="2">
        <v>10</v>
      </c>
      <c r="L596" s="6"/>
      <c r="M596" s="2" t="str">
        <f>IF(J596="",ROUND(I596*(1-IF(ISBLANK(L596),K596,L596)/100),2),ROUND(J596*(1-IF(ISBLANK(L596),K596,L596)/100),2))</f>
      </c>
      <c r="N596" s="7" t="str">
        <f>IF(NOT(AND(J596="",L596="")),IF(OR(AND(L596&lt;&gt;"",NOT(ISNUMBER(L596))),IFERROR(MOD(L596,1),1)&gt;0,AND(ISNUMBER(L596),OR(L596&lt;0,L596&gt;95))),"Введите целое число от 0 до 95",IF(OR(AND(J596&lt;&gt;"",NOT(ISNUMBER(J596))),IFERROR(MOD(J596,1),1)&gt;0,AND(ISNUMBER(J596),OR(J596&lt;50,J596&gt;20000000))),"Введите целое число от 50 до 20000000",IF(NOT(ABS(IFERROR(VALUE(LEFT(M596,FIND("-",M596)-1)),M596)*100-(5000+2000000000)/2)&lt;=ABS(5000-2000000000)/2),"Цена со скидкой должна быть от 50 до 20000000",IF(IFERROR(VALUE(LEFT(M596,FIND("-",M596)-1)),M596)*229&lt;92700,"Вы уменьшили цену в несколько раз, товар попадет в карантин цен","")))),"")</f>
      </c>
    </row>
    <row r="597">
      <c r="A597" s="2" t="inlineStr">
        <is>
          <t>CuteShop</t>
        </is>
      </c>
      <c r="B597" s="2" t="inlineStr">
        <is>
          <t>Держатели для пустышек</t>
        </is>
      </c>
      <c r="C597" s="2">
        <v>88835040</v>
      </c>
      <c r="D597" s="2" t="inlineStr">
        <is>
          <t>MiraOlen</t>
        </is>
      </c>
      <c r="E597" s="2" t="inlineStr">
        <is>
          <t>2035429318625</t>
        </is>
      </c>
      <c r="F597" s="2">
        <v>0</v>
      </c>
      <c r="G597" s="2">
        <v>0</v>
      </c>
      <c r="H597" s="2">
        <v>0</v>
      </c>
      <c r="I597" s="2" t="inlineStr">
        <is>
          <t>1030</t>
        </is>
      </c>
      <c r="J597" s="4"/>
      <c r="K597" s="2">
        <v>10</v>
      </c>
      <c r="L597" s="6"/>
      <c r="M597" s="2" t="str">
        <f>IF(J597="",ROUND(I597*(1-IF(ISBLANK(L597),K597,L597)/100),2),ROUND(J597*(1-IF(ISBLANK(L597),K597,L597)/100),2))</f>
      </c>
      <c r="N597" s="7" t="str">
        <f>IF(NOT(AND(J597="",L597="")),IF(OR(AND(L597&lt;&gt;"",NOT(ISNUMBER(L597))),IFERROR(MOD(L597,1),1)&gt;0,AND(ISNUMBER(L597),OR(L597&lt;0,L597&gt;95))),"Введите целое число от 0 до 95",IF(OR(AND(J597&lt;&gt;"",NOT(ISNUMBER(J597))),IFERROR(MOD(J597,1),1)&gt;0,AND(ISNUMBER(J597),OR(J597&lt;50,J597&gt;20000000))),"Введите целое число от 50 до 20000000",IF(NOT(ABS(IFERROR(VALUE(LEFT(M597,FIND("-",M597)-1)),M597)*100-(5000+2000000000)/2)&lt;=ABS(5000-2000000000)/2),"Цена со скидкой должна быть от 50 до 20000000",IF(IFERROR(VALUE(LEFT(M597,FIND("-",M597)-1)),M597)*229&lt;92700,"Вы уменьшили цену в несколько раз, товар попадет в карантин цен","")))),"")</f>
      </c>
    </row>
    <row r="598">
      <c r="A598" s="2" t="inlineStr">
        <is>
          <t>CuteShop</t>
        </is>
      </c>
      <c r="B598" s="2" t="inlineStr">
        <is>
          <t>Держатели для пустышек</t>
        </is>
      </c>
      <c r="C598" s="2">
        <v>87670305</v>
      </c>
      <c r="D598" s="2" t="inlineStr">
        <is>
          <t>TaisiyaBG</t>
        </is>
      </c>
      <c r="E598" s="2" t="inlineStr">
        <is>
          <t>2034870408626</t>
        </is>
      </c>
      <c r="F598" s="2">
        <v>0</v>
      </c>
      <c r="G598" s="2">
        <v>1</v>
      </c>
      <c r="H598" s="2">
        <v>1</v>
      </c>
      <c r="I598" s="2" t="inlineStr">
        <is>
          <t>790</t>
        </is>
      </c>
      <c r="J598" s="4"/>
      <c r="K598" s="2">
        <v>10</v>
      </c>
      <c r="L598" s="6"/>
      <c r="M598" s="2" t="str">
        <f>IF(J598="",ROUND(I598*(1-IF(ISBLANK(L598),K598,L598)/100),2),ROUND(J598*(1-IF(ISBLANK(L598),K598,L598)/100),2))</f>
      </c>
      <c r="N598" s="7" t="str">
        <f>IF(NOT(AND(J598="",L598="")),IF(OR(AND(L598&lt;&gt;"",NOT(ISNUMBER(L598))),IFERROR(MOD(L598,1),1)&gt;0,AND(ISNUMBER(L598),OR(L598&lt;0,L598&gt;95))),"Введите целое число от 0 до 95",IF(OR(AND(J598&lt;&gt;"",NOT(ISNUMBER(J598))),IFERROR(MOD(J598,1),1)&gt;0,AND(ISNUMBER(J598),OR(J598&lt;50,J598&gt;20000000))),"Введите целое число от 50 до 20000000",IF(NOT(ABS(IFERROR(VALUE(LEFT(M598,FIND("-",M598)-1)),M598)*100-(5000+2000000000)/2)&lt;=ABS(5000-2000000000)/2),"Цена со скидкой должна быть от 50 до 20000000",IF(IFERROR(VALUE(LEFT(M598,FIND("-",M598)-1)),M598)*229&lt;71100,"Вы уменьшили цену в несколько раз, товар попадет в карантин цен","")))),"")</f>
      </c>
    </row>
    <row r="599">
      <c r="A599" s="2" t="inlineStr">
        <is>
          <t>CuteShop</t>
        </is>
      </c>
      <c r="B599" s="2" t="inlineStr">
        <is>
          <t>Держатели для пустышек</t>
        </is>
      </c>
      <c r="C599" s="2">
        <v>88839063</v>
      </c>
      <c r="D599" s="2" t="inlineStr">
        <is>
          <t>SafiyaLama</t>
        </is>
      </c>
      <c r="E599" s="2" t="inlineStr">
        <is>
          <t>2035432269624</t>
        </is>
      </c>
      <c r="F599" s="2">
        <v>0</v>
      </c>
      <c r="G599" s="2">
        <v>1</v>
      </c>
      <c r="H599" s="2">
        <v>14</v>
      </c>
      <c r="I599" s="2" t="inlineStr">
        <is>
          <t>1030</t>
        </is>
      </c>
      <c r="J599" s="4"/>
      <c r="K599" s="2">
        <v>10</v>
      </c>
      <c r="L599" s="6"/>
      <c r="M599" s="2" t="str">
        <f>IF(J599="",ROUND(I599*(1-IF(ISBLANK(L599),K599,L599)/100),2),ROUND(J599*(1-IF(ISBLANK(L599),K599,L599)/100),2))</f>
      </c>
      <c r="N599" s="7" t="str">
        <f>IF(NOT(AND(J599="",L599="")),IF(OR(AND(L599&lt;&gt;"",NOT(ISNUMBER(L599))),IFERROR(MOD(L599,1),1)&gt;0,AND(ISNUMBER(L599),OR(L599&lt;0,L599&gt;95))),"Введите целое число от 0 до 95",IF(OR(AND(J599&lt;&gt;"",NOT(ISNUMBER(J599))),IFERROR(MOD(J599,1),1)&gt;0,AND(ISNUMBER(J599),OR(J599&lt;50,J599&gt;20000000))),"Введите целое число от 50 до 20000000",IF(NOT(ABS(IFERROR(VALUE(LEFT(M599,FIND("-",M599)-1)),M599)*100-(5000+2000000000)/2)&lt;=ABS(5000-2000000000)/2),"Цена со скидкой должна быть от 50 до 20000000",IF(IFERROR(VALUE(LEFT(M599,FIND("-",M599)-1)),M599)*229&lt;92700,"Вы уменьшили цену в несколько раз, товар попадет в карантин цен","")))),"")</f>
      </c>
    </row>
    <row r="600">
      <c r="A600" s="2" t="inlineStr">
        <is>
          <t>CuteShop</t>
        </is>
      </c>
      <c r="B600" s="2" t="inlineStr">
        <is>
          <t>Держатели для пустышек</t>
        </is>
      </c>
      <c r="C600" s="2">
        <v>87670308</v>
      </c>
      <c r="D600" s="2" t="inlineStr">
        <is>
          <t>TaisiyaEdin</t>
        </is>
      </c>
      <c r="E600" s="2" t="inlineStr">
        <is>
          <t>2034874099622</t>
        </is>
      </c>
      <c r="F600" s="2">
        <v>0</v>
      </c>
      <c r="G600" s="2">
        <v>0</v>
      </c>
      <c r="H600" s="2">
        <v>1</v>
      </c>
      <c r="I600" s="2" t="inlineStr">
        <is>
          <t>1030</t>
        </is>
      </c>
      <c r="J600" s="4"/>
      <c r="K600" s="2">
        <v>10</v>
      </c>
      <c r="L600" s="6"/>
      <c r="M600" s="2" t="str">
        <f>IF(J600="",ROUND(I600*(1-IF(ISBLANK(L600),K600,L600)/100),2),ROUND(J600*(1-IF(ISBLANK(L600),K600,L600)/100),2))</f>
      </c>
      <c r="N600" s="7" t="str">
        <f>IF(NOT(AND(J600="",L600="")),IF(OR(AND(L600&lt;&gt;"",NOT(ISNUMBER(L600))),IFERROR(MOD(L600,1),1)&gt;0,AND(ISNUMBER(L600),OR(L600&lt;0,L600&gt;95))),"Введите целое число от 0 до 95",IF(OR(AND(J600&lt;&gt;"",NOT(ISNUMBER(J600))),IFERROR(MOD(J600,1),1)&gt;0,AND(ISNUMBER(J600),OR(J600&lt;50,J600&gt;20000000))),"Введите целое число от 50 до 20000000",IF(NOT(ABS(IFERROR(VALUE(LEFT(M600,FIND("-",M600)-1)),M600)*100-(5000+2000000000)/2)&lt;=ABS(5000-2000000000)/2),"Цена со скидкой должна быть от 50 до 20000000",IF(IFERROR(VALUE(LEFT(M600,FIND("-",M600)-1)),M600)*229&lt;92700,"Вы уменьшили цену в несколько раз, товар попадет в карантин цен","")))),"")</f>
      </c>
    </row>
    <row r="601">
      <c r="A601" s="2" t="inlineStr">
        <is>
          <t>CuteShop</t>
        </is>
      </c>
      <c r="B601" s="2" t="inlineStr">
        <is>
          <t>Держатели для пустышек</t>
        </is>
      </c>
      <c r="C601" s="2">
        <v>87674021</v>
      </c>
      <c r="D601" s="2" t="inlineStr">
        <is>
          <t>MilenaBG</t>
        </is>
      </c>
      <c r="E601" s="2" t="inlineStr">
        <is>
          <t>2034875590623</t>
        </is>
      </c>
      <c r="F601" s="2">
        <v>0</v>
      </c>
      <c r="G601" s="2">
        <v>1</v>
      </c>
      <c r="H601" s="2">
        <v>0</v>
      </c>
      <c r="I601" s="2" t="inlineStr">
        <is>
          <t>790</t>
        </is>
      </c>
      <c r="J601" s="4"/>
      <c r="K601" s="2">
        <v>10</v>
      </c>
      <c r="L601" s="6"/>
      <c r="M601" s="2" t="str">
        <f>IF(J601="",ROUND(I601*(1-IF(ISBLANK(L601),K601,L601)/100),2),ROUND(J601*(1-IF(ISBLANK(L601),K601,L601)/100),2))</f>
      </c>
      <c r="N601" s="7" t="str">
        <f>IF(NOT(AND(J601="",L601="")),IF(OR(AND(L601&lt;&gt;"",NOT(ISNUMBER(L601))),IFERROR(MOD(L601,1),1)&gt;0,AND(ISNUMBER(L601),OR(L601&lt;0,L601&gt;95))),"Введите целое число от 0 до 95",IF(OR(AND(J601&lt;&gt;"",NOT(ISNUMBER(J601))),IFERROR(MOD(J601,1),1)&gt;0,AND(ISNUMBER(J601),OR(J601&lt;50,J601&gt;20000000))),"Введите целое число от 50 до 20000000",IF(NOT(ABS(IFERROR(VALUE(LEFT(M601,FIND("-",M601)-1)),M601)*100-(5000+2000000000)/2)&lt;=ABS(5000-2000000000)/2),"Цена со скидкой должна быть от 50 до 20000000",IF(IFERROR(VALUE(LEFT(M601,FIND("-",M601)-1)),M601)*229&lt;71100,"Вы уменьшили цену в несколько раз, товар попадет в карантин цен","")))),"")</f>
      </c>
    </row>
    <row r="602">
      <c r="A602" s="2" t="inlineStr">
        <is>
          <t>CuteShop</t>
        </is>
      </c>
      <c r="B602" s="2" t="inlineStr">
        <is>
          <t>Держатели для пустышек</t>
        </is>
      </c>
      <c r="C602" s="2">
        <v>88997966</v>
      </c>
      <c r="D602" s="2" t="inlineStr">
        <is>
          <t>YanaBG</t>
        </is>
      </c>
      <c r="E602" s="2" t="inlineStr">
        <is>
          <t>2035643666625</t>
        </is>
      </c>
      <c r="F602" s="2">
        <v>0</v>
      </c>
      <c r="G602" s="2">
        <v>1</v>
      </c>
      <c r="H602" s="2" t="inlineStr">
        <is>
          <t/>
        </is>
      </c>
      <c r="I602" s="2" t="inlineStr">
        <is>
          <t>790</t>
        </is>
      </c>
      <c r="J602" s="4"/>
      <c r="K602" s="2">
        <v>10</v>
      </c>
      <c r="L602" s="6"/>
      <c r="M602" s="2" t="str">
        <f>IF(J602="",ROUND(I602*(1-IF(ISBLANK(L602),K602,L602)/100),2),ROUND(J602*(1-IF(ISBLANK(L602),K602,L602)/100),2))</f>
      </c>
      <c r="N602" s="7" t="str">
        <f>IF(NOT(AND(J602="",L602="")),IF(OR(AND(L602&lt;&gt;"",NOT(ISNUMBER(L602))),IFERROR(MOD(L602,1),1)&gt;0,AND(ISNUMBER(L602),OR(L602&lt;0,L602&gt;95))),"Введите целое число от 0 до 95",IF(OR(AND(J602&lt;&gt;"",NOT(ISNUMBER(J602))),IFERROR(MOD(J602,1),1)&gt;0,AND(ISNUMBER(J602),OR(J602&lt;50,J602&gt;20000000))),"Введите целое число от 50 до 20000000",IF(NOT(ABS(IFERROR(VALUE(LEFT(M602,FIND("-",M602)-1)),M602)*100-(5000+2000000000)/2)&lt;=ABS(5000-2000000000)/2),"Цена со скидкой должна быть от 50 до 20000000",IF(IFERROR(VALUE(LEFT(M602,FIND("-",M602)-1)),M602)*229&lt;71100,"Вы уменьшили цену в несколько раз, товар попадет в карантин цен","")))),"")</f>
      </c>
    </row>
    <row r="603">
      <c r="A603" s="2" t="inlineStr">
        <is>
          <t>CuteShop</t>
        </is>
      </c>
      <c r="B603" s="2" t="inlineStr">
        <is>
          <t>Держатели для пустышек</t>
        </is>
      </c>
      <c r="C603" s="2">
        <v>87674020</v>
      </c>
      <c r="D603" s="2" t="inlineStr">
        <is>
          <t>MilenaBelRoz</t>
        </is>
      </c>
      <c r="E603" s="2" t="inlineStr">
        <is>
          <t>2034876313627</t>
        </is>
      </c>
      <c r="F603" s="2">
        <v>0</v>
      </c>
      <c r="G603" s="2">
        <v>1</v>
      </c>
      <c r="H603" s="2">
        <v>1</v>
      </c>
      <c r="I603" s="2" t="inlineStr">
        <is>
          <t>1030</t>
        </is>
      </c>
      <c r="J603" s="4"/>
      <c r="K603" s="2">
        <v>10</v>
      </c>
      <c r="L603" s="6"/>
      <c r="M603" s="2" t="str">
        <f>IF(J603="",ROUND(I603*(1-IF(ISBLANK(L603),K603,L603)/100),2),ROUND(J603*(1-IF(ISBLANK(L603),K603,L603)/100),2))</f>
      </c>
      <c r="N603" s="7" t="str">
        <f>IF(NOT(AND(J603="",L603="")),IF(OR(AND(L603&lt;&gt;"",NOT(ISNUMBER(L603))),IFERROR(MOD(L603,1),1)&gt;0,AND(ISNUMBER(L603),OR(L603&lt;0,L603&gt;95))),"Введите целое число от 0 до 95",IF(OR(AND(J603&lt;&gt;"",NOT(ISNUMBER(J603))),IFERROR(MOD(J603,1),1)&gt;0,AND(ISNUMBER(J603),OR(J603&lt;50,J603&gt;20000000))),"Введите целое число от 50 до 20000000",IF(NOT(ABS(IFERROR(VALUE(LEFT(M603,FIND("-",M603)-1)),M603)*100-(5000+2000000000)/2)&lt;=ABS(5000-2000000000)/2),"Цена со скидкой должна быть от 50 до 20000000",IF(IFERROR(VALUE(LEFT(M603,FIND("-",M603)-1)),M603)*229&lt;92700,"Вы уменьшили цену в несколько раз, товар попадет в карантин цен","")))),"")</f>
      </c>
    </row>
    <row r="604">
      <c r="A604" s="2" t="inlineStr">
        <is>
          <t>CuteShop</t>
        </is>
      </c>
      <c r="B604" s="2" t="inlineStr">
        <is>
          <t>Держатели для пустышек</t>
        </is>
      </c>
      <c r="C604" s="2">
        <v>88830644</v>
      </c>
      <c r="D604" s="2" t="inlineStr">
        <is>
          <t>MirochkaBG</t>
        </is>
      </c>
      <c r="E604" s="2" t="inlineStr">
        <is>
          <t>2035427405624</t>
        </is>
      </c>
      <c r="F604" s="2">
        <v>0</v>
      </c>
      <c r="G604" s="2">
        <v>0</v>
      </c>
      <c r="H604" s="2">
        <v>0</v>
      </c>
      <c r="I604" s="2" t="inlineStr">
        <is>
          <t>790</t>
        </is>
      </c>
      <c r="J604" s="4"/>
      <c r="K604" s="2">
        <v>10</v>
      </c>
      <c r="L604" s="6"/>
      <c r="M604" s="2" t="str">
        <f>IF(J604="",ROUND(I604*(1-IF(ISBLANK(L604),K604,L604)/100),2),ROUND(J604*(1-IF(ISBLANK(L604),K604,L604)/100),2))</f>
      </c>
      <c r="N604" s="7" t="str">
        <f>IF(NOT(AND(J604="",L604="")),IF(OR(AND(L604&lt;&gt;"",NOT(ISNUMBER(L604))),IFERROR(MOD(L604,1),1)&gt;0,AND(ISNUMBER(L604),OR(L604&lt;0,L604&gt;95))),"Введите целое число от 0 до 95",IF(OR(AND(J604&lt;&gt;"",NOT(ISNUMBER(J604))),IFERROR(MOD(J604,1),1)&gt;0,AND(ISNUMBER(J604),OR(J604&lt;50,J604&gt;20000000))),"Введите целое число от 50 до 20000000",IF(NOT(ABS(IFERROR(VALUE(LEFT(M604,FIND("-",M604)-1)),M604)*100-(5000+2000000000)/2)&lt;=ABS(5000-2000000000)/2),"Цена со скидкой должна быть от 50 до 20000000",IF(IFERROR(VALUE(LEFT(M604,FIND("-",M604)-1)),M604)*229&lt;71100,"Вы уменьшили цену в несколько раз, товар попадет в карантин цен","")))),"")</f>
      </c>
    </row>
    <row r="605">
      <c r="A605" s="2" t="inlineStr">
        <is>
          <t>CuteShop</t>
        </is>
      </c>
      <c r="B605" s="2" t="inlineStr">
        <is>
          <t>Держатели для пустышек</t>
        </is>
      </c>
      <c r="C605" s="2">
        <v>110884112</v>
      </c>
      <c r="D605" s="2" t="inlineStr">
        <is>
          <t>Sofiya2Mish</t>
        </is>
      </c>
      <c r="E605" s="2" t="inlineStr">
        <is>
          <t>2037218579620</t>
        </is>
      </c>
      <c r="F605" s="2">
        <v>0</v>
      </c>
      <c r="G605" s="2">
        <v>0</v>
      </c>
      <c r="H605" s="2">
        <v>1</v>
      </c>
      <c r="I605" s="2" t="inlineStr">
        <is>
          <t>1030</t>
        </is>
      </c>
      <c r="J605" s="4"/>
      <c r="K605" s="2">
        <v>10</v>
      </c>
      <c r="L605" s="6"/>
      <c r="M605" s="2" t="str">
        <f>IF(J605="",ROUND(I605*(1-IF(ISBLANK(L605),K605,L605)/100),2),ROUND(J605*(1-IF(ISBLANK(L605),K605,L605)/100),2))</f>
      </c>
      <c r="N605" s="7" t="str">
        <f>IF(NOT(AND(J605="",L605="")),IF(OR(AND(L605&lt;&gt;"",NOT(ISNUMBER(L605))),IFERROR(MOD(L605,1),1)&gt;0,AND(ISNUMBER(L605),OR(L605&lt;0,L605&gt;95))),"Введите целое число от 0 до 95",IF(OR(AND(J605&lt;&gt;"",NOT(ISNUMBER(J605))),IFERROR(MOD(J605,1),1)&gt;0,AND(ISNUMBER(J605),OR(J605&lt;50,J605&gt;20000000))),"Введите целое число от 50 до 20000000",IF(NOT(ABS(IFERROR(VALUE(LEFT(M605,FIND("-",M605)-1)),M605)*100-(5000+2000000000)/2)&lt;=ABS(5000-2000000000)/2),"Цена со скидкой должна быть от 50 до 20000000",IF(IFERROR(VALUE(LEFT(M605,FIND("-",M605)-1)),M605)*229&lt;92700,"Вы уменьшили цену в несколько раз, товар попадет в карантин цен","")))),"")</f>
      </c>
    </row>
    <row r="606">
      <c r="A606" s="2" t="inlineStr">
        <is>
          <t>CuteShop</t>
        </is>
      </c>
      <c r="B606" s="2" t="inlineStr">
        <is>
          <t>Держатели для пустышек</t>
        </is>
      </c>
      <c r="C606" s="2">
        <v>87685583</v>
      </c>
      <c r="D606" s="2" t="inlineStr">
        <is>
          <t>MilanaBG2</t>
        </is>
      </c>
      <c r="E606" s="2" t="inlineStr">
        <is>
          <t>2034881454629</t>
        </is>
      </c>
      <c r="F606" s="2">
        <v>0</v>
      </c>
      <c r="G606" s="2">
        <v>1</v>
      </c>
      <c r="H606" s="2">
        <v>1</v>
      </c>
      <c r="I606" s="2" t="inlineStr">
        <is>
          <t>790</t>
        </is>
      </c>
      <c r="J606" s="4"/>
      <c r="K606" s="2">
        <v>10</v>
      </c>
      <c r="L606" s="6"/>
      <c r="M606" s="2" t="str">
        <f>IF(J606="",ROUND(I606*(1-IF(ISBLANK(L606),K606,L606)/100),2),ROUND(J606*(1-IF(ISBLANK(L606),K606,L606)/100),2))</f>
      </c>
      <c r="N606" s="7" t="str">
        <f>IF(NOT(AND(J606="",L606="")),IF(OR(AND(L606&lt;&gt;"",NOT(ISNUMBER(L606))),IFERROR(MOD(L606,1),1)&gt;0,AND(ISNUMBER(L606),OR(L606&lt;0,L606&gt;95))),"Введите целое число от 0 до 95",IF(OR(AND(J606&lt;&gt;"",NOT(ISNUMBER(J606))),IFERROR(MOD(J606,1),1)&gt;0,AND(ISNUMBER(J606),OR(J606&lt;50,J606&gt;20000000))),"Введите целое число от 50 до 20000000",IF(NOT(ABS(IFERROR(VALUE(LEFT(M606,FIND("-",M606)-1)),M606)*100-(5000+2000000000)/2)&lt;=ABS(5000-2000000000)/2),"Цена со скидкой должна быть от 50 до 20000000",IF(IFERROR(VALUE(LEFT(M606,FIND("-",M606)-1)),M606)*229&lt;71100,"Вы уменьшили цену в несколько раз, товар попадет в карантин цен","")))),"")</f>
      </c>
    </row>
    <row r="607">
      <c r="A607" s="2" t="inlineStr">
        <is>
          <t>CuteShop</t>
        </is>
      </c>
      <c r="B607" s="2" t="inlineStr">
        <is>
          <t>Держатели для пустышек</t>
        </is>
      </c>
      <c r="C607" s="2">
        <v>110575674</v>
      </c>
      <c r="D607" s="2" t="inlineStr">
        <is>
          <t>ArtemOlen</t>
        </is>
      </c>
      <c r="E607" s="2" t="inlineStr">
        <is>
          <t>2036812495626</t>
        </is>
      </c>
      <c r="F607" s="2">
        <v>0</v>
      </c>
      <c r="G607" s="2">
        <v>0</v>
      </c>
      <c r="H607" s="2">
        <v>0</v>
      </c>
      <c r="I607" s="2" t="inlineStr">
        <is>
          <t>1030</t>
        </is>
      </c>
      <c r="J607" s="4"/>
      <c r="K607" s="2">
        <v>10</v>
      </c>
      <c r="L607" s="6"/>
      <c r="M607" s="2" t="str">
        <f>IF(J607="",ROUND(I607*(1-IF(ISBLANK(L607),K607,L607)/100),2),ROUND(J607*(1-IF(ISBLANK(L607),K607,L607)/100),2))</f>
      </c>
      <c r="N607" s="7" t="str">
        <f>IF(NOT(AND(J607="",L607="")),IF(OR(AND(L607&lt;&gt;"",NOT(ISNUMBER(L607))),IFERROR(MOD(L607,1),1)&gt;0,AND(ISNUMBER(L607),OR(L607&lt;0,L607&gt;95))),"Введите целое число от 0 до 95",IF(OR(AND(J607&lt;&gt;"",NOT(ISNUMBER(J607))),IFERROR(MOD(J607,1),1)&gt;0,AND(ISNUMBER(J607),OR(J607&lt;50,J607&gt;20000000))),"Введите целое число от 50 до 20000000",IF(NOT(ABS(IFERROR(VALUE(LEFT(M607,FIND("-",M607)-1)),M607)*100-(5000+2000000000)/2)&lt;=ABS(5000-2000000000)/2),"Цена со скидкой должна быть от 50 до 20000000",IF(IFERROR(VALUE(LEFT(M607,FIND("-",M607)-1)),M607)*229&lt;92700,"Вы уменьшили цену в несколько раз, товар попадет в карантин цен","")))),"")</f>
      </c>
    </row>
    <row r="608">
      <c r="A608" s="2" t="inlineStr">
        <is>
          <t>CuteShop</t>
        </is>
      </c>
      <c r="B608" s="2" t="inlineStr">
        <is>
          <t>Держатели для пустышек</t>
        </is>
      </c>
      <c r="C608" s="2">
        <v>116433792</v>
      </c>
      <c r="D608" s="2" t="inlineStr">
        <is>
          <t>PolinaLis</t>
        </is>
      </c>
      <c r="E608" s="2" t="inlineStr">
        <is>
          <t>2041513440622</t>
        </is>
      </c>
      <c r="F608" s="2">
        <v>0</v>
      </c>
      <c r="G608" s="2">
        <v>0</v>
      </c>
      <c r="H608" s="2">
        <v>0</v>
      </c>
      <c r="I608" s="2" t="inlineStr">
        <is>
          <t>1030</t>
        </is>
      </c>
      <c r="J608" s="4"/>
      <c r="K608" s="2">
        <v>10</v>
      </c>
      <c r="L608" s="6"/>
      <c r="M608" s="2" t="str">
        <f>IF(J608="",ROUND(I608*(1-IF(ISBLANK(L608),K608,L608)/100),2),ROUND(J608*(1-IF(ISBLANK(L608),K608,L608)/100),2))</f>
      </c>
      <c r="N608" s="7" t="str">
        <f>IF(NOT(AND(J608="",L608="")),IF(OR(AND(L608&lt;&gt;"",NOT(ISNUMBER(L608))),IFERROR(MOD(L608,1),1)&gt;0,AND(ISNUMBER(L608),OR(L608&lt;0,L608&gt;95))),"Введите целое число от 0 до 95",IF(OR(AND(J608&lt;&gt;"",NOT(ISNUMBER(J608))),IFERROR(MOD(J608,1),1)&gt;0,AND(ISNUMBER(J608),OR(J608&lt;50,J608&gt;20000000))),"Введите целое число от 50 до 20000000",IF(NOT(ABS(IFERROR(VALUE(LEFT(M608,FIND("-",M608)-1)),M608)*100-(5000+2000000000)/2)&lt;=ABS(5000-2000000000)/2),"Цена со скидкой должна быть от 50 до 20000000",IF(IFERROR(VALUE(LEFT(M608,FIND("-",M608)-1)),M608)*229&lt;92700,"Вы уменьшили цену в несколько раз, товар попадет в карантин цен","")))),"")</f>
      </c>
    </row>
    <row r="609">
      <c r="A609" s="2" t="inlineStr">
        <is>
          <t>CuteShop</t>
        </is>
      </c>
      <c r="B609" s="2" t="inlineStr">
        <is>
          <t>Держатели для пустышек</t>
        </is>
      </c>
      <c r="C609" s="2">
        <v>103978000</v>
      </c>
      <c r="D609" s="2" t="inlineStr">
        <is>
          <t>VikaBG</t>
        </is>
      </c>
      <c r="E609" s="2" t="inlineStr">
        <is>
          <t>2036864210413</t>
        </is>
      </c>
      <c r="F609" s="2">
        <v>0</v>
      </c>
      <c r="G609" s="2">
        <v>1</v>
      </c>
      <c r="H609" s="2" t="inlineStr">
        <is>
          <t/>
        </is>
      </c>
      <c r="I609" s="2" t="inlineStr">
        <is>
          <t>790</t>
        </is>
      </c>
      <c r="J609" s="4"/>
      <c r="K609" s="2">
        <v>10</v>
      </c>
      <c r="L609" s="6"/>
      <c r="M609" s="2" t="str">
        <f>IF(J609="",ROUND(I609*(1-IF(ISBLANK(L609),K609,L609)/100),2),ROUND(J609*(1-IF(ISBLANK(L609),K609,L609)/100),2))</f>
      </c>
      <c r="N609" s="7" t="str">
        <f>IF(NOT(AND(J609="",L609="")),IF(OR(AND(L609&lt;&gt;"",NOT(ISNUMBER(L609))),IFERROR(MOD(L609,1),1)&gt;0,AND(ISNUMBER(L609),OR(L609&lt;0,L609&gt;95))),"Введите целое число от 0 до 95",IF(OR(AND(J609&lt;&gt;"",NOT(ISNUMBER(J609))),IFERROR(MOD(J609,1),1)&gt;0,AND(ISNUMBER(J609),OR(J609&lt;50,J609&gt;20000000))),"Введите целое число от 50 до 20000000",IF(NOT(ABS(IFERROR(VALUE(LEFT(M609,FIND("-",M609)-1)),M609)*100-(5000+2000000000)/2)&lt;=ABS(5000-2000000000)/2),"Цена со скидкой должна быть от 50 до 20000000",IF(IFERROR(VALUE(LEFT(M609,FIND("-",M609)-1)),M609)*229&lt;71100,"Вы уменьшили цену в несколько раз, товар попадет в карантин цен","")))),"")</f>
      </c>
    </row>
    <row r="610">
      <c r="A610" s="2" t="inlineStr">
        <is>
          <t>CuteShop</t>
        </is>
      </c>
      <c r="B610" s="2" t="inlineStr">
        <is>
          <t>Держатели для пустышек</t>
        </is>
      </c>
      <c r="C610" s="2">
        <v>111036554</v>
      </c>
      <c r="D610" s="2" t="inlineStr">
        <is>
          <t>KarinaLisSir</t>
        </is>
      </c>
      <c r="E610" s="2" t="inlineStr">
        <is>
          <t>2037475029623</t>
        </is>
      </c>
      <c r="F610" s="2">
        <v>0</v>
      </c>
      <c r="G610" s="2">
        <v>1</v>
      </c>
      <c r="H610" s="2" t="inlineStr">
        <is>
          <t/>
        </is>
      </c>
      <c r="I610" s="2" t="inlineStr">
        <is>
          <t>1030</t>
        </is>
      </c>
      <c r="J610" s="4"/>
      <c r="K610" s="2">
        <v>10</v>
      </c>
      <c r="L610" s="6"/>
      <c r="M610" s="2" t="str">
        <f>IF(J610="",ROUND(I610*(1-IF(ISBLANK(L610),K610,L610)/100),2),ROUND(J610*(1-IF(ISBLANK(L610),K610,L610)/100),2))</f>
      </c>
      <c r="N610" s="7" t="str">
        <f>IF(NOT(AND(J610="",L610="")),IF(OR(AND(L610&lt;&gt;"",NOT(ISNUMBER(L610))),IFERROR(MOD(L610,1),1)&gt;0,AND(ISNUMBER(L610),OR(L610&lt;0,L610&gt;95))),"Введите целое число от 0 до 95",IF(OR(AND(J610&lt;&gt;"",NOT(ISNUMBER(J610))),IFERROR(MOD(J610,1),1)&gt;0,AND(ISNUMBER(J610),OR(J610&lt;50,J610&gt;20000000))),"Введите целое число от 50 до 20000000",IF(NOT(ABS(IFERROR(VALUE(LEFT(M610,FIND("-",M610)-1)),M610)*100-(5000+2000000000)/2)&lt;=ABS(5000-2000000000)/2),"Цена со скидкой должна быть от 50 до 20000000",IF(IFERROR(VALUE(LEFT(M610,FIND("-",M610)-1)),M610)*229&lt;92700,"Вы уменьшили цену в несколько раз, товар попадет в карантин цен","")))),"")</f>
      </c>
    </row>
    <row r="611">
      <c r="A611" s="2" t="inlineStr">
        <is>
          <t>CuteShop</t>
        </is>
      </c>
      <c r="B611" s="2" t="inlineStr">
        <is>
          <t>Держатели для пустышек</t>
        </is>
      </c>
      <c r="C611" s="2">
        <v>147844216</v>
      </c>
      <c r="D611" s="2" t="inlineStr">
        <is>
          <t>VovaKoala</t>
        </is>
      </c>
      <c r="E611" s="2" t="inlineStr">
        <is>
          <t>2037502977620</t>
        </is>
      </c>
      <c r="F611" s="2">
        <v>0</v>
      </c>
      <c r="G611" s="2">
        <v>1</v>
      </c>
      <c r="H611" s="2" t="inlineStr">
        <is>
          <t/>
        </is>
      </c>
      <c r="I611" s="2" t="inlineStr">
        <is>
          <t>1030</t>
        </is>
      </c>
      <c r="J611" s="4"/>
      <c r="K611" s="2">
        <v>10</v>
      </c>
      <c r="L611" s="6"/>
      <c r="M611" s="2" t="str">
        <f>IF(J611="",ROUND(I611*(1-IF(ISBLANK(L611),K611,L611)/100),2),ROUND(J611*(1-IF(ISBLANK(L611),K611,L611)/100),2))</f>
      </c>
      <c r="N611" s="7" t="str">
        <f>IF(NOT(AND(J611="",L611="")),IF(OR(AND(L611&lt;&gt;"",NOT(ISNUMBER(L611))),IFERROR(MOD(L611,1),1)&gt;0,AND(ISNUMBER(L611),OR(L611&lt;0,L611&gt;95))),"Введите целое число от 0 до 95",IF(OR(AND(J611&lt;&gt;"",NOT(ISNUMBER(J611))),IFERROR(MOD(J611,1),1)&gt;0,AND(ISNUMBER(J611),OR(J611&lt;50,J611&gt;20000000))),"Введите целое число от 50 до 20000000",IF(NOT(ABS(IFERROR(VALUE(LEFT(M611,FIND("-",M611)-1)),M611)*100-(5000+2000000000)/2)&lt;=ABS(5000-2000000000)/2),"Цена со скидкой должна быть от 50 до 20000000",IF(IFERROR(VALUE(LEFT(M611,FIND("-",M611)-1)),M611)*229&lt;92700,"Вы уменьшили цену в несколько раз, товар попадет в карантин цен","")))),"")</f>
      </c>
    </row>
    <row r="612">
      <c r="A612" s="2" t="inlineStr">
        <is>
          <t>CuteShop</t>
        </is>
      </c>
      <c r="B612" s="2" t="inlineStr">
        <is>
          <t>Держатели для пустышек</t>
        </is>
      </c>
      <c r="C612" s="2">
        <v>111036556</v>
      </c>
      <c r="D612" s="2" t="inlineStr">
        <is>
          <t>KarinaZay</t>
        </is>
      </c>
      <c r="E612" s="2" t="inlineStr">
        <is>
          <t>2037474953622</t>
        </is>
      </c>
      <c r="F612" s="2">
        <v>0</v>
      </c>
      <c r="G612" s="2">
        <v>0</v>
      </c>
      <c r="H612" s="2">
        <v>0</v>
      </c>
      <c r="I612" s="2" t="inlineStr">
        <is>
          <t>1030</t>
        </is>
      </c>
      <c r="J612" s="4"/>
      <c r="K612" s="2">
        <v>10</v>
      </c>
      <c r="L612" s="6"/>
      <c r="M612" s="2" t="str">
        <f>IF(J612="",ROUND(I612*(1-IF(ISBLANK(L612),K612,L612)/100),2),ROUND(J612*(1-IF(ISBLANK(L612),K612,L612)/100),2))</f>
      </c>
      <c r="N612" s="7" t="str">
        <f>IF(NOT(AND(J612="",L612="")),IF(OR(AND(L612&lt;&gt;"",NOT(ISNUMBER(L612))),IFERROR(MOD(L612,1),1)&gt;0,AND(ISNUMBER(L612),OR(L612&lt;0,L612&gt;95))),"Введите целое число от 0 до 95",IF(OR(AND(J612&lt;&gt;"",NOT(ISNUMBER(J612))),IFERROR(MOD(J612,1),1)&gt;0,AND(ISNUMBER(J612),OR(J612&lt;50,J612&gt;20000000))),"Введите целое число от 50 до 20000000",IF(NOT(ABS(IFERROR(VALUE(LEFT(M612,FIND("-",M612)-1)),M612)*100-(5000+2000000000)/2)&lt;=ABS(5000-2000000000)/2),"Цена со скидкой должна быть от 50 до 20000000",IF(IFERROR(VALUE(LEFT(M612,FIND("-",M612)-1)),M612)*229&lt;92700,"Вы уменьшили цену в несколько раз, товар попадет в карантин цен","")))),"")</f>
      </c>
    </row>
    <row r="613">
      <c r="A613" s="2" t="inlineStr">
        <is>
          <t>CuteShop</t>
        </is>
      </c>
      <c r="B613" s="2" t="inlineStr">
        <is>
          <t>Держатели для пустышек</t>
        </is>
      </c>
      <c r="C613" s="2">
        <v>314739993</v>
      </c>
      <c r="D613" s="2" t="inlineStr">
        <is>
          <t>DemidOlen</t>
        </is>
      </c>
      <c r="E613" s="2" t="inlineStr">
        <is>
          <t>2042540607668</t>
        </is>
      </c>
      <c r="F613" s="2">
        <v>0</v>
      </c>
      <c r="G613" s="2">
        <v>0</v>
      </c>
      <c r="H613" s="2" t="inlineStr">
        <is>
          <t/>
        </is>
      </c>
      <c r="I613" s="2" t="inlineStr">
        <is>
          <t>1030</t>
        </is>
      </c>
      <c r="J613" s="4"/>
      <c r="K613" s="2">
        <v>10</v>
      </c>
      <c r="L613" s="6"/>
      <c r="M613" s="2" t="str">
        <f>IF(J613="",ROUND(I613*(1-IF(ISBLANK(L613),K613,L613)/100),2),ROUND(J613*(1-IF(ISBLANK(L613),K613,L613)/100),2))</f>
      </c>
      <c r="N613" s="7" t="str">
        <f>IF(NOT(AND(J613="",L613="")),IF(OR(AND(L613&lt;&gt;"",NOT(ISNUMBER(L613))),IFERROR(MOD(L613,1),1)&gt;0,AND(ISNUMBER(L613),OR(L613&lt;0,L613&gt;95))),"Введите целое число от 0 до 95",IF(OR(AND(J613&lt;&gt;"",NOT(ISNUMBER(J613))),IFERROR(MOD(J613,1),1)&gt;0,AND(ISNUMBER(J613),OR(J613&lt;50,J613&gt;20000000))),"Введите целое число от 50 до 20000000",IF(NOT(ABS(IFERROR(VALUE(LEFT(M613,FIND("-",M613)-1)),M613)*100-(5000+2000000000)/2)&lt;=ABS(5000-2000000000)/2),"Цена со скидкой должна быть от 50 до 20000000",IF(IFERROR(VALUE(LEFT(M613,FIND("-",M613)-1)),M613)*229&lt;92700,"Вы уменьшили цену в несколько раз, товар попадет в карантин цен","")))),"")</f>
      </c>
    </row>
    <row r="614">
      <c r="A614" s="2" t="inlineStr">
        <is>
          <t>CuteShop</t>
        </is>
      </c>
      <c r="B614" s="2" t="inlineStr">
        <is>
          <t>Держатели для пустышек</t>
        </is>
      </c>
      <c r="C614" s="2">
        <v>117611302</v>
      </c>
      <c r="D614" s="2" t="inlineStr">
        <is>
          <t>YuliyaBG</t>
        </is>
      </c>
      <c r="E614" s="2" t="inlineStr">
        <is>
          <t>2042148769621</t>
        </is>
      </c>
      <c r="F614" s="2">
        <v>0</v>
      </c>
      <c r="G614" s="2">
        <v>1</v>
      </c>
      <c r="H614" s="2" t="inlineStr">
        <is>
          <t/>
        </is>
      </c>
      <c r="I614" s="2" t="inlineStr">
        <is>
          <t>790</t>
        </is>
      </c>
      <c r="J614" s="4"/>
      <c r="K614" s="2">
        <v>10</v>
      </c>
      <c r="L614" s="6"/>
      <c r="M614" s="2" t="str">
        <f>IF(J614="",ROUND(I614*(1-IF(ISBLANK(L614),K614,L614)/100),2),ROUND(J614*(1-IF(ISBLANK(L614),K614,L614)/100),2))</f>
      </c>
      <c r="N614" s="7" t="str">
        <f>IF(NOT(AND(J614="",L614="")),IF(OR(AND(L614&lt;&gt;"",NOT(ISNUMBER(L614))),IFERROR(MOD(L614,1),1)&gt;0,AND(ISNUMBER(L614),OR(L614&lt;0,L614&gt;95))),"Введите целое число от 0 до 95",IF(OR(AND(J614&lt;&gt;"",NOT(ISNUMBER(J614))),IFERROR(MOD(J614,1),1)&gt;0,AND(ISNUMBER(J614),OR(J614&lt;50,J614&gt;20000000))),"Введите целое число от 50 до 20000000",IF(NOT(ABS(IFERROR(VALUE(LEFT(M614,FIND("-",M614)-1)),M614)*100-(5000+2000000000)/2)&lt;=ABS(5000-2000000000)/2),"Цена со скидкой должна быть от 50 до 20000000",IF(IFERROR(VALUE(LEFT(M614,FIND("-",M614)-1)),M614)*229&lt;71100,"Вы уменьшили цену в несколько раз, товар попадет в карантин цен","")))),"")</f>
      </c>
    </row>
    <row r="615">
      <c r="A615" s="2" t="inlineStr">
        <is>
          <t>CuteShop</t>
        </is>
      </c>
      <c r="B615" s="2" t="inlineStr">
        <is>
          <t>Держатели для пустышек</t>
        </is>
      </c>
      <c r="C615" s="2">
        <v>111038440</v>
      </c>
      <c r="D615" s="2" t="inlineStr">
        <is>
          <t>LevLev1</t>
        </is>
      </c>
      <c r="E615" s="2" t="inlineStr">
        <is>
          <t>2037479225625</t>
        </is>
      </c>
      <c r="F615" s="2">
        <v>0</v>
      </c>
      <c r="G615" s="2">
        <v>0</v>
      </c>
      <c r="H615" s="2" t="inlineStr">
        <is>
          <t/>
        </is>
      </c>
      <c r="I615" s="2" t="inlineStr">
        <is>
          <t>1030</t>
        </is>
      </c>
      <c r="J615" s="4"/>
      <c r="K615" s="2">
        <v>10</v>
      </c>
      <c r="L615" s="6"/>
      <c r="M615" s="2" t="str">
        <f>IF(J615="",ROUND(I615*(1-IF(ISBLANK(L615),K615,L615)/100),2),ROUND(J615*(1-IF(ISBLANK(L615),K615,L615)/100),2))</f>
      </c>
      <c r="N615" s="7" t="str">
        <f>IF(NOT(AND(J615="",L615="")),IF(OR(AND(L615&lt;&gt;"",NOT(ISNUMBER(L615))),IFERROR(MOD(L615,1),1)&gt;0,AND(ISNUMBER(L615),OR(L615&lt;0,L615&gt;95))),"Введите целое число от 0 до 95",IF(OR(AND(J615&lt;&gt;"",NOT(ISNUMBER(J615))),IFERROR(MOD(J615,1),1)&gt;0,AND(ISNUMBER(J615),OR(J615&lt;50,J615&gt;20000000))),"Введите целое число от 50 до 20000000",IF(NOT(ABS(IFERROR(VALUE(LEFT(M615,FIND("-",M615)-1)),M615)*100-(5000+2000000000)/2)&lt;=ABS(5000-2000000000)/2),"Цена со скидкой должна быть от 50 до 20000000",IF(IFERROR(VALUE(LEFT(M615,FIND("-",M615)-1)),M615)*229&lt;92700,"Вы уменьшили цену в несколько раз, товар попадет в карантин цен","")))),"")</f>
      </c>
    </row>
    <row r="616">
      <c r="A616" s="2" t="inlineStr">
        <is>
          <t>CuteShop</t>
        </is>
      </c>
      <c r="B616" s="2" t="inlineStr">
        <is>
          <t>Держатели для пустышек</t>
        </is>
      </c>
      <c r="C616" s="2">
        <v>269145307</v>
      </c>
      <c r="D616" s="2" t="inlineStr">
        <is>
          <t>YulyashaMish</t>
        </is>
      </c>
      <c r="E616" s="2" t="inlineStr">
        <is>
          <t>2041429771933</t>
        </is>
      </c>
      <c r="F616" s="2">
        <v>0</v>
      </c>
      <c r="G616" s="2">
        <v>1</v>
      </c>
      <c r="H616" s="2" t="inlineStr">
        <is>
          <t/>
        </is>
      </c>
      <c r="I616" s="2" t="inlineStr">
        <is>
          <t>1030</t>
        </is>
      </c>
      <c r="J616" s="4"/>
      <c r="K616" s="2">
        <v>10</v>
      </c>
      <c r="L616" s="6"/>
      <c r="M616" s="2" t="str">
        <f>IF(J616="",ROUND(I616*(1-IF(ISBLANK(L616),K616,L616)/100),2),ROUND(J616*(1-IF(ISBLANK(L616),K616,L616)/100),2))</f>
      </c>
      <c r="N616" s="7" t="str">
        <f>IF(NOT(AND(J616="",L616="")),IF(OR(AND(L616&lt;&gt;"",NOT(ISNUMBER(L616))),IFERROR(MOD(L616,1),1)&gt;0,AND(ISNUMBER(L616),OR(L616&lt;0,L616&gt;95))),"Введите целое число от 0 до 95",IF(OR(AND(J616&lt;&gt;"",NOT(ISNUMBER(J616))),IFERROR(MOD(J616,1),1)&gt;0,AND(ISNUMBER(J616),OR(J616&lt;50,J616&gt;20000000))),"Введите целое число от 50 до 20000000",IF(NOT(ABS(IFERROR(VALUE(LEFT(M616,FIND("-",M616)-1)),M616)*100-(5000+2000000000)/2)&lt;=ABS(5000-2000000000)/2),"Цена со скидкой должна быть от 50 до 20000000",IF(IFERROR(VALUE(LEFT(M616,FIND("-",M616)-1)),M616)*229&lt;92700,"Вы уменьшили цену в несколько раз, товар попадет в карантин цен","")))),"")</f>
      </c>
    </row>
    <row r="617">
      <c r="A617" s="2" t="inlineStr">
        <is>
          <t>CuteShop</t>
        </is>
      </c>
      <c r="B617" s="2" t="inlineStr">
        <is>
          <t>Держатели для пустышек</t>
        </is>
      </c>
      <c r="C617" s="2">
        <v>99966827</v>
      </c>
      <c r="D617" s="2" t="inlineStr">
        <is>
          <t>AgataLis</t>
        </is>
      </c>
      <c r="E617" s="2" t="inlineStr">
        <is>
          <t>2036806372360</t>
        </is>
      </c>
      <c r="F617" s="2">
        <v>0</v>
      </c>
      <c r="G617" s="2">
        <v>0</v>
      </c>
      <c r="H617" s="2">
        <v>1</v>
      </c>
      <c r="I617" s="2" t="inlineStr">
        <is>
          <t>1030</t>
        </is>
      </c>
      <c r="J617" s="4"/>
      <c r="K617" s="2">
        <v>10</v>
      </c>
      <c r="L617" s="6"/>
      <c r="M617" s="2" t="str">
        <f>IF(J617="",ROUND(I617*(1-IF(ISBLANK(L617),K617,L617)/100),2),ROUND(J617*(1-IF(ISBLANK(L617),K617,L617)/100),2))</f>
      </c>
      <c r="N617" s="7" t="str">
        <f>IF(NOT(AND(J617="",L617="")),IF(OR(AND(L617&lt;&gt;"",NOT(ISNUMBER(L617))),IFERROR(MOD(L617,1),1)&gt;0,AND(ISNUMBER(L617),OR(L617&lt;0,L617&gt;95))),"Введите целое число от 0 до 95",IF(OR(AND(J617&lt;&gt;"",NOT(ISNUMBER(J617))),IFERROR(MOD(J617,1),1)&gt;0,AND(ISNUMBER(J617),OR(J617&lt;50,J617&gt;20000000))),"Введите целое число от 50 до 20000000",IF(NOT(ABS(IFERROR(VALUE(LEFT(M617,FIND("-",M617)-1)),M617)*100-(5000+2000000000)/2)&lt;=ABS(5000-2000000000)/2),"Цена со скидкой должна быть от 50 до 20000000",IF(IFERROR(VALUE(LEFT(M617,FIND("-",M617)-1)),M617)*229&lt;92700,"Вы уменьшили цену в несколько раз, товар попадет в карантин цен","")))),"")</f>
      </c>
    </row>
    <row r="618">
      <c r="A618" s="2" t="inlineStr">
        <is>
          <t>CuteShop</t>
        </is>
      </c>
      <c r="B618" s="2" t="inlineStr">
        <is>
          <t>Держатели для пустышек</t>
        </is>
      </c>
      <c r="C618" s="2">
        <v>253914210</v>
      </c>
      <c r="D618" s="2" t="inlineStr">
        <is>
          <t>KarolinaZay</t>
        </is>
      </c>
      <c r="E618" s="2" t="inlineStr">
        <is>
          <t>2040963627737</t>
        </is>
      </c>
      <c r="F618" s="2">
        <v>0</v>
      </c>
      <c r="G618" s="2">
        <v>1</v>
      </c>
      <c r="H618" s="2" t="inlineStr">
        <is>
          <t/>
        </is>
      </c>
      <c r="I618" s="2" t="inlineStr">
        <is>
          <t>1030</t>
        </is>
      </c>
      <c r="J618" s="4"/>
      <c r="K618" s="2">
        <v>10</v>
      </c>
      <c r="L618" s="6"/>
      <c r="M618" s="2" t="str">
        <f>IF(J618="",ROUND(I618*(1-IF(ISBLANK(L618),K618,L618)/100),2),ROUND(J618*(1-IF(ISBLANK(L618),K618,L618)/100),2))</f>
      </c>
      <c r="N618" s="7" t="str">
        <f>IF(NOT(AND(J618="",L618="")),IF(OR(AND(L618&lt;&gt;"",NOT(ISNUMBER(L618))),IFERROR(MOD(L618,1),1)&gt;0,AND(ISNUMBER(L618),OR(L618&lt;0,L618&gt;95))),"Введите целое число от 0 до 95",IF(OR(AND(J618&lt;&gt;"",NOT(ISNUMBER(J618))),IFERROR(MOD(J618,1),1)&gt;0,AND(ISNUMBER(J618),OR(J618&lt;50,J618&gt;20000000))),"Введите целое число от 50 до 20000000",IF(NOT(ABS(IFERROR(VALUE(LEFT(M618,FIND("-",M618)-1)),M618)*100-(5000+2000000000)/2)&lt;=ABS(5000-2000000000)/2),"Цена со скидкой должна быть от 50 до 20000000",IF(IFERROR(VALUE(LEFT(M618,FIND("-",M618)-1)),M618)*229&lt;92700,"Вы уменьшили цену в несколько раз, товар попадет в карантин цен","")))),"")</f>
      </c>
    </row>
    <row r="619">
      <c r="A619" s="2" t="inlineStr">
        <is>
          <t>CuteShop</t>
        </is>
      </c>
      <c r="B619" s="2" t="inlineStr">
        <is>
          <t>Держатели для пустышек</t>
        </is>
      </c>
      <c r="C619" s="2">
        <v>160787500</v>
      </c>
      <c r="D619" s="2" t="inlineStr">
        <is>
          <t>DamirMish</t>
        </is>
      </c>
      <c r="E619" s="2" t="inlineStr">
        <is>
          <t>2037825858170</t>
        </is>
      </c>
      <c r="F619" s="2">
        <v>0</v>
      </c>
      <c r="G619" s="2">
        <v>1</v>
      </c>
      <c r="H619" s="2">
        <v>1</v>
      </c>
      <c r="I619" s="2" t="inlineStr">
        <is>
          <t>1030</t>
        </is>
      </c>
      <c r="J619" s="4"/>
      <c r="K619" s="2">
        <v>10</v>
      </c>
      <c r="L619" s="6"/>
      <c r="M619" s="2" t="str">
        <f>IF(J619="",ROUND(I619*(1-IF(ISBLANK(L619),K619,L619)/100),2),ROUND(J619*(1-IF(ISBLANK(L619),K619,L619)/100),2))</f>
      </c>
      <c r="N619" s="7" t="str">
        <f>IF(NOT(AND(J619="",L619="")),IF(OR(AND(L619&lt;&gt;"",NOT(ISNUMBER(L619))),IFERROR(MOD(L619,1),1)&gt;0,AND(ISNUMBER(L619),OR(L619&lt;0,L619&gt;95))),"Введите целое число от 0 до 95",IF(OR(AND(J619&lt;&gt;"",NOT(ISNUMBER(J619))),IFERROR(MOD(J619,1),1)&gt;0,AND(ISNUMBER(J619),OR(J619&lt;50,J619&gt;20000000))),"Введите целое число от 50 до 20000000",IF(NOT(ABS(IFERROR(VALUE(LEFT(M619,FIND("-",M619)-1)),M619)*100-(5000+2000000000)/2)&lt;=ABS(5000-2000000000)/2),"Цена со скидкой должна быть от 50 до 20000000",IF(IFERROR(VALUE(LEFT(M619,FIND("-",M619)-1)),M619)*229&lt;92700,"Вы уменьшили цену в несколько раз, товар попадет в карантин цен","")))),"")</f>
      </c>
    </row>
    <row r="620">
      <c r="A620" s="2" t="inlineStr">
        <is>
          <t>CuteShop</t>
        </is>
      </c>
      <c r="B620" s="2" t="inlineStr">
        <is>
          <t>Держатели для пустышек</t>
        </is>
      </c>
      <c r="C620" s="2">
        <v>111024832</v>
      </c>
      <c r="D620" s="2" t="inlineStr">
        <is>
          <t>EliseyBG</t>
        </is>
      </c>
      <c r="E620" s="2" t="inlineStr">
        <is>
          <t>2037458851623</t>
        </is>
      </c>
      <c r="F620" s="2">
        <v>0</v>
      </c>
      <c r="G620" s="2">
        <v>1</v>
      </c>
      <c r="H620" s="2">
        <v>0</v>
      </c>
      <c r="I620" s="2" t="inlineStr">
        <is>
          <t>790</t>
        </is>
      </c>
      <c r="J620" s="4"/>
      <c r="K620" s="2">
        <v>10</v>
      </c>
      <c r="L620" s="6"/>
      <c r="M620" s="2" t="str">
        <f>IF(J620="",ROUND(I620*(1-IF(ISBLANK(L620),K620,L620)/100),2),ROUND(J620*(1-IF(ISBLANK(L620),K620,L620)/100),2))</f>
      </c>
      <c r="N620" s="7" t="str">
        <f>IF(NOT(AND(J620="",L620="")),IF(OR(AND(L620&lt;&gt;"",NOT(ISNUMBER(L620))),IFERROR(MOD(L620,1),1)&gt;0,AND(ISNUMBER(L620),OR(L620&lt;0,L620&gt;95))),"Введите целое число от 0 до 95",IF(OR(AND(J620&lt;&gt;"",NOT(ISNUMBER(J620))),IFERROR(MOD(J620,1),1)&gt;0,AND(ISNUMBER(J620),OR(J620&lt;50,J620&gt;20000000))),"Введите целое число от 50 до 20000000",IF(NOT(ABS(IFERROR(VALUE(LEFT(M620,FIND("-",M620)-1)),M620)*100-(5000+2000000000)/2)&lt;=ABS(5000-2000000000)/2),"Цена со скидкой должна быть от 50 до 20000000",IF(IFERROR(VALUE(LEFT(M620,FIND("-",M620)-1)),M620)*229&lt;71100,"Вы уменьшили цену в несколько раз, товар попадет в карантин цен","")))),"")</f>
      </c>
    </row>
    <row r="621">
      <c r="A621" s="2" t="inlineStr">
        <is>
          <t>CuteShop</t>
        </is>
      </c>
      <c r="B621" s="2" t="inlineStr">
        <is>
          <t>Держатели для пустышек</t>
        </is>
      </c>
      <c r="C621" s="2">
        <v>87359533</v>
      </c>
      <c r="D621" s="2" t="inlineStr">
        <is>
          <t>KiraBG</t>
        </is>
      </c>
      <c r="E621" s="2" t="inlineStr">
        <is>
          <t>2034751312622</t>
        </is>
      </c>
      <c r="F621" s="2">
        <v>0</v>
      </c>
      <c r="G621" s="2">
        <v>1</v>
      </c>
      <c r="H621" s="2">
        <v>1</v>
      </c>
      <c r="I621" s="2" t="inlineStr">
        <is>
          <t>790</t>
        </is>
      </c>
      <c r="J621" s="4"/>
      <c r="K621" s="2">
        <v>10</v>
      </c>
      <c r="L621" s="6"/>
      <c r="M621" s="2" t="str">
        <f>IF(J621="",ROUND(I621*(1-IF(ISBLANK(L621),K621,L621)/100),2),ROUND(J621*(1-IF(ISBLANK(L621),K621,L621)/100),2))</f>
      </c>
      <c r="N621" s="7" t="str">
        <f>IF(NOT(AND(J621="",L621="")),IF(OR(AND(L621&lt;&gt;"",NOT(ISNUMBER(L621))),IFERROR(MOD(L621,1),1)&gt;0,AND(ISNUMBER(L621),OR(L621&lt;0,L621&gt;95))),"Введите целое число от 0 до 95",IF(OR(AND(J621&lt;&gt;"",NOT(ISNUMBER(J621))),IFERROR(MOD(J621,1),1)&gt;0,AND(ISNUMBER(J621),OR(J621&lt;50,J621&gt;20000000))),"Введите целое число от 50 до 20000000",IF(NOT(ABS(IFERROR(VALUE(LEFT(M621,FIND("-",M621)-1)),M621)*100-(5000+2000000000)/2)&lt;=ABS(5000-2000000000)/2),"Цена со скидкой должна быть от 50 до 20000000",IF(IFERROR(VALUE(LEFT(M621,FIND("-",M621)-1)),M621)*229&lt;71100,"Вы уменьшили цену в несколько раз, товар попадет в карантин цен","")))),"")</f>
      </c>
    </row>
    <row r="622">
      <c r="A622" s="2" t="inlineStr">
        <is>
          <t>CuteShop</t>
        </is>
      </c>
      <c r="B622" s="2" t="inlineStr">
        <is>
          <t>Держатели для пустышек</t>
        </is>
      </c>
      <c r="C622" s="2">
        <v>99297678</v>
      </c>
      <c r="D622" s="2" t="inlineStr">
        <is>
          <t>AnyutaSlon</t>
        </is>
      </c>
      <c r="E622" s="2" t="inlineStr">
        <is>
          <t>2036797073840</t>
        </is>
      </c>
      <c r="F622" s="2">
        <v>0</v>
      </c>
      <c r="G622" s="2">
        <v>1</v>
      </c>
      <c r="H622" s="2">
        <v>0</v>
      </c>
      <c r="I622" s="2" t="inlineStr">
        <is>
          <t>1030</t>
        </is>
      </c>
      <c r="J622" s="4"/>
      <c r="K622" s="2">
        <v>10</v>
      </c>
      <c r="L622" s="6"/>
      <c r="M622" s="2" t="str">
        <f>IF(J622="",ROUND(I622*(1-IF(ISBLANK(L622),K622,L622)/100),2),ROUND(J622*(1-IF(ISBLANK(L622),K622,L622)/100),2))</f>
      </c>
      <c r="N622" s="7" t="str">
        <f>IF(NOT(AND(J622="",L622="")),IF(OR(AND(L622&lt;&gt;"",NOT(ISNUMBER(L622))),IFERROR(MOD(L622,1),1)&gt;0,AND(ISNUMBER(L622),OR(L622&lt;0,L622&gt;95))),"Введите целое число от 0 до 95",IF(OR(AND(J622&lt;&gt;"",NOT(ISNUMBER(J622))),IFERROR(MOD(J622,1),1)&gt;0,AND(ISNUMBER(J622),OR(J622&lt;50,J622&gt;20000000))),"Введите целое число от 50 до 20000000",IF(NOT(ABS(IFERROR(VALUE(LEFT(M622,FIND("-",M622)-1)),M622)*100-(5000+2000000000)/2)&lt;=ABS(5000-2000000000)/2),"Цена со скидкой должна быть от 50 до 20000000",IF(IFERROR(VALUE(LEFT(M622,FIND("-",M622)-1)),M622)*229&lt;92700,"Вы уменьшили цену в несколько раз, товар попадет в карантин цен","")))),"")</f>
      </c>
    </row>
    <row r="623">
      <c r="A623" s="2" t="inlineStr">
        <is>
          <t>CuteShop</t>
        </is>
      </c>
      <c r="B623" s="2" t="inlineStr">
        <is>
          <t>Держатели для пустышек</t>
        </is>
      </c>
      <c r="C623" s="2">
        <v>99960048</v>
      </c>
      <c r="D623" s="2" t="inlineStr">
        <is>
          <t>ZlataBG2</t>
        </is>
      </c>
      <c r="E623" s="2" t="inlineStr">
        <is>
          <t>2036806307751</t>
        </is>
      </c>
      <c r="F623" s="2">
        <v>0</v>
      </c>
      <c r="G623" s="2">
        <v>1</v>
      </c>
      <c r="H623" s="2">
        <v>0</v>
      </c>
      <c r="I623" s="2" t="inlineStr">
        <is>
          <t>790</t>
        </is>
      </c>
      <c r="J623" s="4"/>
      <c r="K623" s="2">
        <v>10</v>
      </c>
      <c r="L623" s="6"/>
      <c r="M623" s="2" t="str">
        <f>IF(J623="",ROUND(I623*(1-IF(ISBLANK(L623),K623,L623)/100),2),ROUND(J623*(1-IF(ISBLANK(L623),K623,L623)/100),2))</f>
      </c>
      <c r="N623" s="7" t="str">
        <f>IF(NOT(AND(J623="",L623="")),IF(OR(AND(L623&lt;&gt;"",NOT(ISNUMBER(L623))),IFERROR(MOD(L623,1),1)&gt;0,AND(ISNUMBER(L623),OR(L623&lt;0,L623&gt;95))),"Введите целое число от 0 до 95",IF(OR(AND(J623&lt;&gt;"",NOT(ISNUMBER(J623))),IFERROR(MOD(J623,1),1)&gt;0,AND(ISNUMBER(J623),OR(J623&lt;50,J623&gt;20000000))),"Введите целое число от 50 до 20000000",IF(NOT(ABS(IFERROR(VALUE(LEFT(M623,FIND("-",M623)-1)),M623)*100-(5000+2000000000)/2)&lt;=ABS(5000-2000000000)/2),"Цена со скидкой должна быть от 50 до 20000000",IF(IFERROR(VALUE(LEFT(M623,FIND("-",M623)-1)),M623)*229&lt;71100,"Вы уменьшили цену в несколько раз, товар попадет в карантин цен","")))),"")</f>
      </c>
    </row>
    <row r="624">
      <c r="A624" s="2" t="inlineStr">
        <is>
          <t>CuteShop</t>
        </is>
      </c>
      <c r="B624" s="2" t="inlineStr">
        <is>
          <t>Держатели для пустышек</t>
        </is>
      </c>
      <c r="C624" s="2">
        <v>111024836</v>
      </c>
      <c r="D624" s="2" t="inlineStr">
        <is>
          <t>EliseyMishBlue</t>
        </is>
      </c>
      <c r="E624" s="2" t="inlineStr">
        <is>
          <t>2037458881620</t>
        </is>
      </c>
      <c r="F624" s="2">
        <v>0</v>
      </c>
      <c r="G624" s="2">
        <v>1</v>
      </c>
      <c r="H624" s="2">
        <v>1</v>
      </c>
      <c r="I624" s="2" t="inlineStr">
        <is>
          <t>1030</t>
        </is>
      </c>
      <c r="J624" s="4"/>
      <c r="K624" s="2">
        <v>10</v>
      </c>
      <c r="L624" s="6"/>
      <c r="M624" s="2" t="str">
        <f>IF(J624="",ROUND(I624*(1-IF(ISBLANK(L624),K624,L624)/100),2),ROUND(J624*(1-IF(ISBLANK(L624),K624,L624)/100),2))</f>
      </c>
      <c r="N624" s="7" t="str">
        <f>IF(NOT(AND(J624="",L624="")),IF(OR(AND(L624&lt;&gt;"",NOT(ISNUMBER(L624))),IFERROR(MOD(L624,1),1)&gt;0,AND(ISNUMBER(L624),OR(L624&lt;0,L624&gt;95))),"Введите целое число от 0 до 95",IF(OR(AND(J624&lt;&gt;"",NOT(ISNUMBER(J624))),IFERROR(MOD(J624,1),1)&gt;0,AND(ISNUMBER(J624),OR(J624&lt;50,J624&gt;20000000))),"Введите целое число от 50 до 20000000",IF(NOT(ABS(IFERROR(VALUE(LEFT(M624,FIND("-",M624)-1)),M624)*100-(5000+2000000000)/2)&lt;=ABS(5000-2000000000)/2),"Цена со скидкой должна быть от 50 до 20000000",IF(IFERROR(VALUE(LEFT(M624,FIND("-",M624)-1)),M624)*229&lt;92700,"Вы уменьшили цену в несколько раз, товар попадет в карантин цен","")))),"")</f>
      </c>
    </row>
    <row r="625">
      <c r="A625" s="2" t="inlineStr">
        <is>
          <t>CuteShop</t>
        </is>
      </c>
      <c r="B625" s="2" t="inlineStr">
        <is>
          <t>Держатели для пустышек</t>
        </is>
      </c>
      <c r="C625" s="2">
        <v>245147560</v>
      </c>
      <c r="D625" s="2" t="inlineStr">
        <is>
          <t>GabrielMish</t>
        </is>
      </c>
      <c r="E625" s="2" t="inlineStr">
        <is>
          <t>2040699112262</t>
        </is>
      </c>
      <c r="F625" s="2">
        <v>0</v>
      </c>
      <c r="G625" s="2">
        <v>1</v>
      </c>
      <c r="H625" s="2" t="inlineStr">
        <is>
          <t/>
        </is>
      </c>
      <c r="I625" s="2" t="inlineStr">
        <is>
          <t>1030</t>
        </is>
      </c>
      <c r="J625" s="4"/>
      <c r="K625" s="2">
        <v>10</v>
      </c>
      <c r="L625" s="6"/>
      <c r="M625" s="2" t="str">
        <f>IF(J625="",ROUND(I625*(1-IF(ISBLANK(L625),K625,L625)/100),2),ROUND(J625*(1-IF(ISBLANK(L625),K625,L625)/100),2))</f>
      </c>
      <c r="N625" s="7" t="str">
        <f>IF(NOT(AND(J625="",L625="")),IF(OR(AND(L625&lt;&gt;"",NOT(ISNUMBER(L625))),IFERROR(MOD(L625,1),1)&gt;0,AND(ISNUMBER(L625),OR(L625&lt;0,L625&gt;95))),"Введите целое число от 0 до 95",IF(OR(AND(J625&lt;&gt;"",NOT(ISNUMBER(J625))),IFERROR(MOD(J625,1),1)&gt;0,AND(ISNUMBER(J625),OR(J625&lt;50,J625&gt;20000000))),"Введите целое число от 50 до 20000000",IF(NOT(ABS(IFERROR(VALUE(LEFT(M625,FIND("-",M625)-1)),M625)*100-(5000+2000000000)/2)&lt;=ABS(5000-2000000000)/2),"Цена со скидкой должна быть от 50 до 20000000",IF(IFERROR(VALUE(LEFT(M625,FIND("-",M625)-1)),M625)*229&lt;92700,"Вы уменьшили цену в несколько раз, товар попадет в карантин цен","")))),"")</f>
      </c>
    </row>
    <row r="626">
      <c r="A626" s="2" t="inlineStr">
        <is>
          <t>CuteShop</t>
        </is>
      </c>
      <c r="B626" s="2" t="inlineStr">
        <is>
          <t>Держатели для пустышек</t>
        </is>
      </c>
      <c r="C626" s="2">
        <v>172171995</v>
      </c>
      <c r="D626" s="2" t="inlineStr">
        <is>
          <t>AglayaBG</t>
        </is>
      </c>
      <c r="E626" s="2" t="inlineStr">
        <is>
          <t>2038301844373</t>
        </is>
      </c>
      <c r="F626" s="2">
        <v>0</v>
      </c>
      <c r="G626" s="2">
        <v>1</v>
      </c>
      <c r="H626" s="2">
        <v>0</v>
      </c>
      <c r="I626" s="2" t="inlineStr">
        <is>
          <t>790</t>
        </is>
      </c>
      <c r="J626" s="4"/>
      <c r="K626" s="2">
        <v>10</v>
      </c>
      <c r="L626" s="6"/>
      <c r="M626" s="2" t="str">
        <f>IF(J626="",ROUND(I626*(1-IF(ISBLANK(L626),K626,L626)/100),2),ROUND(J626*(1-IF(ISBLANK(L626),K626,L626)/100),2))</f>
      </c>
      <c r="N626" s="7" t="str">
        <f>IF(NOT(AND(J626="",L626="")),IF(OR(AND(L626&lt;&gt;"",NOT(ISNUMBER(L626))),IFERROR(MOD(L626,1),1)&gt;0,AND(ISNUMBER(L626),OR(L626&lt;0,L626&gt;95))),"Введите целое число от 0 до 95",IF(OR(AND(J626&lt;&gt;"",NOT(ISNUMBER(J626))),IFERROR(MOD(J626,1),1)&gt;0,AND(ISNUMBER(J626),OR(J626&lt;50,J626&gt;20000000))),"Введите целое число от 50 до 20000000",IF(NOT(ABS(IFERROR(VALUE(LEFT(M626,FIND("-",M626)-1)),M626)*100-(5000+2000000000)/2)&lt;=ABS(5000-2000000000)/2),"Цена со скидкой должна быть от 50 до 20000000",IF(IFERROR(VALUE(LEFT(M626,FIND("-",M626)-1)),M626)*229&lt;71100,"Вы уменьшили цену в несколько раз, товар попадет в карантин цен","")))),"")</f>
      </c>
    </row>
    <row r="627">
      <c r="A627" s="2" t="inlineStr">
        <is>
          <t>CuteShop</t>
        </is>
      </c>
      <c r="B627" s="2" t="inlineStr">
        <is>
          <t>Держатели для пустышек</t>
        </is>
      </c>
      <c r="C627" s="2">
        <v>112600159</v>
      </c>
      <c r="D627" s="2" t="inlineStr">
        <is>
          <t>EmiliyaLama</t>
        </is>
      </c>
      <c r="E627" s="2" t="inlineStr">
        <is>
          <t>2038874953625</t>
        </is>
      </c>
      <c r="F627" s="2">
        <v>0</v>
      </c>
      <c r="G627" s="2">
        <v>1</v>
      </c>
      <c r="H627" s="2">
        <v>0</v>
      </c>
      <c r="I627" s="2" t="inlineStr">
        <is>
          <t>1030</t>
        </is>
      </c>
      <c r="J627" s="4"/>
      <c r="K627" s="2">
        <v>10</v>
      </c>
      <c r="L627" s="6"/>
      <c r="M627" s="2" t="str">
        <f>IF(J627="",ROUND(I627*(1-IF(ISBLANK(L627),K627,L627)/100),2),ROUND(J627*(1-IF(ISBLANK(L627),K627,L627)/100),2))</f>
      </c>
      <c r="N627" s="7" t="str">
        <f>IF(NOT(AND(J627="",L627="")),IF(OR(AND(L627&lt;&gt;"",NOT(ISNUMBER(L627))),IFERROR(MOD(L627,1),1)&gt;0,AND(ISNUMBER(L627),OR(L627&lt;0,L627&gt;95))),"Введите целое число от 0 до 95",IF(OR(AND(J627&lt;&gt;"",NOT(ISNUMBER(J627))),IFERROR(MOD(J627,1),1)&gt;0,AND(ISNUMBER(J627),OR(J627&lt;50,J627&gt;20000000))),"Введите целое число от 50 до 20000000",IF(NOT(ABS(IFERROR(VALUE(LEFT(M627,FIND("-",M627)-1)),M627)*100-(5000+2000000000)/2)&lt;=ABS(5000-2000000000)/2),"Цена со скидкой должна быть от 50 до 20000000",IF(IFERROR(VALUE(LEFT(M627,FIND("-",M627)-1)),M627)*229&lt;92700,"Вы уменьшили цену в несколько раз, товар попадет в карантин цен","")))),"")</f>
      </c>
    </row>
    <row r="628">
      <c r="A628" s="2" t="inlineStr">
        <is>
          <t>CuteShop</t>
        </is>
      </c>
      <c r="B628" s="2" t="inlineStr">
        <is>
          <t>Держатели для пустышек</t>
        </is>
      </c>
      <c r="C628" s="2">
        <v>88845698</v>
      </c>
      <c r="D628" s="2" t="inlineStr">
        <is>
          <t>AmaliyaEdin</t>
        </is>
      </c>
      <c r="E628" s="2" t="inlineStr">
        <is>
          <t>2035437532624</t>
        </is>
      </c>
      <c r="F628" s="2">
        <v>0</v>
      </c>
      <c r="G628" s="2">
        <v>0</v>
      </c>
      <c r="H628" s="2">
        <v>0</v>
      </c>
      <c r="I628" s="2" t="inlineStr">
        <is>
          <t>1030</t>
        </is>
      </c>
      <c r="J628" s="4"/>
      <c r="K628" s="2">
        <v>10</v>
      </c>
      <c r="L628" s="6"/>
      <c r="M628" s="2" t="str">
        <f>IF(J628="",ROUND(I628*(1-IF(ISBLANK(L628),K628,L628)/100),2),ROUND(J628*(1-IF(ISBLANK(L628),K628,L628)/100),2))</f>
      </c>
      <c r="N628" s="7" t="str">
        <f>IF(NOT(AND(J628="",L628="")),IF(OR(AND(L628&lt;&gt;"",NOT(ISNUMBER(L628))),IFERROR(MOD(L628,1),1)&gt;0,AND(ISNUMBER(L628),OR(L628&lt;0,L628&gt;95))),"Введите целое число от 0 до 95",IF(OR(AND(J628&lt;&gt;"",NOT(ISNUMBER(J628))),IFERROR(MOD(J628,1),1)&gt;0,AND(ISNUMBER(J628),OR(J628&lt;50,J628&gt;20000000))),"Введите целое число от 50 до 20000000",IF(NOT(ABS(IFERROR(VALUE(LEFT(M628,FIND("-",M628)-1)),M628)*100-(5000+2000000000)/2)&lt;=ABS(5000-2000000000)/2),"Цена со скидкой должна быть от 50 до 20000000",IF(IFERROR(VALUE(LEFT(M628,FIND("-",M628)-1)),M628)*229&lt;92700,"Вы уменьшили цену в несколько раз, товар попадет в карантин цен","")))),"")</f>
      </c>
    </row>
    <row r="629">
      <c r="A629" s="2" t="inlineStr">
        <is>
          <t>CuteShop</t>
        </is>
      </c>
      <c r="B629" s="2" t="inlineStr">
        <is>
          <t>Держатели для пустышек</t>
        </is>
      </c>
      <c r="C629" s="2">
        <v>88845699</v>
      </c>
      <c r="D629" s="2" t="inlineStr">
        <is>
          <t>AmaliyaLama</t>
        </is>
      </c>
      <c r="E629" s="2" t="inlineStr">
        <is>
          <t>2035437495622</t>
        </is>
      </c>
      <c r="F629" s="2">
        <v>0</v>
      </c>
      <c r="G629" s="2">
        <v>1</v>
      </c>
      <c r="H629" s="2">
        <v>0</v>
      </c>
      <c r="I629" s="2" t="inlineStr">
        <is>
          <t>1030</t>
        </is>
      </c>
      <c r="J629" s="4"/>
      <c r="K629" s="2">
        <v>10</v>
      </c>
      <c r="L629" s="6"/>
      <c r="M629" s="2" t="str">
        <f>IF(J629="",ROUND(I629*(1-IF(ISBLANK(L629),K629,L629)/100),2),ROUND(J629*(1-IF(ISBLANK(L629),K629,L629)/100),2))</f>
      </c>
      <c r="N629" s="7" t="str">
        <f>IF(NOT(AND(J629="",L629="")),IF(OR(AND(L629&lt;&gt;"",NOT(ISNUMBER(L629))),IFERROR(MOD(L629,1),1)&gt;0,AND(ISNUMBER(L629),OR(L629&lt;0,L629&gt;95))),"Введите целое число от 0 до 95",IF(OR(AND(J629&lt;&gt;"",NOT(ISNUMBER(J629))),IFERROR(MOD(J629,1),1)&gt;0,AND(ISNUMBER(J629),OR(J629&lt;50,J629&gt;20000000))),"Введите целое число от 50 до 20000000",IF(NOT(ABS(IFERROR(VALUE(LEFT(M629,FIND("-",M629)-1)),M629)*100-(5000+2000000000)/2)&lt;=ABS(5000-2000000000)/2),"Цена со скидкой должна быть от 50 до 20000000",IF(IFERROR(VALUE(LEFT(M629,FIND("-",M629)-1)),M629)*229&lt;92700,"Вы уменьшили цену в несколько раз, товар попадет в карантин цен","")))),"")</f>
      </c>
    </row>
    <row r="630">
      <c r="A630" s="2" t="inlineStr">
        <is>
          <t>CuteShop</t>
        </is>
      </c>
      <c r="B630" s="2" t="inlineStr">
        <is>
          <t>Держатели для пустышек</t>
        </is>
      </c>
      <c r="C630" s="2">
        <v>110413397</v>
      </c>
      <c r="D630" s="2" t="inlineStr">
        <is>
          <t>NastyaEdin</t>
        </is>
      </c>
      <c r="E630" s="2" t="inlineStr">
        <is>
          <t>2036555506627</t>
        </is>
      </c>
      <c r="F630" s="2">
        <v>0</v>
      </c>
      <c r="G630" s="2">
        <v>0</v>
      </c>
      <c r="H630" s="2">
        <v>0</v>
      </c>
      <c r="I630" s="2" t="inlineStr">
        <is>
          <t>1030</t>
        </is>
      </c>
      <c r="J630" s="4"/>
      <c r="K630" s="2">
        <v>10</v>
      </c>
      <c r="L630" s="6"/>
      <c r="M630" s="2" t="str">
        <f>IF(J630="",ROUND(I630*(1-IF(ISBLANK(L630),K630,L630)/100),2),ROUND(J630*(1-IF(ISBLANK(L630),K630,L630)/100),2))</f>
      </c>
      <c r="N630" s="7" t="str">
        <f>IF(NOT(AND(J630="",L630="")),IF(OR(AND(L630&lt;&gt;"",NOT(ISNUMBER(L630))),IFERROR(MOD(L630,1),1)&gt;0,AND(ISNUMBER(L630),OR(L630&lt;0,L630&gt;95))),"Введите целое число от 0 до 95",IF(OR(AND(J630&lt;&gt;"",NOT(ISNUMBER(J630))),IFERROR(MOD(J630,1),1)&gt;0,AND(ISNUMBER(J630),OR(J630&lt;50,J630&gt;20000000))),"Введите целое число от 50 до 20000000",IF(NOT(ABS(IFERROR(VALUE(LEFT(M630,FIND("-",M630)-1)),M630)*100-(5000+2000000000)/2)&lt;=ABS(5000-2000000000)/2),"Цена со скидкой должна быть от 50 до 20000000",IF(IFERROR(VALUE(LEFT(M630,FIND("-",M630)-1)),M630)*229&lt;92700,"Вы уменьшили цену в несколько раз, товар попадет в карантин цен","")))),"")</f>
      </c>
    </row>
    <row r="631">
      <c r="A631" s="2" t="inlineStr">
        <is>
          <t>CuteShop</t>
        </is>
      </c>
      <c r="B631" s="2" t="inlineStr">
        <is>
          <t>Держатели для пустышек</t>
        </is>
      </c>
      <c r="C631" s="2">
        <v>89002880</v>
      </c>
      <c r="D631" s="2" t="inlineStr">
        <is>
          <t>TimurMishSin</t>
        </is>
      </c>
      <c r="E631" s="2" t="inlineStr">
        <is>
          <t>2035646291626</t>
        </is>
      </c>
      <c r="F631" s="2">
        <v>0</v>
      </c>
      <c r="G631" s="2">
        <v>1</v>
      </c>
      <c r="H631" s="2">
        <v>0</v>
      </c>
      <c r="I631" s="2" t="inlineStr">
        <is>
          <t>1030</t>
        </is>
      </c>
      <c r="J631" s="4"/>
      <c r="K631" s="2">
        <v>10</v>
      </c>
      <c r="L631" s="6"/>
      <c r="M631" s="2" t="str">
        <f>IF(J631="",ROUND(I631*(1-IF(ISBLANK(L631),K631,L631)/100),2),ROUND(J631*(1-IF(ISBLANK(L631),K631,L631)/100),2))</f>
      </c>
      <c r="N631" s="7" t="str">
        <f>IF(NOT(AND(J631="",L631="")),IF(OR(AND(L631&lt;&gt;"",NOT(ISNUMBER(L631))),IFERROR(MOD(L631,1),1)&gt;0,AND(ISNUMBER(L631),OR(L631&lt;0,L631&gt;95))),"Введите целое число от 0 до 95",IF(OR(AND(J631&lt;&gt;"",NOT(ISNUMBER(J631))),IFERROR(MOD(J631,1),1)&gt;0,AND(ISNUMBER(J631),OR(J631&lt;50,J631&gt;20000000))),"Введите целое число от 50 до 20000000",IF(NOT(ABS(IFERROR(VALUE(LEFT(M631,FIND("-",M631)-1)),M631)*100-(5000+2000000000)/2)&lt;=ABS(5000-2000000000)/2),"Цена со скидкой должна быть от 50 до 20000000",IF(IFERROR(VALUE(LEFT(M631,FIND("-",M631)-1)),M631)*229&lt;92700,"Вы уменьшили цену в несколько раз, товар попадет в карантин цен","")))),"")</f>
      </c>
    </row>
    <row r="632">
      <c r="A632" s="2" t="inlineStr">
        <is>
          <t>CuteShop</t>
        </is>
      </c>
      <c r="B632" s="2" t="inlineStr">
        <is>
          <t>Держатели для пустышек</t>
        </is>
      </c>
      <c r="C632" s="2">
        <v>112385493</v>
      </c>
      <c r="D632" s="2" t="inlineStr">
        <is>
          <t>IvanMishSer</t>
        </is>
      </c>
      <c r="E632" s="2" t="inlineStr">
        <is>
          <t>2038783269626</t>
        </is>
      </c>
      <c r="F632" s="2">
        <v>0</v>
      </c>
      <c r="G632" s="2">
        <v>1</v>
      </c>
      <c r="H632" s="2">
        <v>1</v>
      </c>
      <c r="I632" s="2" t="inlineStr">
        <is>
          <t>1030</t>
        </is>
      </c>
      <c r="J632" s="4"/>
      <c r="K632" s="2">
        <v>10</v>
      </c>
      <c r="L632" s="6"/>
      <c r="M632" s="2" t="str">
        <f>IF(J632="",ROUND(I632*(1-IF(ISBLANK(L632),K632,L632)/100),2),ROUND(J632*(1-IF(ISBLANK(L632),K632,L632)/100),2))</f>
      </c>
      <c r="N632" s="7" t="str">
        <f>IF(NOT(AND(J632="",L632="")),IF(OR(AND(L632&lt;&gt;"",NOT(ISNUMBER(L632))),IFERROR(MOD(L632,1),1)&gt;0,AND(ISNUMBER(L632),OR(L632&lt;0,L632&gt;95))),"Введите целое число от 0 до 95",IF(OR(AND(J632&lt;&gt;"",NOT(ISNUMBER(J632))),IFERROR(MOD(J632,1),1)&gt;0,AND(ISNUMBER(J632),OR(J632&lt;50,J632&gt;20000000))),"Введите целое число от 50 до 20000000",IF(NOT(ABS(IFERROR(VALUE(LEFT(M632,FIND("-",M632)-1)),M632)*100-(5000+2000000000)/2)&lt;=ABS(5000-2000000000)/2),"Цена со скидкой должна быть от 50 до 20000000",IF(IFERROR(VALUE(LEFT(M632,FIND("-",M632)-1)),M632)*229&lt;92700,"Вы уменьшили цену в несколько раз, товар попадет в карантин цен","")))),"")</f>
      </c>
    </row>
    <row r="633">
      <c r="A633" s="2" t="inlineStr">
        <is>
          <t>CuteShop</t>
        </is>
      </c>
      <c r="B633" s="2" t="inlineStr">
        <is>
          <t>Держатели для пустышек</t>
        </is>
      </c>
      <c r="C633" s="2">
        <v>110533882</v>
      </c>
      <c r="D633" s="2" t="inlineStr">
        <is>
          <t>KiraYellowZhiraf</t>
        </is>
      </c>
      <c r="E633" s="2" t="inlineStr">
        <is>
          <t>2036787706628</t>
        </is>
      </c>
      <c r="F633" s="2">
        <v>0</v>
      </c>
      <c r="G633" s="2">
        <v>0</v>
      </c>
      <c r="H633" s="2">
        <v>0</v>
      </c>
      <c r="I633" s="2" t="inlineStr">
        <is>
          <t>1030</t>
        </is>
      </c>
      <c r="J633" s="4"/>
      <c r="K633" s="2">
        <v>10</v>
      </c>
      <c r="L633" s="6"/>
      <c r="M633" s="2" t="str">
        <f>IF(J633="",ROUND(I633*(1-IF(ISBLANK(L633),K633,L633)/100),2),ROUND(J633*(1-IF(ISBLANK(L633),K633,L633)/100),2))</f>
      </c>
      <c r="N633" s="7" t="str">
        <f>IF(NOT(AND(J633="",L633="")),IF(OR(AND(L633&lt;&gt;"",NOT(ISNUMBER(L633))),IFERROR(MOD(L633,1),1)&gt;0,AND(ISNUMBER(L633),OR(L633&lt;0,L633&gt;95))),"Введите целое число от 0 до 95",IF(OR(AND(J633&lt;&gt;"",NOT(ISNUMBER(J633))),IFERROR(MOD(J633,1),1)&gt;0,AND(ISNUMBER(J633),OR(J633&lt;50,J633&gt;20000000))),"Введите целое число от 50 до 20000000",IF(NOT(ABS(IFERROR(VALUE(LEFT(M633,FIND("-",M633)-1)),M633)*100-(5000+2000000000)/2)&lt;=ABS(5000-2000000000)/2),"Цена со скидкой должна быть от 50 до 20000000",IF(IFERROR(VALUE(LEFT(M633,FIND("-",M633)-1)),M633)*229&lt;92700,"Вы уменьшили цену в несколько раз, товар попадет в карантин цен","")))),"")</f>
      </c>
    </row>
    <row r="634">
      <c r="A634" s="2" t="inlineStr">
        <is>
          <t>CuteShop</t>
        </is>
      </c>
      <c r="B634" s="2" t="inlineStr">
        <is>
          <t>Держатели для пустышек</t>
        </is>
      </c>
      <c r="C634" s="2">
        <v>296040100</v>
      </c>
      <c r="D634" s="2" t="inlineStr">
        <is>
          <t>EliseyMishSer</t>
        </is>
      </c>
      <c r="E634" s="2" t="inlineStr">
        <is>
          <t>2042119748419</t>
        </is>
      </c>
      <c r="F634" s="2">
        <v>0</v>
      </c>
      <c r="G634" s="2">
        <v>1</v>
      </c>
      <c r="H634" s="2" t="inlineStr">
        <is>
          <t/>
        </is>
      </c>
      <c r="I634" s="2" t="inlineStr">
        <is>
          <t>1030</t>
        </is>
      </c>
      <c r="J634" s="4"/>
      <c r="K634" s="2">
        <v>10</v>
      </c>
      <c r="L634" s="6"/>
      <c r="M634" s="2" t="str">
        <f>IF(J634="",ROUND(I634*(1-IF(ISBLANK(L634),K634,L634)/100),2),ROUND(J634*(1-IF(ISBLANK(L634),K634,L634)/100),2))</f>
      </c>
      <c r="N634" s="7" t="str">
        <f>IF(NOT(AND(J634="",L634="")),IF(OR(AND(L634&lt;&gt;"",NOT(ISNUMBER(L634))),IFERROR(MOD(L634,1),1)&gt;0,AND(ISNUMBER(L634),OR(L634&lt;0,L634&gt;95))),"Введите целое число от 0 до 95",IF(OR(AND(J634&lt;&gt;"",NOT(ISNUMBER(J634))),IFERROR(MOD(J634,1),1)&gt;0,AND(ISNUMBER(J634),OR(J634&lt;50,J634&gt;20000000))),"Введите целое число от 50 до 20000000",IF(NOT(ABS(IFERROR(VALUE(LEFT(M634,FIND("-",M634)-1)),M634)*100-(5000+2000000000)/2)&lt;=ABS(5000-2000000000)/2),"Цена со скидкой должна быть от 50 до 20000000",IF(IFERROR(VALUE(LEFT(M634,FIND("-",M634)-1)),M634)*229&lt;92700,"Вы уменьшили цену в несколько раз, товар попадет в карантин цен","")))),"")</f>
      </c>
    </row>
    <row r="635">
      <c r="A635" s="2" t="inlineStr">
        <is>
          <t>CuteShop</t>
        </is>
      </c>
      <c r="B635" s="2" t="inlineStr">
        <is>
          <t>Держатели для пустышек</t>
        </is>
      </c>
      <c r="C635" s="2">
        <v>116850837</v>
      </c>
      <c r="D635" s="2" t="inlineStr">
        <is>
          <t>DerzhProstSobMyat</t>
        </is>
      </c>
      <c r="E635" s="2" t="inlineStr">
        <is>
          <t>2041865502627</t>
        </is>
      </c>
      <c r="F635" s="2">
        <v>0</v>
      </c>
      <c r="G635" s="2">
        <v>0</v>
      </c>
      <c r="H635" s="2" t="inlineStr">
        <is>
          <t/>
        </is>
      </c>
      <c r="I635" s="2" t="inlineStr">
        <is>
          <t>643</t>
        </is>
      </c>
      <c r="J635" s="4"/>
      <c r="K635" s="2">
        <v>10</v>
      </c>
      <c r="L635" s="6"/>
      <c r="M635" s="2" t="str">
        <f>IF(J635="",ROUND(I635*(1-IF(ISBLANK(L635),K635,L635)/100),2),ROUND(J635*(1-IF(ISBLANK(L635),K635,L635)/100),2))</f>
      </c>
      <c r="N635" s="7" t="str">
        <f>IF(NOT(AND(J635="",L635="")),IF(OR(AND(L635&lt;&gt;"",NOT(ISNUMBER(L635))),IFERROR(MOD(L635,1),1)&gt;0,AND(ISNUMBER(L635),OR(L635&lt;0,L635&gt;95))),"Введите целое число от 0 до 95",IF(OR(AND(J635&lt;&gt;"",NOT(ISNUMBER(J635))),IFERROR(MOD(J635,1),1)&gt;0,AND(ISNUMBER(J635),OR(J635&lt;50,J635&gt;20000000))),"Введите целое число от 50 до 20000000",IF(NOT(ABS(IFERROR(VALUE(LEFT(M635,FIND("-",M635)-1)),M635)*100-(5000+2000000000)/2)&lt;=ABS(5000-2000000000)/2),"Цена со скидкой должна быть от 50 до 20000000",IF(IFERROR(VALUE(LEFT(M635,FIND("-",M635)-1)),M635)*229&lt;57870,"Вы уменьшили цену в несколько раз, товар попадет в карантин цен","")))),"")</f>
      </c>
    </row>
    <row r="636">
      <c r="A636" s="2" t="inlineStr">
        <is>
          <t>CuteShop</t>
        </is>
      </c>
      <c r="B636" s="2" t="inlineStr">
        <is>
          <t>Держатели для пустышек</t>
        </is>
      </c>
      <c r="C636" s="2">
        <v>146350040</v>
      </c>
      <c r="D636" s="2" t="inlineStr">
        <is>
          <t>TihonMish</t>
        </is>
      </c>
      <c r="E636" s="2" t="inlineStr">
        <is>
          <t>2037465543214</t>
        </is>
      </c>
      <c r="F636" s="2">
        <v>0</v>
      </c>
      <c r="G636" s="2">
        <v>1</v>
      </c>
      <c r="H636" s="2" t="inlineStr">
        <is>
          <t/>
        </is>
      </c>
      <c r="I636" s="2" t="inlineStr">
        <is>
          <t>1030</t>
        </is>
      </c>
      <c r="J636" s="4"/>
      <c r="K636" s="2">
        <v>10</v>
      </c>
      <c r="L636" s="6"/>
      <c r="M636" s="2" t="str">
        <f>IF(J636="",ROUND(I636*(1-IF(ISBLANK(L636),K636,L636)/100),2),ROUND(J636*(1-IF(ISBLANK(L636),K636,L636)/100),2))</f>
      </c>
      <c r="N636" s="7" t="str">
        <f>IF(NOT(AND(J636="",L636="")),IF(OR(AND(L636&lt;&gt;"",NOT(ISNUMBER(L636))),IFERROR(MOD(L636,1),1)&gt;0,AND(ISNUMBER(L636),OR(L636&lt;0,L636&gt;95))),"Введите целое число от 0 до 95",IF(OR(AND(J636&lt;&gt;"",NOT(ISNUMBER(J636))),IFERROR(MOD(J636,1),1)&gt;0,AND(ISNUMBER(J636),OR(J636&lt;50,J636&gt;20000000))),"Введите целое число от 50 до 20000000",IF(NOT(ABS(IFERROR(VALUE(LEFT(M636,FIND("-",M636)-1)),M636)*100-(5000+2000000000)/2)&lt;=ABS(5000-2000000000)/2),"Цена со скидкой должна быть от 50 до 20000000",IF(IFERROR(VALUE(LEFT(M636,FIND("-",M636)-1)),M636)*229&lt;92700,"Вы уменьшили цену в несколько раз, товар попадет в карантин цен","")))),"")</f>
      </c>
    </row>
    <row r="637">
      <c r="A637" s="2" t="inlineStr">
        <is>
          <t>CuteShop</t>
        </is>
      </c>
      <c r="B637" s="2" t="inlineStr">
        <is>
          <t>Держатели для пустышек</t>
        </is>
      </c>
      <c r="C637" s="2">
        <v>111025635</v>
      </c>
      <c r="D637" s="2" t="inlineStr">
        <is>
          <t>PlatonMishSer</t>
        </is>
      </c>
      <c r="E637" s="2" t="inlineStr">
        <is>
          <t>2037459460626</t>
        </is>
      </c>
      <c r="F637" s="2">
        <v>0</v>
      </c>
      <c r="G637" s="2">
        <v>0</v>
      </c>
      <c r="H637" s="2" t="inlineStr">
        <is>
          <t/>
        </is>
      </c>
      <c r="I637" s="2" t="inlineStr">
        <is>
          <t>1030</t>
        </is>
      </c>
      <c r="J637" s="4"/>
      <c r="K637" s="2">
        <v>10</v>
      </c>
      <c r="L637" s="6"/>
      <c r="M637" s="2" t="str">
        <f>IF(J637="",ROUND(I637*(1-IF(ISBLANK(L637),K637,L637)/100),2),ROUND(J637*(1-IF(ISBLANK(L637),K637,L637)/100),2))</f>
      </c>
      <c r="N637" s="7" t="str">
        <f>IF(NOT(AND(J637="",L637="")),IF(OR(AND(L637&lt;&gt;"",NOT(ISNUMBER(L637))),IFERROR(MOD(L637,1),1)&gt;0,AND(ISNUMBER(L637),OR(L637&lt;0,L637&gt;95))),"Введите целое число от 0 до 95",IF(OR(AND(J637&lt;&gt;"",NOT(ISNUMBER(J637))),IFERROR(MOD(J637,1),1)&gt;0,AND(ISNUMBER(J637),OR(J637&lt;50,J637&gt;20000000))),"Введите целое число от 50 до 20000000",IF(NOT(ABS(IFERROR(VALUE(LEFT(M637,FIND("-",M637)-1)),M637)*100-(5000+2000000000)/2)&lt;=ABS(5000-2000000000)/2),"Цена со скидкой должна быть от 50 до 20000000",IF(IFERROR(VALUE(LEFT(M637,FIND("-",M637)-1)),M637)*229&lt;92700,"Вы уменьшили цену в несколько раз, товар попадет в карантин цен","")))),"")</f>
      </c>
    </row>
    <row r="638">
      <c r="A638" s="2" t="inlineStr">
        <is>
          <t>CuteShop</t>
        </is>
      </c>
      <c r="B638" s="2" t="inlineStr">
        <is>
          <t>Держатели для пустышек</t>
        </is>
      </c>
      <c r="C638" s="2">
        <v>111034487</v>
      </c>
      <c r="D638" s="2" t="inlineStr">
        <is>
          <t>AleshaMishGol</t>
        </is>
      </c>
      <c r="E638" s="2" t="inlineStr">
        <is>
          <t>2037469807626</t>
        </is>
      </c>
      <c r="F638" s="2">
        <v>0</v>
      </c>
      <c r="G638" s="2">
        <v>1</v>
      </c>
      <c r="H638" s="2">
        <v>1</v>
      </c>
      <c r="I638" s="2" t="inlineStr">
        <is>
          <t>1030</t>
        </is>
      </c>
      <c r="J638" s="4"/>
      <c r="K638" s="2">
        <v>10</v>
      </c>
      <c r="L638" s="6"/>
      <c r="M638" s="2" t="str">
        <f>IF(J638="",ROUND(I638*(1-IF(ISBLANK(L638),K638,L638)/100),2),ROUND(J638*(1-IF(ISBLANK(L638),K638,L638)/100),2))</f>
      </c>
      <c r="N638" s="7" t="str">
        <f>IF(NOT(AND(J638="",L638="")),IF(OR(AND(L638&lt;&gt;"",NOT(ISNUMBER(L638))),IFERROR(MOD(L638,1),1)&gt;0,AND(ISNUMBER(L638),OR(L638&lt;0,L638&gt;95))),"Введите целое число от 0 до 95",IF(OR(AND(J638&lt;&gt;"",NOT(ISNUMBER(J638))),IFERROR(MOD(J638,1),1)&gt;0,AND(ISNUMBER(J638),OR(J638&lt;50,J638&gt;20000000))),"Введите целое число от 50 до 20000000",IF(NOT(ABS(IFERROR(VALUE(LEFT(M638,FIND("-",M638)-1)),M638)*100-(5000+2000000000)/2)&lt;=ABS(5000-2000000000)/2),"Цена со скидкой должна быть от 50 до 20000000",IF(IFERROR(VALUE(LEFT(M638,FIND("-",M638)-1)),M638)*229&lt;92700,"Вы уменьшили цену в несколько раз, товар попадет в карантин цен","")))),"")</f>
      </c>
    </row>
    <row r="639">
      <c r="A639" s="2" t="inlineStr">
        <is>
          <t>CuteShop</t>
        </is>
      </c>
      <c r="B639" s="2" t="inlineStr">
        <is>
          <t>Держатели для пустышек</t>
        </is>
      </c>
      <c r="C639" s="2">
        <v>103978607</v>
      </c>
      <c r="D639" s="2" t="inlineStr">
        <is>
          <t>RobertBG</t>
        </is>
      </c>
      <c r="E639" s="2" t="inlineStr">
        <is>
          <t>2036864221075</t>
        </is>
      </c>
      <c r="F639" s="2">
        <v>0</v>
      </c>
      <c r="G639" s="2">
        <v>1</v>
      </c>
      <c r="H639" s="2" t="inlineStr">
        <is>
          <t/>
        </is>
      </c>
      <c r="I639" s="2" t="inlineStr">
        <is>
          <t>790</t>
        </is>
      </c>
      <c r="J639" s="4"/>
      <c r="K639" s="2">
        <v>10</v>
      </c>
      <c r="L639" s="6"/>
      <c r="M639" s="2" t="str">
        <f>IF(J639="",ROUND(I639*(1-IF(ISBLANK(L639),K639,L639)/100),2),ROUND(J639*(1-IF(ISBLANK(L639),K639,L639)/100),2))</f>
      </c>
      <c r="N639" s="7" t="str">
        <f>IF(NOT(AND(J639="",L639="")),IF(OR(AND(L639&lt;&gt;"",NOT(ISNUMBER(L639))),IFERROR(MOD(L639,1),1)&gt;0,AND(ISNUMBER(L639),OR(L639&lt;0,L639&gt;95))),"Введите целое число от 0 до 95",IF(OR(AND(J639&lt;&gt;"",NOT(ISNUMBER(J639))),IFERROR(MOD(J639,1),1)&gt;0,AND(ISNUMBER(J639),OR(J639&lt;50,J639&gt;20000000))),"Введите целое число от 50 до 20000000",IF(NOT(ABS(IFERROR(VALUE(LEFT(M639,FIND("-",M639)-1)),M639)*100-(5000+2000000000)/2)&lt;=ABS(5000-2000000000)/2),"Цена со скидкой должна быть от 50 до 20000000",IF(IFERROR(VALUE(LEFT(M639,FIND("-",M639)-1)),M639)*229&lt;71100,"Вы уменьшили цену в несколько раз, товар попадет в карантин цен","")))),"")</f>
      </c>
    </row>
    <row r="640">
      <c r="A640" s="2" t="inlineStr">
        <is>
          <t>CuteShop</t>
        </is>
      </c>
      <c r="B640" s="2" t="inlineStr">
        <is>
          <t>Держатели для пустышек</t>
        </is>
      </c>
      <c r="C640" s="2">
        <v>112949849</v>
      </c>
      <c r="D640" s="2" t="inlineStr">
        <is>
          <t>AndreyZhLis</t>
        </is>
      </c>
      <c r="E640" s="2" t="inlineStr">
        <is>
          <t>2038998125625</t>
        </is>
      </c>
      <c r="F640" s="2">
        <v>0</v>
      </c>
      <c r="G640" s="2">
        <v>0</v>
      </c>
      <c r="H640" s="2">
        <v>0</v>
      </c>
      <c r="I640" s="2" t="inlineStr">
        <is>
          <t>1030</t>
        </is>
      </c>
      <c r="J640" s="4"/>
      <c r="K640" s="2">
        <v>10</v>
      </c>
      <c r="L640" s="6"/>
      <c r="M640" s="2" t="str">
        <f>IF(J640="",ROUND(I640*(1-IF(ISBLANK(L640),K640,L640)/100),2),ROUND(J640*(1-IF(ISBLANK(L640),K640,L640)/100),2))</f>
      </c>
      <c r="N640" s="7" t="str">
        <f>IF(NOT(AND(J640="",L640="")),IF(OR(AND(L640&lt;&gt;"",NOT(ISNUMBER(L640))),IFERROR(MOD(L640,1),1)&gt;0,AND(ISNUMBER(L640),OR(L640&lt;0,L640&gt;95))),"Введите целое число от 0 до 95",IF(OR(AND(J640&lt;&gt;"",NOT(ISNUMBER(J640))),IFERROR(MOD(J640,1),1)&gt;0,AND(ISNUMBER(J640),OR(J640&lt;50,J640&gt;20000000))),"Введите целое число от 50 до 20000000",IF(NOT(ABS(IFERROR(VALUE(LEFT(M640,FIND("-",M640)-1)),M640)*100-(5000+2000000000)/2)&lt;=ABS(5000-2000000000)/2),"Цена со скидкой должна быть от 50 до 20000000",IF(IFERROR(VALUE(LEFT(M640,FIND("-",M640)-1)),M640)*229&lt;92700,"Вы уменьшили цену в несколько раз, товар попадет в карантин цен","")))),"")</f>
      </c>
    </row>
    <row r="641">
      <c r="A641" s="2" t="inlineStr">
        <is>
          <t>CuteShop</t>
        </is>
      </c>
      <c r="B641" s="2" t="inlineStr">
        <is>
          <t>Держатели для пустышек</t>
        </is>
      </c>
      <c r="C641" s="2">
        <v>147844217</v>
      </c>
      <c r="D641" s="2" t="inlineStr">
        <is>
          <t>VovochkaBG</t>
        </is>
      </c>
      <c r="E641" s="2" t="inlineStr">
        <is>
          <t>2037502984116</t>
        </is>
      </c>
      <c r="F641" s="2">
        <v>0</v>
      </c>
      <c r="G641" s="2">
        <v>1</v>
      </c>
      <c r="H641" s="2">
        <v>1</v>
      </c>
      <c r="I641" s="2" t="inlineStr">
        <is>
          <t>790</t>
        </is>
      </c>
      <c r="J641" s="4"/>
      <c r="K641" s="2">
        <v>10</v>
      </c>
      <c r="L641" s="6"/>
      <c r="M641" s="2" t="str">
        <f>IF(J641="",ROUND(I641*(1-IF(ISBLANK(L641),K641,L641)/100),2),ROUND(J641*(1-IF(ISBLANK(L641),K641,L641)/100),2))</f>
      </c>
      <c r="N641" s="7" t="str">
        <f>IF(NOT(AND(J641="",L641="")),IF(OR(AND(L641&lt;&gt;"",NOT(ISNUMBER(L641))),IFERROR(MOD(L641,1),1)&gt;0,AND(ISNUMBER(L641),OR(L641&lt;0,L641&gt;95))),"Введите целое число от 0 до 95",IF(OR(AND(J641&lt;&gt;"",NOT(ISNUMBER(J641))),IFERROR(MOD(J641,1),1)&gt;0,AND(ISNUMBER(J641),OR(J641&lt;50,J641&gt;20000000))),"Введите целое число от 50 до 20000000",IF(NOT(ABS(IFERROR(VALUE(LEFT(M641,FIND("-",M641)-1)),M641)*100-(5000+2000000000)/2)&lt;=ABS(5000-2000000000)/2),"Цена со скидкой должна быть от 50 до 20000000",IF(IFERROR(VALUE(LEFT(M641,FIND("-",M641)-1)),M641)*229&lt;71100,"Вы уменьшили цену в несколько раз, товар попадет в карантин цен","")))),"")</f>
      </c>
    </row>
    <row r="642">
      <c r="A642" s="2" t="inlineStr">
        <is>
          <t>CuteShop</t>
        </is>
      </c>
      <c r="B642" s="2" t="inlineStr">
        <is>
          <t>Держатели для пустышек</t>
        </is>
      </c>
      <c r="C642" s="2">
        <v>112952892</v>
      </c>
      <c r="D642" s="2" t="inlineStr">
        <is>
          <t>DanyaLisGol</t>
        </is>
      </c>
      <c r="E642" s="2" t="inlineStr">
        <is>
          <t>2038999349624</t>
        </is>
      </c>
      <c r="F642" s="2">
        <v>0</v>
      </c>
      <c r="G642" s="2">
        <v>0</v>
      </c>
      <c r="H642" s="2" t="inlineStr">
        <is>
          <t/>
        </is>
      </c>
      <c r="I642" s="2" t="inlineStr">
        <is>
          <t>1030</t>
        </is>
      </c>
      <c r="J642" s="4"/>
      <c r="K642" s="2">
        <v>10</v>
      </c>
      <c r="L642" s="6"/>
      <c r="M642" s="2" t="str">
        <f>IF(J642="",ROUND(I642*(1-IF(ISBLANK(L642),K642,L642)/100),2),ROUND(J642*(1-IF(ISBLANK(L642),K642,L642)/100),2))</f>
      </c>
      <c r="N642" s="7" t="str">
        <f>IF(NOT(AND(J642="",L642="")),IF(OR(AND(L642&lt;&gt;"",NOT(ISNUMBER(L642))),IFERROR(MOD(L642,1),1)&gt;0,AND(ISNUMBER(L642),OR(L642&lt;0,L642&gt;95))),"Введите целое число от 0 до 95",IF(OR(AND(J642&lt;&gt;"",NOT(ISNUMBER(J642))),IFERROR(MOD(J642,1),1)&gt;0,AND(ISNUMBER(J642),OR(J642&lt;50,J642&gt;20000000))),"Введите целое число от 50 до 20000000",IF(NOT(ABS(IFERROR(VALUE(LEFT(M642,FIND("-",M642)-1)),M642)*100-(5000+2000000000)/2)&lt;=ABS(5000-2000000000)/2),"Цена со скидкой должна быть от 50 до 20000000",IF(IFERROR(VALUE(LEFT(M642,FIND("-",M642)-1)),M642)*229&lt;92700,"Вы уменьшили цену в несколько раз, товар попадет в карантин цен","")))),"")</f>
      </c>
    </row>
    <row r="643">
      <c r="A643" s="2" t="inlineStr">
        <is>
          <t>CuteShop</t>
        </is>
      </c>
      <c r="B643" s="2" t="inlineStr">
        <is>
          <t>Держатели для пустышек</t>
        </is>
      </c>
      <c r="C643" s="2">
        <v>132195810</v>
      </c>
      <c r="D643" s="2" t="inlineStr">
        <is>
          <t>ArinaMish</t>
        </is>
      </c>
      <c r="E643" s="2" t="inlineStr">
        <is>
          <t>2037042220194</t>
        </is>
      </c>
      <c r="F643" s="2">
        <v>0</v>
      </c>
      <c r="G643" s="2">
        <v>1</v>
      </c>
      <c r="H643" s="2">
        <v>0</v>
      </c>
      <c r="I643" s="2" t="inlineStr">
        <is>
          <t>1030</t>
        </is>
      </c>
      <c r="J643" s="4"/>
      <c r="K643" s="2">
        <v>10</v>
      </c>
      <c r="L643" s="6"/>
      <c r="M643" s="2" t="str">
        <f>IF(J643="",ROUND(I643*(1-IF(ISBLANK(L643),K643,L643)/100),2),ROUND(J643*(1-IF(ISBLANK(L643),K643,L643)/100),2))</f>
      </c>
      <c r="N643" s="7" t="str">
        <f>IF(NOT(AND(J643="",L643="")),IF(OR(AND(L643&lt;&gt;"",NOT(ISNUMBER(L643))),IFERROR(MOD(L643,1),1)&gt;0,AND(ISNUMBER(L643),OR(L643&lt;0,L643&gt;95))),"Введите целое число от 0 до 95",IF(OR(AND(J643&lt;&gt;"",NOT(ISNUMBER(J643))),IFERROR(MOD(J643,1),1)&gt;0,AND(ISNUMBER(J643),OR(J643&lt;50,J643&gt;20000000))),"Введите целое число от 50 до 20000000",IF(NOT(ABS(IFERROR(VALUE(LEFT(M643,FIND("-",M643)-1)),M643)*100-(5000+2000000000)/2)&lt;=ABS(5000-2000000000)/2),"Цена со скидкой должна быть от 50 до 20000000",IF(IFERROR(VALUE(LEFT(M643,FIND("-",M643)-1)),M643)*229&lt;92700,"Вы уменьшили цену в несколько раз, товар попадет в карантин цен","")))),"")</f>
      </c>
    </row>
    <row r="644">
      <c r="A644" s="2" t="inlineStr">
        <is>
          <t>CuteShop</t>
        </is>
      </c>
      <c r="B644" s="2" t="inlineStr">
        <is>
          <t>Держатели для пустышек</t>
        </is>
      </c>
      <c r="C644" s="2">
        <v>147844222</v>
      </c>
      <c r="D644" s="2" t="inlineStr">
        <is>
          <t>VladimirSob</t>
        </is>
      </c>
      <c r="E644" s="2" t="inlineStr">
        <is>
          <t>2037502993705</t>
        </is>
      </c>
      <c r="F644" s="2">
        <v>0</v>
      </c>
      <c r="G644" s="2">
        <v>0</v>
      </c>
      <c r="H644" s="2">
        <v>0</v>
      </c>
      <c r="I644" s="2" t="inlineStr">
        <is>
          <t>1030</t>
        </is>
      </c>
      <c r="J644" s="4"/>
      <c r="K644" s="2">
        <v>10</v>
      </c>
      <c r="L644" s="6"/>
      <c r="M644" s="2" t="str">
        <f>IF(J644="",ROUND(I644*(1-IF(ISBLANK(L644),K644,L644)/100),2),ROUND(J644*(1-IF(ISBLANK(L644),K644,L644)/100),2))</f>
      </c>
      <c r="N644" s="7" t="str">
        <f>IF(NOT(AND(J644="",L644="")),IF(OR(AND(L644&lt;&gt;"",NOT(ISNUMBER(L644))),IFERROR(MOD(L644,1),1)&gt;0,AND(ISNUMBER(L644),OR(L644&lt;0,L644&gt;95))),"Введите целое число от 0 до 95",IF(OR(AND(J644&lt;&gt;"",NOT(ISNUMBER(J644))),IFERROR(MOD(J644,1),1)&gt;0,AND(ISNUMBER(J644),OR(J644&lt;50,J644&gt;20000000))),"Введите целое число от 50 до 20000000",IF(NOT(ABS(IFERROR(VALUE(LEFT(M644,FIND("-",M644)-1)),M644)*100-(5000+2000000000)/2)&lt;=ABS(5000-2000000000)/2),"Цена со скидкой должна быть от 50 до 20000000",IF(IFERROR(VALUE(LEFT(M644,FIND("-",M644)-1)),M644)*229&lt;92700,"Вы уменьшили цену в несколько раз, товар попадет в карантин цен","")))),"")</f>
      </c>
    </row>
    <row r="645">
      <c r="A645" s="2" t="inlineStr">
        <is>
          <t>CuteShop</t>
        </is>
      </c>
      <c r="B645" s="2" t="inlineStr">
        <is>
          <t>Держатели для пустышек</t>
        </is>
      </c>
      <c r="C645" s="2">
        <v>140341937</v>
      </c>
      <c r="D645" s="2" t="inlineStr">
        <is>
          <t>SteshaLev</t>
        </is>
      </c>
      <c r="E645" s="2" t="inlineStr">
        <is>
          <t>2037296844221</t>
        </is>
      </c>
      <c r="F645" s="2">
        <v>0</v>
      </c>
      <c r="G645" s="2">
        <v>0</v>
      </c>
      <c r="H645" s="2">
        <v>18</v>
      </c>
      <c r="I645" s="2" t="inlineStr">
        <is>
          <t>1030</t>
        </is>
      </c>
      <c r="J645" s="4"/>
      <c r="K645" s="2">
        <v>10</v>
      </c>
      <c r="L645" s="6"/>
      <c r="M645" s="2" t="str">
        <f>IF(J645="",ROUND(I645*(1-IF(ISBLANK(L645),K645,L645)/100),2),ROUND(J645*(1-IF(ISBLANK(L645),K645,L645)/100),2))</f>
      </c>
      <c r="N645" s="7" t="str">
        <f>IF(NOT(AND(J645="",L645="")),IF(OR(AND(L645&lt;&gt;"",NOT(ISNUMBER(L645))),IFERROR(MOD(L645,1),1)&gt;0,AND(ISNUMBER(L645),OR(L645&lt;0,L645&gt;95))),"Введите целое число от 0 до 95",IF(OR(AND(J645&lt;&gt;"",NOT(ISNUMBER(J645))),IFERROR(MOD(J645,1),1)&gt;0,AND(ISNUMBER(J645),OR(J645&lt;50,J645&gt;20000000))),"Введите целое число от 50 до 20000000",IF(NOT(ABS(IFERROR(VALUE(LEFT(M645,FIND("-",M645)-1)),M645)*100-(5000+2000000000)/2)&lt;=ABS(5000-2000000000)/2),"Цена со скидкой должна быть от 50 до 20000000",IF(IFERROR(VALUE(LEFT(M645,FIND("-",M645)-1)),M645)*229&lt;92700,"Вы уменьшили цену в несколько раз, товар попадет в карантин цен","")))),"")</f>
      </c>
    </row>
    <row r="646">
      <c r="A646" s="2" t="inlineStr">
        <is>
          <t>CuteShop</t>
        </is>
      </c>
      <c r="B646" s="2" t="inlineStr">
        <is>
          <t>Держатели для пустышек</t>
        </is>
      </c>
      <c r="C646" s="2">
        <v>140341943</v>
      </c>
      <c r="D646" s="2" t="inlineStr">
        <is>
          <t>StefaEdin</t>
        </is>
      </c>
      <c r="E646" s="2" t="inlineStr">
        <is>
          <t>2037296853308</t>
        </is>
      </c>
      <c r="F646" s="2">
        <v>0</v>
      </c>
      <c r="G646" s="2">
        <v>0</v>
      </c>
      <c r="H646" s="2">
        <v>0</v>
      </c>
      <c r="I646" s="2" t="inlineStr">
        <is>
          <t>1030</t>
        </is>
      </c>
      <c r="J646" s="4"/>
      <c r="K646" s="2">
        <v>10</v>
      </c>
      <c r="L646" s="6"/>
      <c r="M646" s="2" t="str">
        <f>IF(J646="",ROUND(I646*(1-IF(ISBLANK(L646),K646,L646)/100),2),ROUND(J646*(1-IF(ISBLANK(L646),K646,L646)/100),2))</f>
      </c>
      <c r="N646" s="7" t="str">
        <f>IF(NOT(AND(J646="",L646="")),IF(OR(AND(L646&lt;&gt;"",NOT(ISNUMBER(L646))),IFERROR(MOD(L646,1),1)&gt;0,AND(ISNUMBER(L646),OR(L646&lt;0,L646&gt;95))),"Введите целое число от 0 до 95",IF(OR(AND(J646&lt;&gt;"",NOT(ISNUMBER(J646))),IFERROR(MOD(J646,1),1)&gt;0,AND(ISNUMBER(J646),OR(J646&lt;50,J646&gt;20000000))),"Введите целое число от 50 до 20000000",IF(NOT(ABS(IFERROR(VALUE(LEFT(M646,FIND("-",M646)-1)),M646)*100-(5000+2000000000)/2)&lt;=ABS(5000-2000000000)/2),"Цена со скидкой должна быть от 50 до 20000000",IF(IFERROR(VALUE(LEFT(M646,FIND("-",M646)-1)),M646)*229&lt;92700,"Вы уменьшили цену в несколько раз, товар попадет в карантин цен","")))),"")</f>
      </c>
    </row>
    <row r="647">
      <c r="A647" s="2" t="inlineStr">
        <is>
          <t>CuteShop</t>
        </is>
      </c>
      <c r="B647" s="2" t="inlineStr">
        <is>
          <t>Держатели для пустышек</t>
        </is>
      </c>
      <c r="C647" s="2">
        <v>112364056</v>
      </c>
      <c r="D647" s="2" t="inlineStr">
        <is>
          <t>KristinaKoala</t>
        </is>
      </c>
      <c r="E647" s="2" t="inlineStr">
        <is>
          <t>2038781763621</t>
        </is>
      </c>
      <c r="F647" s="2">
        <v>0</v>
      </c>
      <c r="G647" s="2">
        <v>1</v>
      </c>
      <c r="H647" s="2">
        <v>0</v>
      </c>
      <c r="I647" s="2" t="inlineStr">
        <is>
          <t>1030</t>
        </is>
      </c>
      <c r="J647" s="4"/>
      <c r="K647" s="2">
        <v>10</v>
      </c>
      <c r="L647" s="6"/>
      <c r="M647" s="2" t="str">
        <f>IF(J647="",ROUND(I647*(1-IF(ISBLANK(L647),K647,L647)/100),2),ROUND(J647*(1-IF(ISBLANK(L647),K647,L647)/100),2))</f>
      </c>
      <c r="N647" s="7" t="str">
        <f>IF(NOT(AND(J647="",L647="")),IF(OR(AND(L647&lt;&gt;"",NOT(ISNUMBER(L647))),IFERROR(MOD(L647,1),1)&gt;0,AND(ISNUMBER(L647),OR(L647&lt;0,L647&gt;95))),"Введите целое число от 0 до 95",IF(OR(AND(J647&lt;&gt;"",NOT(ISNUMBER(J647))),IFERROR(MOD(J647,1),1)&gt;0,AND(ISNUMBER(J647),OR(J647&lt;50,J647&gt;20000000))),"Введите целое число от 50 до 20000000",IF(NOT(ABS(IFERROR(VALUE(LEFT(M647,FIND("-",M647)-1)),M647)*100-(5000+2000000000)/2)&lt;=ABS(5000-2000000000)/2),"Цена со скидкой должна быть от 50 до 20000000",IF(IFERROR(VALUE(LEFT(M647,FIND("-",M647)-1)),M647)*229&lt;92700,"Вы уменьшили цену в несколько раз, товар попадет в карантин цен","")))),"")</f>
      </c>
    </row>
    <row r="648">
      <c r="A648" s="2" t="inlineStr">
        <is>
          <t>CuteShop</t>
        </is>
      </c>
      <c r="B648" s="2" t="inlineStr">
        <is>
          <t>Держатели для пустышек</t>
        </is>
      </c>
      <c r="C648" s="2">
        <v>112385489</v>
      </c>
      <c r="D648" s="2" t="inlineStr">
        <is>
          <t>IvanBG</t>
        </is>
      </c>
      <c r="E648" s="2" t="inlineStr">
        <is>
          <t>2038783211625</t>
        </is>
      </c>
      <c r="F648" s="2">
        <v>0</v>
      </c>
      <c r="G648" s="2">
        <v>1</v>
      </c>
      <c r="H648" s="2">
        <v>1</v>
      </c>
      <c r="I648" s="2" t="inlineStr">
        <is>
          <t>790</t>
        </is>
      </c>
      <c r="J648" s="4"/>
      <c r="K648" s="2">
        <v>10</v>
      </c>
      <c r="L648" s="6"/>
      <c r="M648" s="2" t="str">
        <f>IF(J648="",ROUND(I648*(1-IF(ISBLANK(L648),K648,L648)/100),2),ROUND(J648*(1-IF(ISBLANK(L648),K648,L648)/100),2))</f>
      </c>
      <c r="N648" s="7" t="str">
        <f>IF(NOT(AND(J648="",L648="")),IF(OR(AND(L648&lt;&gt;"",NOT(ISNUMBER(L648))),IFERROR(MOD(L648,1),1)&gt;0,AND(ISNUMBER(L648),OR(L648&lt;0,L648&gt;95))),"Введите целое число от 0 до 95",IF(OR(AND(J648&lt;&gt;"",NOT(ISNUMBER(J648))),IFERROR(MOD(J648,1),1)&gt;0,AND(ISNUMBER(J648),OR(J648&lt;50,J648&gt;20000000))),"Введите целое число от 50 до 20000000",IF(NOT(ABS(IFERROR(VALUE(LEFT(M648,FIND("-",M648)-1)),M648)*100-(5000+2000000000)/2)&lt;=ABS(5000-2000000000)/2),"Цена со скидкой должна быть от 50 до 20000000",IF(IFERROR(VALUE(LEFT(M648,FIND("-",M648)-1)),M648)*229&lt;71100,"Вы уменьшили цену в несколько раз, товар попадет в карантин цен","")))),"")</f>
      </c>
    </row>
    <row r="649">
      <c r="A649" s="2" t="inlineStr">
        <is>
          <t>CuteShop</t>
        </is>
      </c>
      <c r="B649" s="2" t="inlineStr">
        <is>
          <t>Держатели для пустышек</t>
        </is>
      </c>
      <c r="C649" s="2">
        <v>140341942</v>
      </c>
      <c r="D649" s="2" t="inlineStr">
        <is>
          <t>StefaMish</t>
        </is>
      </c>
      <c r="E649" s="2" t="inlineStr">
        <is>
          <t>2037296853988</t>
        </is>
      </c>
      <c r="F649" s="2">
        <v>0</v>
      </c>
      <c r="G649" s="2">
        <v>1</v>
      </c>
      <c r="H649" s="2">
        <v>0</v>
      </c>
      <c r="I649" s="2" t="inlineStr">
        <is>
          <t>1030</t>
        </is>
      </c>
      <c r="J649" s="4"/>
      <c r="K649" s="2">
        <v>10</v>
      </c>
      <c r="L649" s="6"/>
      <c r="M649" s="2" t="str">
        <f>IF(J649="",ROUND(I649*(1-IF(ISBLANK(L649),K649,L649)/100),2),ROUND(J649*(1-IF(ISBLANK(L649),K649,L649)/100),2))</f>
      </c>
      <c r="N649" s="7" t="str">
        <f>IF(NOT(AND(J649="",L649="")),IF(OR(AND(L649&lt;&gt;"",NOT(ISNUMBER(L649))),IFERROR(MOD(L649,1),1)&gt;0,AND(ISNUMBER(L649),OR(L649&lt;0,L649&gt;95))),"Введите целое число от 0 до 95",IF(OR(AND(J649&lt;&gt;"",NOT(ISNUMBER(J649))),IFERROR(MOD(J649,1),1)&gt;0,AND(ISNUMBER(J649),OR(J649&lt;50,J649&gt;20000000))),"Введите целое число от 50 до 20000000",IF(NOT(ABS(IFERROR(VALUE(LEFT(M649,FIND("-",M649)-1)),M649)*100-(5000+2000000000)/2)&lt;=ABS(5000-2000000000)/2),"Цена со скидкой должна быть от 50 до 20000000",IF(IFERROR(VALUE(LEFT(M649,FIND("-",M649)-1)),M649)*229&lt;92700,"Вы уменьшили цену в несколько раз, товар попадет в карантин цен","")))),"")</f>
      </c>
    </row>
    <row r="650">
      <c r="A650" s="2" t="inlineStr">
        <is>
          <t>CuteShop</t>
        </is>
      </c>
      <c r="B650" s="2" t="inlineStr">
        <is>
          <t>Держатели для пустышек</t>
        </is>
      </c>
      <c r="C650" s="2">
        <v>103205077</v>
      </c>
      <c r="D650" s="2" t="inlineStr">
        <is>
          <t>MilochkaLama</t>
        </is>
      </c>
      <c r="E650" s="2" t="inlineStr">
        <is>
          <t>2036852538048</t>
        </is>
      </c>
      <c r="F650" s="2">
        <v>0</v>
      </c>
      <c r="G650" s="2">
        <v>0</v>
      </c>
      <c r="H650" s="2" t="inlineStr">
        <is>
          <t/>
        </is>
      </c>
      <c r="I650" s="2" t="inlineStr">
        <is>
          <t>1030</t>
        </is>
      </c>
      <c r="J650" s="4"/>
      <c r="K650" s="2">
        <v>10</v>
      </c>
      <c r="L650" s="6"/>
      <c r="M650" s="2" t="str">
        <f>IF(J650="",ROUND(I650*(1-IF(ISBLANK(L650),K650,L650)/100),2),ROUND(J650*(1-IF(ISBLANK(L650),K650,L650)/100),2))</f>
      </c>
      <c r="N650" s="7" t="str">
        <f>IF(NOT(AND(J650="",L650="")),IF(OR(AND(L650&lt;&gt;"",NOT(ISNUMBER(L650))),IFERROR(MOD(L650,1),1)&gt;0,AND(ISNUMBER(L650),OR(L650&lt;0,L650&gt;95))),"Введите целое число от 0 до 95",IF(OR(AND(J650&lt;&gt;"",NOT(ISNUMBER(J650))),IFERROR(MOD(J650,1),1)&gt;0,AND(ISNUMBER(J650),OR(J650&lt;50,J650&gt;20000000))),"Введите целое число от 50 до 20000000",IF(NOT(ABS(IFERROR(VALUE(LEFT(M650,FIND("-",M650)-1)),M650)*100-(5000+2000000000)/2)&lt;=ABS(5000-2000000000)/2),"Цена со скидкой должна быть от 50 до 20000000",IF(IFERROR(VALUE(LEFT(M650,FIND("-",M650)-1)),M650)*229&lt;92700,"Вы уменьшили цену в несколько раз, товар попадет в карантин цен","")))),"")</f>
      </c>
    </row>
    <row r="651">
      <c r="A651" s="2" t="inlineStr">
        <is>
          <t>CuteShop</t>
        </is>
      </c>
      <c r="B651" s="2" t="inlineStr">
        <is>
          <t>Держатели для пустышек</t>
        </is>
      </c>
      <c r="C651" s="2">
        <v>150475353</v>
      </c>
      <c r="D651" s="2" t="inlineStr">
        <is>
          <t>DashenkaBG</t>
        </is>
      </c>
      <c r="E651" s="2" t="inlineStr">
        <is>
          <t>2037574477578</t>
        </is>
      </c>
      <c r="F651" s="2">
        <v>0</v>
      </c>
      <c r="G651" s="2">
        <v>1</v>
      </c>
      <c r="H651" s="2">
        <v>7</v>
      </c>
      <c r="I651" s="2" t="inlineStr">
        <is>
          <t>790</t>
        </is>
      </c>
      <c r="J651" s="4"/>
      <c r="K651" s="2">
        <v>10</v>
      </c>
      <c r="L651" s="6"/>
      <c r="M651" s="2" t="str">
        <f>IF(J651="",ROUND(I651*(1-IF(ISBLANK(L651),K651,L651)/100),2),ROUND(J651*(1-IF(ISBLANK(L651),K651,L651)/100),2))</f>
      </c>
      <c r="N651" s="7" t="str">
        <f>IF(NOT(AND(J651="",L651="")),IF(OR(AND(L651&lt;&gt;"",NOT(ISNUMBER(L651))),IFERROR(MOD(L651,1),1)&gt;0,AND(ISNUMBER(L651),OR(L651&lt;0,L651&gt;95))),"Введите целое число от 0 до 95",IF(OR(AND(J651&lt;&gt;"",NOT(ISNUMBER(J651))),IFERROR(MOD(J651,1),1)&gt;0,AND(ISNUMBER(J651),OR(J651&lt;50,J651&gt;20000000))),"Введите целое число от 50 до 20000000",IF(NOT(ABS(IFERROR(VALUE(LEFT(M651,FIND("-",M651)-1)),M651)*100-(5000+2000000000)/2)&lt;=ABS(5000-2000000000)/2),"Цена со скидкой должна быть от 50 до 20000000",IF(IFERROR(VALUE(LEFT(M651,FIND("-",M651)-1)),M651)*229&lt;71100,"Вы уменьшили цену в несколько раз, товар попадет в карантин цен","")))),"")</f>
      </c>
    </row>
    <row r="652">
      <c r="A652" s="2" t="inlineStr">
        <is>
          <t>CuteShop</t>
        </is>
      </c>
      <c r="B652" s="2" t="inlineStr">
        <is>
          <t>Держатели для пустышек</t>
        </is>
      </c>
      <c r="C652" s="2">
        <v>201104385</v>
      </c>
      <c r="D652" s="2" t="inlineStr">
        <is>
          <t>Derzh-Malch2</t>
        </is>
      </c>
      <c r="E652" s="2" t="inlineStr">
        <is>
          <t>2039326370113</t>
        </is>
      </c>
      <c r="F652" s="2">
        <v>0</v>
      </c>
      <c r="G652" s="2">
        <v>0</v>
      </c>
      <c r="H652" s="2">
        <v>1</v>
      </c>
      <c r="I652" s="2" t="inlineStr">
        <is>
          <t>480</t>
        </is>
      </c>
      <c r="J652" s="4"/>
      <c r="K652" s="2">
        <v>3</v>
      </c>
      <c r="L652" s="6"/>
      <c r="M652" s="2" t="str">
        <f>IF(J652="",ROUND(I652*(1-IF(ISBLANK(L652),K652,L652)/100),2),ROUND(J652*(1-IF(ISBLANK(L652),K652,L652)/100),2))</f>
      </c>
      <c r="N652" s="7" t="str">
        <f>IF(NOT(AND(J652="",L652="")),IF(OR(AND(L652&lt;&gt;"",NOT(ISNUMBER(L652))),IFERROR(MOD(L652,1),1)&gt;0,AND(ISNUMBER(L652),OR(L652&lt;0,L652&gt;95))),"Введите целое число от 0 до 95",IF(OR(AND(J652&lt;&gt;"",NOT(ISNUMBER(J652))),IFERROR(MOD(J652,1),1)&gt;0,AND(ISNUMBER(J652),OR(J652&lt;50,J652&gt;20000000))),"Введите целое число от 50 до 20000000",IF(NOT(ABS(IFERROR(VALUE(LEFT(M652,FIND("-",M652)-1)),M652)*100-(5000+2000000000)/2)&lt;=ABS(5000-2000000000)/2),"Цена со скидкой должна быть от 50 до 20000000",IF(IFERROR(VALUE(LEFT(M652,FIND("-",M652)-1)),M652)*229&lt;46560,"Вы уменьшили цену в несколько раз, товар попадет в карантин цен","")))),"")</f>
      </c>
    </row>
    <row r="653">
      <c r="A653" s="2" t="inlineStr">
        <is>
          <t>CuteShop</t>
        </is>
      </c>
      <c r="B653" s="2" t="inlineStr">
        <is>
          <t>Держатели для пустышек</t>
        </is>
      </c>
      <c r="C653" s="2">
        <v>117638708</v>
      </c>
      <c r="D653" s="2" t="inlineStr">
        <is>
          <t>VeronikaBG</t>
        </is>
      </c>
      <c r="E653" s="2" t="inlineStr">
        <is>
          <t>2042165140625</t>
        </is>
      </c>
      <c r="F653" s="2">
        <v>0</v>
      </c>
      <c r="G653" s="2">
        <v>1</v>
      </c>
      <c r="H653" s="2">
        <v>0</v>
      </c>
      <c r="I653" s="2" t="inlineStr">
        <is>
          <t>800</t>
        </is>
      </c>
      <c r="J653" s="4"/>
      <c r="K653" s="2">
        <v>10</v>
      </c>
      <c r="L653" s="6"/>
      <c r="M653" s="2" t="str">
        <f>IF(J653="",ROUND(I653*(1-IF(ISBLANK(L653),K653,L653)/100),2),ROUND(J653*(1-IF(ISBLANK(L653),K653,L653)/100),2))</f>
      </c>
      <c r="N653" s="7" t="str">
        <f>IF(NOT(AND(J653="",L653="")),IF(OR(AND(L653&lt;&gt;"",NOT(ISNUMBER(L653))),IFERROR(MOD(L653,1),1)&gt;0,AND(ISNUMBER(L653),OR(L653&lt;0,L653&gt;95))),"Введите целое число от 0 до 95",IF(OR(AND(J653&lt;&gt;"",NOT(ISNUMBER(J653))),IFERROR(MOD(J653,1),1)&gt;0,AND(ISNUMBER(J653),OR(J653&lt;50,J653&gt;20000000))),"Введите целое число от 50 до 20000000",IF(NOT(ABS(IFERROR(VALUE(LEFT(M653,FIND("-",M653)-1)),M653)*100-(5000+2000000000)/2)&lt;=ABS(5000-2000000000)/2),"Цена со скидкой должна быть от 50 до 20000000",IF(IFERROR(VALUE(LEFT(M653,FIND("-",M653)-1)),M653)*229&lt;72000,"Вы уменьшили цену в несколько раз, товар попадет в карантин цен","")))),"")</f>
      </c>
    </row>
    <row r="654">
      <c r="A654" s="2" t="inlineStr">
        <is>
          <t>CuteShop</t>
        </is>
      </c>
      <c r="B654" s="2" t="inlineStr">
        <is>
          <t>Держатели для пустышек</t>
        </is>
      </c>
      <c r="C654" s="2">
        <v>150475356</v>
      </c>
      <c r="D654" s="2" t="inlineStr">
        <is>
          <t>DashenkaLev</t>
        </is>
      </c>
      <c r="E654" s="2" t="inlineStr">
        <is>
          <t>2037574486198</t>
        </is>
      </c>
      <c r="F654" s="2">
        <v>0</v>
      </c>
      <c r="G654" s="2">
        <v>1</v>
      </c>
      <c r="H654" s="2" t="inlineStr">
        <is>
          <t/>
        </is>
      </c>
      <c r="I654" s="2" t="inlineStr">
        <is>
          <t>1030</t>
        </is>
      </c>
      <c r="J654" s="4"/>
      <c r="K654" s="2">
        <v>10</v>
      </c>
      <c r="L654" s="6"/>
      <c r="M654" s="2" t="str">
        <f>IF(J654="",ROUND(I654*(1-IF(ISBLANK(L654),K654,L654)/100),2),ROUND(J654*(1-IF(ISBLANK(L654),K654,L654)/100),2))</f>
      </c>
      <c r="N654" s="7" t="str">
        <f>IF(NOT(AND(J654="",L654="")),IF(OR(AND(L654&lt;&gt;"",NOT(ISNUMBER(L654))),IFERROR(MOD(L654,1),1)&gt;0,AND(ISNUMBER(L654),OR(L654&lt;0,L654&gt;95))),"Введите целое число от 0 до 95",IF(OR(AND(J654&lt;&gt;"",NOT(ISNUMBER(J654))),IFERROR(MOD(J654,1),1)&gt;0,AND(ISNUMBER(J654),OR(J654&lt;50,J654&gt;20000000))),"Введите целое число от 50 до 20000000",IF(NOT(ABS(IFERROR(VALUE(LEFT(M654,FIND("-",M654)-1)),M654)*100-(5000+2000000000)/2)&lt;=ABS(5000-2000000000)/2),"Цена со скидкой должна быть от 50 до 20000000",IF(IFERROR(VALUE(LEFT(M654,FIND("-",M654)-1)),M654)*229&lt;92700,"Вы уменьшили цену в несколько раз, товар попадет в карантин цен","")))),"")</f>
      </c>
    </row>
    <row r="655">
      <c r="A655" s="2" t="inlineStr">
        <is>
          <t>CuteShop</t>
        </is>
      </c>
      <c r="B655" s="2" t="inlineStr">
        <is>
          <t>Держатели для пустышек</t>
        </is>
      </c>
      <c r="C655" s="2">
        <v>132235566</v>
      </c>
      <c r="D655" s="2" t="inlineStr">
        <is>
          <t>SashaDevBG1</t>
        </is>
      </c>
      <c r="E655" s="2" t="inlineStr">
        <is>
          <t>2037042694445</t>
        </is>
      </c>
      <c r="F655" s="2">
        <v>0</v>
      </c>
      <c r="G655" s="2">
        <v>1</v>
      </c>
      <c r="H655" s="2" t="inlineStr">
        <is>
          <t/>
        </is>
      </c>
      <c r="I655" s="2" t="inlineStr">
        <is>
          <t>790</t>
        </is>
      </c>
      <c r="J655" s="4"/>
      <c r="K655" s="2">
        <v>10</v>
      </c>
      <c r="L655" s="6"/>
      <c r="M655" s="2" t="str">
        <f>IF(J655="",ROUND(I655*(1-IF(ISBLANK(L655),K655,L655)/100),2),ROUND(J655*(1-IF(ISBLANK(L655),K655,L655)/100),2))</f>
      </c>
      <c r="N655" s="7" t="str">
        <f>IF(NOT(AND(J655="",L655="")),IF(OR(AND(L655&lt;&gt;"",NOT(ISNUMBER(L655))),IFERROR(MOD(L655,1),1)&gt;0,AND(ISNUMBER(L655),OR(L655&lt;0,L655&gt;95))),"Введите целое число от 0 до 95",IF(OR(AND(J655&lt;&gt;"",NOT(ISNUMBER(J655))),IFERROR(MOD(J655,1),1)&gt;0,AND(ISNUMBER(J655),OR(J655&lt;50,J655&gt;20000000))),"Введите целое число от 50 до 20000000",IF(NOT(ABS(IFERROR(VALUE(LEFT(M655,FIND("-",M655)-1)),M655)*100-(5000+2000000000)/2)&lt;=ABS(5000-2000000000)/2),"Цена со скидкой должна быть от 50 до 20000000",IF(IFERROR(VALUE(LEFT(M655,FIND("-",M655)-1)),M655)*229&lt;71100,"Вы уменьшили цену в несколько раз, товар попадет в карантин цен","")))),"")</f>
      </c>
    </row>
    <row r="656">
      <c r="A656" s="2" t="inlineStr">
        <is>
          <t>CuteShop</t>
        </is>
      </c>
      <c r="B656" s="2" t="inlineStr">
        <is>
          <t>Держатели для пустышек</t>
        </is>
      </c>
      <c r="C656" s="2">
        <v>150475358</v>
      </c>
      <c r="D656" s="2" t="inlineStr">
        <is>
          <t>DashenkaBel</t>
        </is>
      </c>
      <c r="E656" s="2" t="inlineStr">
        <is>
          <t>2037574496340</t>
        </is>
      </c>
      <c r="F656" s="2">
        <v>0</v>
      </c>
      <c r="G656" s="2">
        <v>1</v>
      </c>
      <c r="H656" s="2">
        <v>1</v>
      </c>
      <c r="I656" s="2" t="inlineStr">
        <is>
          <t>1030</t>
        </is>
      </c>
      <c r="J656" s="4"/>
      <c r="K656" s="2">
        <v>10</v>
      </c>
      <c r="L656" s="6"/>
      <c r="M656" s="2" t="str">
        <f>IF(J656="",ROUND(I656*(1-IF(ISBLANK(L656),K656,L656)/100),2),ROUND(J656*(1-IF(ISBLANK(L656),K656,L656)/100),2))</f>
      </c>
      <c r="N656" s="7" t="str">
        <f>IF(NOT(AND(J656="",L656="")),IF(OR(AND(L656&lt;&gt;"",NOT(ISNUMBER(L656))),IFERROR(MOD(L656,1),1)&gt;0,AND(ISNUMBER(L656),OR(L656&lt;0,L656&gt;95))),"Введите целое число от 0 до 95",IF(OR(AND(J656&lt;&gt;"",NOT(ISNUMBER(J656))),IFERROR(MOD(J656,1),1)&gt;0,AND(ISNUMBER(J656),OR(J656&lt;50,J656&gt;20000000))),"Введите целое число от 50 до 20000000",IF(NOT(ABS(IFERROR(VALUE(LEFT(M656,FIND("-",M656)-1)),M656)*100-(5000+2000000000)/2)&lt;=ABS(5000-2000000000)/2),"Цена со скидкой должна быть от 50 до 20000000",IF(IFERROR(VALUE(LEFT(M656,FIND("-",M656)-1)),M656)*229&lt;92700,"Вы уменьшили цену в несколько раз, товар попадет в карантин цен","")))),"")</f>
      </c>
    </row>
    <row r="657">
      <c r="A657" s="2" t="inlineStr">
        <is>
          <t>CuteShop</t>
        </is>
      </c>
      <c r="B657" s="2" t="inlineStr">
        <is>
          <t>Держатели для пустышек</t>
        </is>
      </c>
      <c r="C657" s="2">
        <v>172165867</v>
      </c>
      <c r="D657" s="2" t="inlineStr">
        <is>
          <t>ArianaLis</t>
        </is>
      </c>
      <c r="E657" s="2" t="inlineStr">
        <is>
          <t>2038301582107</t>
        </is>
      </c>
      <c r="F657" s="2">
        <v>0</v>
      </c>
      <c r="G657" s="2">
        <v>0</v>
      </c>
      <c r="H657" s="2" t="inlineStr">
        <is>
          <t/>
        </is>
      </c>
      <c r="I657" s="2" t="inlineStr">
        <is>
          <t>1030</t>
        </is>
      </c>
      <c r="J657" s="4"/>
      <c r="K657" s="2">
        <v>10</v>
      </c>
      <c r="L657" s="6"/>
      <c r="M657" s="2" t="str">
        <f>IF(J657="",ROUND(I657*(1-IF(ISBLANK(L657),K657,L657)/100),2),ROUND(J657*(1-IF(ISBLANK(L657),K657,L657)/100),2))</f>
      </c>
      <c r="N657" s="7" t="str">
        <f>IF(NOT(AND(J657="",L657="")),IF(OR(AND(L657&lt;&gt;"",NOT(ISNUMBER(L657))),IFERROR(MOD(L657,1),1)&gt;0,AND(ISNUMBER(L657),OR(L657&lt;0,L657&gt;95))),"Введите целое число от 0 до 95",IF(OR(AND(J657&lt;&gt;"",NOT(ISNUMBER(J657))),IFERROR(MOD(J657,1),1)&gt;0,AND(ISNUMBER(J657),OR(J657&lt;50,J657&gt;20000000))),"Введите целое число от 50 до 20000000",IF(NOT(ABS(IFERROR(VALUE(LEFT(M657,FIND("-",M657)-1)),M657)*100-(5000+2000000000)/2)&lt;=ABS(5000-2000000000)/2),"Цена со скидкой должна быть от 50 до 20000000",IF(IFERROR(VALUE(LEFT(M657,FIND("-",M657)-1)),M657)*229&lt;92700,"Вы уменьшили цену в несколько раз, товар попадет в карантин цен","")))),"")</f>
      </c>
    </row>
    <row r="658">
      <c r="A658" s="2" t="inlineStr">
        <is>
          <t>CuteShop</t>
        </is>
      </c>
      <c r="B658" s="2" t="inlineStr">
        <is>
          <t>Держатели для пустышек</t>
        </is>
      </c>
      <c r="C658" s="2">
        <v>217977349</v>
      </c>
      <c r="D658" s="2" t="inlineStr">
        <is>
          <t>MayushaMish</t>
        </is>
      </c>
      <c r="E658" s="2" t="inlineStr">
        <is>
          <t>2039673976419</t>
        </is>
      </c>
      <c r="F658" s="2">
        <v>0</v>
      </c>
      <c r="G658" s="2">
        <v>1</v>
      </c>
      <c r="H658" s="2" t="inlineStr">
        <is>
          <t/>
        </is>
      </c>
      <c r="I658" s="2" t="inlineStr">
        <is>
          <t>1030</t>
        </is>
      </c>
      <c r="J658" s="4"/>
      <c r="K658" s="2">
        <v>10</v>
      </c>
      <c r="L658" s="6"/>
      <c r="M658" s="2" t="str">
        <f>IF(J658="",ROUND(I658*(1-IF(ISBLANK(L658),K658,L658)/100),2),ROUND(J658*(1-IF(ISBLANK(L658),K658,L658)/100),2))</f>
      </c>
      <c r="N658" s="7" t="str">
        <f>IF(NOT(AND(J658="",L658="")),IF(OR(AND(L658&lt;&gt;"",NOT(ISNUMBER(L658))),IFERROR(MOD(L658,1),1)&gt;0,AND(ISNUMBER(L658),OR(L658&lt;0,L658&gt;95))),"Введите целое число от 0 до 95",IF(OR(AND(J658&lt;&gt;"",NOT(ISNUMBER(J658))),IFERROR(MOD(J658,1),1)&gt;0,AND(ISNUMBER(J658),OR(J658&lt;50,J658&gt;20000000))),"Введите целое число от 50 до 20000000",IF(NOT(ABS(IFERROR(VALUE(LEFT(M658,FIND("-",M658)-1)),M658)*100-(5000+2000000000)/2)&lt;=ABS(5000-2000000000)/2),"Цена со скидкой должна быть от 50 до 20000000",IF(IFERROR(VALUE(LEFT(M658,FIND("-",M658)-1)),M658)*229&lt;92700,"Вы уменьшили цену в несколько раз, товар попадет в карантин цен","")))),"")</f>
      </c>
    </row>
    <row r="659">
      <c r="A659" s="2" t="inlineStr">
        <is>
          <t>CuteShop</t>
        </is>
      </c>
      <c r="B659" s="2" t="inlineStr">
        <is>
          <t>Держатели для пустышек</t>
        </is>
      </c>
      <c r="C659" s="2">
        <v>111946407</v>
      </c>
      <c r="D659" s="2" t="inlineStr">
        <is>
          <t>LianaBG</t>
        </is>
      </c>
      <c r="E659" s="2" t="inlineStr">
        <is>
          <t>2038485915623</t>
        </is>
      </c>
      <c r="F659" s="2">
        <v>0</v>
      </c>
      <c r="G659" s="2">
        <v>1</v>
      </c>
      <c r="H659" s="2">
        <v>0</v>
      </c>
      <c r="I659" s="2" t="inlineStr">
        <is>
          <t>790</t>
        </is>
      </c>
      <c r="J659" s="4"/>
      <c r="K659" s="2">
        <v>10</v>
      </c>
      <c r="L659" s="6"/>
      <c r="M659" s="2" t="str">
        <f>IF(J659="",ROUND(I659*(1-IF(ISBLANK(L659),K659,L659)/100),2),ROUND(J659*(1-IF(ISBLANK(L659),K659,L659)/100),2))</f>
      </c>
      <c r="N659" s="7" t="str">
        <f>IF(NOT(AND(J659="",L659="")),IF(OR(AND(L659&lt;&gt;"",NOT(ISNUMBER(L659))),IFERROR(MOD(L659,1),1)&gt;0,AND(ISNUMBER(L659),OR(L659&lt;0,L659&gt;95))),"Введите целое число от 0 до 95",IF(OR(AND(J659&lt;&gt;"",NOT(ISNUMBER(J659))),IFERROR(MOD(J659,1),1)&gt;0,AND(ISNUMBER(J659),OR(J659&lt;50,J659&gt;20000000))),"Введите целое число от 50 до 20000000",IF(NOT(ABS(IFERROR(VALUE(LEFT(M659,FIND("-",M659)-1)),M659)*100-(5000+2000000000)/2)&lt;=ABS(5000-2000000000)/2),"Цена со скидкой должна быть от 50 до 20000000",IF(IFERROR(VALUE(LEFT(M659,FIND("-",M659)-1)),M659)*229&lt;71100,"Вы уменьшили цену в несколько раз, товар попадет в карантин цен","")))),"")</f>
      </c>
    </row>
    <row r="660">
      <c r="A660" s="2" t="inlineStr">
        <is>
          <t>CuteShop</t>
        </is>
      </c>
      <c r="B660" s="2" t="inlineStr">
        <is>
          <t>Держатели для пустышек</t>
        </is>
      </c>
      <c r="C660" s="2">
        <v>253941032</v>
      </c>
      <c r="D660" s="2" t="inlineStr">
        <is>
          <t>AdeliyaBG</t>
        </is>
      </c>
      <c r="E660" s="2" t="inlineStr">
        <is>
          <t>2040964101502</t>
        </is>
      </c>
      <c r="F660" s="2">
        <v>0</v>
      </c>
      <c r="G660" s="2">
        <v>1</v>
      </c>
      <c r="H660" s="2" t="inlineStr">
        <is>
          <t/>
        </is>
      </c>
      <c r="I660" s="2" t="inlineStr">
        <is>
          <t>790</t>
        </is>
      </c>
      <c r="J660" s="4"/>
      <c r="K660" s="2">
        <v>10</v>
      </c>
      <c r="L660" s="6"/>
      <c r="M660" s="2" t="str">
        <f>IF(J660="",ROUND(I660*(1-IF(ISBLANK(L660),K660,L660)/100),2),ROUND(J660*(1-IF(ISBLANK(L660),K660,L660)/100),2))</f>
      </c>
      <c r="N660" s="7" t="str">
        <f>IF(NOT(AND(J660="",L660="")),IF(OR(AND(L660&lt;&gt;"",NOT(ISNUMBER(L660))),IFERROR(MOD(L660,1),1)&gt;0,AND(ISNUMBER(L660),OR(L660&lt;0,L660&gt;95))),"Введите целое число от 0 до 95",IF(OR(AND(J660&lt;&gt;"",NOT(ISNUMBER(J660))),IFERROR(MOD(J660,1),1)&gt;0,AND(ISNUMBER(J660),OR(J660&lt;50,J660&gt;20000000))),"Введите целое число от 50 до 20000000",IF(NOT(ABS(IFERROR(VALUE(LEFT(M660,FIND("-",M660)-1)),M660)*100-(5000+2000000000)/2)&lt;=ABS(5000-2000000000)/2),"Цена со скидкой должна быть от 50 до 20000000",IF(IFERROR(VALUE(LEFT(M660,FIND("-",M660)-1)),M660)*229&lt;71100,"Вы уменьшили цену в несколько раз, товар попадет в карантин цен","")))),"")</f>
      </c>
    </row>
    <row r="661">
      <c r="A661" s="2" t="inlineStr">
        <is>
          <t>CuteShop</t>
        </is>
      </c>
      <c r="B661" s="2" t="inlineStr">
        <is>
          <t>Держатели для пустышек</t>
        </is>
      </c>
      <c r="C661" s="2">
        <v>172171997</v>
      </c>
      <c r="D661" s="2" t="inlineStr">
        <is>
          <t>AglayaZay</t>
        </is>
      </c>
      <c r="E661" s="2" t="inlineStr">
        <is>
          <t>2038301850497</t>
        </is>
      </c>
      <c r="F661" s="2">
        <v>0</v>
      </c>
      <c r="G661" s="2">
        <v>1</v>
      </c>
      <c r="H661" s="2" t="inlineStr">
        <is>
          <t/>
        </is>
      </c>
      <c r="I661" s="2" t="inlineStr">
        <is>
          <t>1030</t>
        </is>
      </c>
      <c r="J661" s="4"/>
      <c r="K661" s="2">
        <v>10</v>
      </c>
      <c r="L661" s="6"/>
      <c r="M661" s="2" t="str">
        <f>IF(J661="",ROUND(I661*(1-IF(ISBLANK(L661),K661,L661)/100),2),ROUND(J661*(1-IF(ISBLANK(L661),K661,L661)/100),2))</f>
      </c>
      <c r="N661" s="7" t="str">
        <f>IF(NOT(AND(J661="",L661="")),IF(OR(AND(L661&lt;&gt;"",NOT(ISNUMBER(L661))),IFERROR(MOD(L661,1),1)&gt;0,AND(ISNUMBER(L661),OR(L661&lt;0,L661&gt;95))),"Введите целое число от 0 до 95",IF(OR(AND(J661&lt;&gt;"",NOT(ISNUMBER(J661))),IFERROR(MOD(J661,1),1)&gt;0,AND(ISNUMBER(J661),OR(J661&lt;50,J661&gt;20000000))),"Введите целое число от 50 до 20000000",IF(NOT(ABS(IFERROR(VALUE(LEFT(M661,FIND("-",M661)-1)),M661)*100-(5000+2000000000)/2)&lt;=ABS(5000-2000000000)/2),"Цена со скидкой должна быть от 50 до 20000000",IF(IFERROR(VALUE(LEFT(M661,FIND("-",M661)-1)),M661)*229&lt;92700,"Вы уменьшили цену в несколько раз, товар попадет в карантин цен","")))),"")</f>
      </c>
    </row>
    <row r="662">
      <c r="A662" s="2" t="inlineStr">
        <is>
          <t>CuteShop</t>
        </is>
      </c>
      <c r="B662" s="2" t="inlineStr">
        <is>
          <t>Держатели для пустышек</t>
        </is>
      </c>
      <c r="C662" s="2">
        <v>140341944</v>
      </c>
      <c r="D662" s="2" t="inlineStr">
        <is>
          <t>StefaBG</t>
        </is>
      </c>
      <c r="E662" s="2" t="inlineStr">
        <is>
          <t>2037296850321</t>
        </is>
      </c>
      <c r="F662" s="2">
        <v>0</v>
      </c>
      <c r="G662" s="2">
        <v>1</v>
      </c>
      <c r="H662" s="2">
        <v>0</v>
      </c>
      <c r="I662" s="2" t="inlineStr">
        <is>
          <t>790</t>
        </is>
      </c>
      <c r="J662" s="4"/>
      <c r="K662" s="2">
        <v>10</v>
      </c>
      <c r="L662" s="6"/>
      <c r="M662" s="2" t="str">
        <f>IF(J662="",ROUND(I662*(1-IF(ISBLANK(L662),K662,L662)/100),2),ROUND(J662*(1-IF(ISBLANK(L662),K662,L662)/100),2))</f>
      </c>
      <c r="N662" s="7" t="str">
        <f>IF(NOT(AND(J662="",L662="")),IF(OR(AND(L662&lt;&gt;"",NOT(ISNUMBER(L662))),IFERROR(MOD(L662,1),1)&gt;0,AND(ISNUMBER(L662),OR(L662&lt;0,L662&gt;95))),"Введите целое число от 0 до 95",IF(OR(AND(J662&lt;&gt;"",NOT(ISNUMBER(J662))),IFERROR(MOD(J662,1),1)&gt;0,AND(ISNUMBER(J662),OR(J662&lt;50,J662&gt;20000000))),"Введите целое число от 50 до 20000000",IF(NOT(ABS(IFERROR(VALUE(LEFT(M662,FIND("-",M662)-1)),M662)*100-(5000+2000000000)/2)&lt;=ABS(5000-2000000000)/2),"Цена со скидкой должна быть от 50 до 20000000",IF(IFERROR(VALUE(LEFT(M662,FIND("-",M662)-1)),M662)*229&lt;71100,"Вы уменьшили цену в несколько раз, товар попадет в карантин цен","")))),"")</f>
      </c>
    </row>
    <row r="663">
      <c r="A663" s="2" t="inlineStr">
        <is>
          <t>CuteShop</t>
        </is>
      </c>
      <c r="B663" s="2" t="inlineStr">
        <is>
          <t>Держатели для пустышек</t>
        </is>
      </c>
      <c r="C663" s="2">
        <v>103978604</v>
      </c>
      <c r="D663" s="2" t="inlineStr">
        <is>
          <t>RobertPanda</t>
        </is>
      </c>
      <c r="E663" s="2" t="inlineStr">
        <is>
          <t>2036864221631</t>
        </is>
      </c>
      <c r="F663" s="2">
        <v>0</v>
      </c>
      <c r="G663" s="2">
        <v>1</v>
      </c>
      <c r="H663" s="2">
        <v>0</v>
      </c>
      <c r="I663" s="2" t="inlineStr">
        <is>
          <t>1030</t>
        </is>
      </c>
      <c r="J663" s="4"/>
      <c r="K663" s="2">
        <v>10</v>
      </c>
      <c r="L663" s="6"/>
      <c r="M663" s="2" t="str">
        <f>IF(J663="",ROUND(I663*(1-IF(ISBLANK(L663),K663,L663)/100),2),ROUND(J663*(1-IF(ISBLANK(L663),K663,L663)/100),2))</f>
      </c>
      <c r="N663" s="7" t="str">
        <f>IF(NOT(AND(J663="",L663="")),IF(OR(AND(L663&lt;&gt;"",NOT(ISNUMBER(L663))),IFERROR(MOD(L663,1),1)&gt;0,AND(ISNUMBER(L663),OR(L663&lt;0,L663&gt;95))),"Введите целое число от 0 до 95",IF(OR(AND(J663&lt;&gt;"",NOT(ISNUMBER(J663))),IFERROR(MOD(J663,1),1)&gt;0,AND(ISNUMBER(J663),OR(J663&lt;50,J663&gt;20000000))),"Введите целое число от 50 до 20000000",IF(NOT(ABS(IFERROR(VALUE(LEFT(M663,FIND("-",M663)-1)),M663)*100-(5000+2000000000)/2)&lt;=ABS(5000-2000000000)/2),"Цена со скидкой должна быть от 50 до 20000000",IF(IFERROR(VALUE(LEFT(M663,FIND("-",M663)-1)),M663)*229&lt;92700,"Вы уменьшили цену в несколько раз, товар попадет в карантин цен","")))),"")</f>
      </c>
    </row>
    <row r="664">
      <c r="A664" s="2" t="inlineStr">
        <is>
          <t>CuteShop</t>
        </is>
      </c>
      <c r="B664" s="2" t="inlineStr">
        <is>
          <t>Держатели для пустышек</t>
        </is>
      </c>
      <c r="C664" s="2">
        <v>117637851</v>
      </c>
      <c r="D664" s="2" t="inlineStr">
        <is>
          <t>KsyushaKsenZayBlue</t>
        </is>
      </c>
      <c r="E664" s="2" t="inlineStr">
        <is>
          <t>2042164337620</t>
        </is>
      </c>
      <c r="F664" s="2">
        <v>0</v>
      </c>
      <c r="G664" s="2">
        <v>1</v>
      </c>
      <c r="H664" s="2">
        <v>0</v>
      </c>
      <c r="I664" s="2" t="inlineStr">
        <is>
          <t>1030</t>
        </is>
      </c>
      <c r="J664" s="4"/>
      <c r="K664" s="2">
        <v>10</v>
      </c>
      <c r="L664" s="6"/>
      <c r="M664" s="2" t="str">
        <f>IF(J664="",ROUND(I664*(1-IF(ISBLANK(L664),K664,L664)/100),2),ROUND(J664*(1-IF(ISBLANK(L664),K664,L664)/100),2))</f>
      </c>
      <c r="N664" s="7" t="str">
        <f>IF(NOT(AND(J664="",L664="")),IF(OR(AND(L664&lt;&gt;"",NOT(ISNUMBER(L664))),IFERROR(MOD(L664,1),1)&gt;0,AND(ISNUMBER(L664),OR(L664&lt;0,L664&gt;95))),"Введите целое число от 0 до 95",IF(OR(AND(J664&lt;&gt;"",NOT(ISNUMBER(J664))),IFERROR(MOD(J664,1),1)&gt;0,AND(ISNUMBER(J664),OR(J664&lt;50,J664&gt;20000000))),"Введите целое число от 50 до 20000000",IF(NOT(ABS(IFERROR(VALUE(LEFT(M664,FIND("-",M664)-1)),M664)*100-(5000+2000000000)/2)&lt;=ABS(5000-2000000000)/2),"Цена со скидкой должна быть от 50 до 20000000",IF(IFERROR(VALUE(LEFT(M664,FIND("-",M664)-1)),M664)*229&lt;92700,"Вы уменьшили цену в несколько раз, товар попадет в карантин цен","")))),"")</f>
      </c>
    </row>
    <row r="665">
      <c r="A665" s="2" t="inlineStr">
        <is>
          <t>CuteShop</t>
        </is>
      </c>
      <c r="B665" s="2" t="inlineStr">
        <is>
          <t>Держатели для пустышек</t>
        </is>
      </c>
      <c r="C665" s="2">
        <v>153832862</v>
      </c>
      <c r="D665" s="2" t="inlineStr">
        <is>
          <t>EgorBG</t>
        </is>
      </c>
      <c r="E665" s="2" t="inlineStr">
        <is>
          <t>2037641638918</t>
        </is>
      </c>
      <c r="F665" s="2">
        <v>0</v>
      </c>
      <c r="G665" s="2">
        <v>1</v>
      </c>
      <c r="H665" s="2" t="inlineStr">
        <is>
          <t/>
        </is>
      </c>
      <c r="I665" s="2" t="inlineStr">
        <is>
          <t>790</t>
        </is>
      </c>
      <c r="J665" s="4"/>
      <c r="K665" s="2">
        <v>10</v>
      </c>
      <c r="L665" s="6"/>
      <c r="M665" s="2" t="str">
        <f>IF(J665="",ROUND(I665*(1-IF(ISBLANK(L665),K665,L665)/100),2),ROUND(J665*(1-IF(ISBLANK(L665),K665,L665)/100),2))</f>
      </c>
      <c r="N665" s="7" t="str">
        <f>IF(NOT(AND(J665="",L665="")),IF(OR(AND(L665&lt;&gt;"",NOT(ISNUMBER(L665))),IFERROR(MOD(L665,1),1)&gt;0,AND(ISNUMBER(L665),OR(L665&lt;0,L665&gt;95))),"Введите целое число от 0 до 95",IF(OR(AND(J665&lt;&gt;"",NOT(ISNUMBER(J665))),IFERROR(MOD(J665,1),1)&gt;0,AND(ISNUMBER(J665),OR(J665&lt;50,J665&gt;20000000))),"Введите целое число от 50 до 20000000",IF(NOT(ABS(IFERROR(VALUE(LEFT(M665,FIND("-",M665)-1)),M665)*100-(5000+2000000000)/2)&lt;=ABS(5000-2000000000)/2),"Цена со скидкой должна быть от 50 до 20000000",IF(IFERROR(VALUE(LEFT(M665,FIND("-",M665)-1)),M665)*229&lt;71100,"Вы уменьшили цену в несколько раз, товар попадет в карантин цен","")))),"")</f>
      </c>
    </row>
    <row r="666">
      <c r="A666" s="2" t="inlineStr">
        <is>
          <t>CuteShop</t>
        </is>
      </c>
      <c r="B666" s="2" t="inlineStr">
        <is>
          <t>Держатели для пустышек</t>
        </is>
      </c>
      <c r="C666" s="2">
        <v>111038439</v>
      </c>
      <c r="D666" s="2" t="inlineStr">
        <is>
          <t>LevLev</t>
        </is>
      </c>
      <c r="E666" s="2" t="inlineStr">
        <is>
          <t>2037478758629</t>
        </is>
      </c>
      <c r="F666" s="2">
        <v>0</v>
      </c>
      <c r="G666" s="2">
        <v>0</v>
      </c>
      <c r="H666" s="2">
        <v>0</v>
      </c>
      <c r="I666" s="2" t="inlineStr">
        <is>
          <t>1030</t>
        </is>
      </c>
      <c r="J666" s="4"/>
      <c r="K666" s="2">
        <v>10</v>
      </c>
      <c r="L666" s="6"/>
      <c r="M666" s="2" t="str">
        <f>IF(J666="",ROUND(I666*(1-IF(ISBLANK(L666),K666,L666)/100),2),ROUND(J666*(1-IF(ISBLANK(L666),K666,L666)/100),2))</f>
      </c>
      <c r="N666" s="7" t="str">
        <f>IF(NOT(AND(J666="",L666="")),IF(OR(AND(L666&lt;&gt;"",NOT(ISNUMBER(L666))),IFERROR(MOD(L666,1),1)&gt;0,AND(ISNUMBER(L666),OR(L666&lt;0,L666&gt;95))),"Введите целое число от 0 до 95",IF(OR(AND(J666&lt;&gt;"",NOT(ISNUMBER(J666))),IFERROR(MOD(J666,1),1)&gt;0,AND(ISNUMBER(J666),OR(J666&lt;50,J666&gt;20000000))),"Введите целое число от 50 до 20000000",IF(NOT(ABS(IFERROR(VALUE(LEFT(M666,FIND("-",M666)-1)),M666)*100-(5000+2000000000)/2)&lt;=ABS(5000-2000000000)/2),"Цена со скидкой должна быть от 50 до 20000000",IF(IFERROR(VALUE(LEFT(M666,FIND("-",M666)-1)),M666)*229&lt;92700,"Вы уменьшили цену в несколько раз, товар попадет в карантин цен","")))),"")</f>
      </c>
    </row>
    <row r="667">
      <c r="A667" s="2" t="inlineStr">
        <is>
          <t>CuteShop</t>
        </is>
      </c>
      <c r="B667" s="2" t="inlineStr">
        <is>
          <t>Держатели для пустышек</t>
        </is>
      </c>
      <c r="C667" s="2">
        <v>253914211</v>
      </c>
      <c r="D667" s="2" t="inlineStr">
        <is>
          <t>KarolinaBel</t>
        </is>
      </c>
      <c r="E667" s="2" t="inlineStr">
        <is>
          <t>2040963628062</t>
        </is>
      </c>
      <c r="F667" s="2">
        <v>0</v>
      </c>
      <c r="G667" s="2">
        <v>0</v>
      </c>
      <c r="H667" s="2" t="inlineStr">
        <is>
          <t/>
        </is>
      </c>
      <c r="I667" s="2" t="inlineStr">
        <is>
          <t>1030</t>
        </is>
      </c>
      <c r="J667" s="4"/>
      <c r="K667" s="2">
        <v>10</v>
      </c>
      <c r="L667" s="6"/>
      <c r="M667" s="2" t="str">
        <f>IF(J667="",ROUND(I667*(1-IF(ISBLANK(L667),K667,L667)/100),2),ROUND(J667*(1-IF(ISBLANK(L667),K667,L667)/100),2))</f>
      </c>
      <c r="N667" s="7" t="str">
        <f>IF(NOT(AND(J667="",L667="")),IF(OR(AND(L667&lt;&gt;"",NOT(ISNUMBER(L667))),IFERROR(MOD(L667,1),1)&gt;0,AND(ISNUMBER(L667),OR(L667&lt;0,L667&gt;95))),"Введите целое число от 0 до 95",IF(OR(AND(J667&lt;&gt;"",NOT(ISNUMBER(J667))),IFERROR(MOD(J667,1),1)&gt;0,AND(ISNUMBER(J667),OR(J667&lt;50,J667&gt;20000000))),"Введите целое число от 50 до 20000000",IF(NOT(ABS(IFERROR(VALUE(LEFT(M667,FIND("-",M667)-1)),M667)*100-(5000+2000000000)/2)&lt;=ABS(5000-2000000000)/2),"Цена со скидкой должна быть от 50 до 20000000",IF(IFERROR(VALUE(LEFT(M667,FIND("-",M667)-1)),M667)*229&lt;92700,"Вы уменьшили цену в несколько раз, товар попадет в карантин цен","")))),"")</f>
      </c>
    </row>
    <row r="668">
      <c r="A668" s="2" t="inlineStr">
        <is>
          <t>CuteShop</t>
        </is>
      </c>
      <c r="B668" s="2" t="inlineStr">
        <is>
          <t>Держатели для пустышек</t>
        </is>
      </c>
      <c r="C668" s="2">
        <v>111038438</v>
      </c>
      <c r="D668" s="2" t="inlineStr">
        <is>
          <t>LevBG</t>
        </is>
      </c>
      <c r="E668" s="2" t="inlineStr">
        <is>
          <t>2037478717626</t>
        </is>
      </c>
      <c r="F668" s="2">
        <v>0</v>
      </c>
      <c r="G668" s="2">
        <v>1</v>
      </c>
      <c r="H668" s="2" t="inlineStr">
        <is>
          <t/>
        </is>
      </c>
      <c r="I668" s="2" t="inlineStr">
        <is>
          <t>790</t>
        </is>
      </c>
      <c r="J668" s="4"/>
      <c r="K668" s="2">
        <v>10</v>
      </c>
      <c r="L668" s="6"/>
      <c r="M668" s="2" t="str">
        <f>IF(J668="",ROUND(I668*(1-IF(ISBLANK(L668),K668,L668)/100),2),ROUND(J668*(1-IF(ISBLANK(L668),K668,L668)/100),2))</f>
      </c>
      <c r="N668" s="7" t="str">
        <f>IF(NOT(AND(J668="",L668="")),IF(OR(AND(L668&lt;&gt;"",NOT(ISNUMBER(L668))),IFERROR(MOD(L668,1),1)&gt;0,AND(ISNUMBER(L668),OR(L668&lt;0,L668&gt;95))),"Введите целое число от 0 до 95",IF(OR(AND(J668&lt;&gt;"",NOT(ISNUMBER(J668))),IFERROR(MOD(J668,1),1)&gt;0,AND(ISNUMBER(J668),OR(J668&lt;50,J668&gt;20000000))),"Введите целое число от 50 до 20000000",IF(NOT(ABS(IFERROR(VALUE(LEFT(M668,FIND("-",M668)-1)),M668)*100-(5000+2000000000)/2)&lt;=ABS(5000-2000000000)/2),"Цена со скидкой должна быть от 50 до 20000000",IF(IFERROR(VALUE(LEFT(M668,FIND("-",M668)-1)),M668)*229&lt;71100,"Вы уменьшили цену в несколько раз, товар попадет в карантин цен","")))),"")</f>
      </c>
    </row>
    <row r="669">
      <c r="A669" s="2" t="inlineStr">
        <is>
          <t>CuteShop</t>
        </is>
      </c>
      <c r="B669" s="2" t="inlineStr">
        <is>
          <t>Держатели для пустышек</t>
        </is>
      </c>
      <c r="C669" s="2">
        <v>279836549</v>
      </c>
      <c r="D669" s="2" t="inlineStr">
        <is>
          <t>Derzh-Prost2</t>
        </is>
      </c>
      <c r="E669" s="2" t="inlineStr">
        <is>
          <t>2041720908441</t>
        </is>
      </c>
      <c r="F669" s="2">
        <v>0</v>
      </c>
      <c r="G669" s="2">
        <v>1</v>
      </c>
      <c r="H669" s="2" t="inlineStr">
        <is>
          <t/>
        </is>
      </c>
      <c r="I669" s="2" t="inlineStr">
        <is>
          <t>390</t>
        </is>
      </c>
      <c r="J669" s="4"/>
      <c r="K669" s="2">
        <v>3</v>
      </c>
      <c r="L669" s="6"/>
      <c r="M669" s="2" t="str">
        <f>IF(J669="",ROUND(I669*(1-IF(ISBLANK(L669),K669,L669)/100),2),ROUND(J669*(1-IF(ISBLANK(L669),K669,L669)/100),2))</f>
      </c>
      <c r="N669" s="7" t="str">
        <f>IF(NOT(AND(J669="",L669="")),IF(OR(AND(L669&lt;&gt;"",NOT(ISNUMBER(L669))),IFERROR(MOD(L669,1),1)&gt;0,AND(ISNUMBER(L669),OR(L669&lt;0,L669&gt;95))),"Введите целое число от 0 до 95",IF(OR(AND(J669&lt;&gt;"",NOT(ISNUMBER(J669))),IFERROR(MOD(J669,1),1)&gt;0,AND(ISNUMBER(J669),OR(J669&lt;50,J669&gt;20000000))),"Введите целое число от 50 до 20000000",IF(NOT(ABS(IFERROR(VALUE(LEFT(M669,FIND("-",M669)-1)),M669)*100-(5000+2000000000)/2)&lt;=ABS(5000-2000000000)/2),"Цена со скидкой должна быть от 50 до 20000000",IF(IFERROR(VALUE(LEFT(M669,FIND("-",M669)-1)),M669)*229&lt;37830,"Вы уменьшили цену в несколько раз, товар попадет в карантин цен","")))),"")</f>
      </c>
    </row>
    <row r="670">
      <c r="A670" s="2" t="inlineStr">
        <is>
          <t>CuteShop</t>
        </is>
      </c>
      <c r="B670" s="2" t="inlineStr">
        <is>
          <t>Держатели для пустышек</t>
        </is>
      </c>
      <c r="C670" s="2">
        <v>155751828</v>
      </c>
      <c r="D670" s="2" t="inlineStr">
        <is>
          <t>NazarSob2</t>
        </is>
      </c>
      <c r="E670" s="2" t="inlineStr">
        <is>
          <t>2037693834818</t>
        </is>
      </c>
      <c r="F670" s="2">
        <v>0</v>
      </c>
      <c r="G670" s="2">
        <v>0</v>
      </c>
      <c r="H670" s="2">
        <v>0</v>
      </c>
      <c r="I670" s="2" t="inlineStr">
        <is>
          <t>1030</t>
        </is>
      </c>
      <c r="J670" s="4"/>
      <c r="K670" s="2">
        <v>10</v>
      </c>
      <c r="L670" s="6"/>
      <c r="M670" s="2" t="str">
        <f>IF(J670="",ROUND(I670*(1-IF(ISBLANK(L670),K670,L670)/100),2),ROUND(J670*(1-IF(ISBLANK(L670),K670,L670)/100),2))</f>
      </c>
      <c r="N670" s="7" t="str">
        <f>IF(NOT(AND(J670="",L670="")),IF(OR(AND(L670&lt;&gt;"",NOT(ISNUMBER(L670))),IFERROR(MOD(L670,1),1)&gt;0,AND(ISNUMBER(L670),OR(L670&lt;0,L670&gt;95))),"Введите целое число от 0 до 95",IF(OR(AND(J670&lt;&gt;"",NOT(ISNUMBER(J670))),IFERROR(MOD(J670,1),1)&gt;0,AND(ISNUMBER(J670),OR(J670&lt;50,J670&gt;20000000))),"Введите целое число от 50 до 20000000",IF(NOT(ABS(IFERROR(VALUE(LEFT(M670,FIND("-",M670)-1)),M670)*100-(5000+2000000000)/2)&lt;=ABS(5000-2000000000)/2),"Цена со скидкой должна быть от 50 до 20000000",IF(IFERROR(VALUE(LEFT(M670,FIND("-",M670)-1)),M670)*229&lt;92700,"Вы уменьшили цену в несколько раз, товар попадет в карантин цен","")))),"")</f>
      </c>
    </row>
    <row r="671">
      <c r="A671" s="2" t="inlineStr">
        <is>
          <t>CuteShop</t>
        </is>
      </c>
      <c r="B671" s="2" t="inlineStr">
        <is>
          <t>Держатели для пустышек</t>
        </is>
      </c>
      <c r="C671" s="2">
        <v>137673234</v>
      </c>
      <c r="D671" s="2" t="inlineStr">
        <is>
          <t>AmaliyaMish</t>
        </is>
      </c>
      <c r="E671" s="2" t="inlineStr">
        <is>
          <t>2037227462890</t>
        </is>
      </c>
      <c r="F671" s="2">
        <v>0</v>
      </c>
      <c r="G671" s="2">
        <v>1</v>
      </c>
      <c r="H671" s="2">
        <v>0</v>
      </c>
      <c r="I671" s="2" t="inlineStr">
        <is>
          <t>1030</t>
        </is>
      </c>
      <c r="J671" s="4"/>
      <c r="K671" s="2">
        <v>10</v>
      </c>
      <c r="L671" s="6"/>
      <c r="M671" s="2" t="str">
        <f>IF(J671="",ROUND(I671*(1-IF(ISBLANK(L671),K671,L671)/100),2),ROUND(J671*(1-IF(ISBLANK(L671),K671,L671)/100),2))</f>
      </c>
      <c r="N671" s="7" t="str">
        <f>IF(NOT(AND(J671="",L671="")),IF(OR(AND(L671&lt;&gt;"",NOT(ISNUMBER(L671))),IFERROR(MOD(L671,1),1)&gt;0,AND(ISNUMBER(L671),OR(L671&lt;0,L671&gt;95))),"Введите целое число от 0 до 95",IF(OR(AND(J671&lt;&gt;"",NOT(ISNUMBER(J671))),IFERROR(MOD(J671,1),1)&gt;0,AND(ISNUMBER(J671),OR(J671&lt;50,J671&gt;20000000))),"Введите целое число от 50 до 20000000",IF(NOT(ABS(IFERROR(VALUE(LEFT(M671,FIND("-",M671)-1)),M671)*100-(5000+2000000000)/2)&lt;=ABS(5000-2000000000)/2),"Цена со скидкой должна быть от 50 до 20000000",IF(IFERROR(VALUE(LEFT(M671,FIND("-",M671)-1)),M671)*229&lt;92700,"Вы уменьшили цену в несколько раз, товар попадет в карантин цен","")))),"")</f>
      </c>
    </row>
    <row r="672">
      <c r="A672" s="2" t="inlineStr">
        <is>
          <t>CuteShop</t>
        </is>
      </c>
      <c r="B672" s="2" t="inlineStr">
        <is>
          <t>Держатели для пустышек</t>
        </is>
      </c>
      <c r="C672" s="2">
        <v>99960345</v>
      </c>
      <c r="D672" s="2" t="inlineStr">
        <is>
          <t>ZlataBel</t>
        </is>
      </c>
      <c r="E672" s="2" t="inlineStr">
        <is>
          <t>2036806311604</t>
        </is>
      </c>
      <c r="F672" s="2">
        <v>0</v>
      </c>
      <c r="G672" s="2">
        <v>1</v>
      </c>
      <c r="H672" s="2" t="inlineStr">
        <is>
          <t/>
        </is>
      </c>
      <c r="I672" s="2" t="inlineStr">
        <is>
          <t>1030</t>
        </is>
      </c>
      <c r="J672" s="4"/>
      <c r="K672" s="2">
        <v>10</v>
      </c>
      <c r="L672" s="6"/>
      <c r="M672" s="2" t="str">
        <f>IF(J672="",ROUND(I672*(1-IF(ISBLANK(L672),K672,L672)/100),2),ROUND(J672*(1-IF(ISBLANK(L672),K672,L672)/100),2))</f>
      </c>
      <c r="N672" s="7" t="str">
        <f>IF(NOT(AND(J672="",L672="")),IF(OR(AND(L672&lt;&gt;"",NOT(ISNUMBER(L672))),IFERROR(MOD(L672,1),1)&gt;0,AND(ISNUMBER(L672),OR(L672&lt;0,L672&gt;95))),"Введите целое число от 0 до 95",IF(OR(AND(J672&lt;&gt;"",NOT(ISNUMBER(J672))),IFERROR(MOD(J672,1),1)&gt;0,AND(ISNUMBER(J672),OR(J672&lt;50,J672&gt;20000000))),"Введите целое число от 50 до 20000000",IF(NOT(ABS(IFERROR(VALUE(LEFT(M672,FIND("-",M672)-1)),M672)*100-(5000+2000000000)/2)&lt;=ABS(5000-2000000000)/2),"Цена со скидкой должна быть от 50 до 20000000",IF(IFERROR(VALUE(LEFT(M672,FIND("-",M672)-1)),M672)*229&lt;92700,"Вы уменьшили цену в несколько раз, товар попадет в карантин цен","")))),"")</f>
      </c>
    </row>
    <row r="673">
      <c r="A673" s="2" t="inlineStr">
        <is>
          <t>CuteShop</t>
        </is>
      </c>
      <c r="B673" s="2" t="inlineStr">
        <is>
          <t>Держатели для пустышек</t>
        </is>
      </c>
      <c r="C673" s="2">
        <v>103978606</v>
      </c>
      <c r="D673" s="2" t="inlineStr">
        <is>
          <t>RobertMish</t>
        </is>
      </c>
      <c r="E673" s="2" t="inlineStr">
        <is>
          <t>2036864221228</t>
        </is>
      </c>
      <c r="F673" s="2">
        <v>0</v>
      </c>
      <c r="G673" s="2">
        <v>1</v>
      </c>
      <c r="H673" s="2">
        <v>0</v>
      </c>
      <c r="I673" s="2" t="inlineStr">
        <is>
          <t>1030</t>
        </is>
      </c>
      <c r="J673" s="4"/>
      <c r="K673" s="2">
        <v>10</v>
      </c>
      <c r="L673" s="6"/>
      <c r="M673" s="2" t="str">
        <f>IF(J673="",ROUND(I673*(1-IF(ISBLANK(L673),K673,L673)/100),2),ROUND(J673*(1-IF(ISBLANK(L673),K673,L673)/100),2))</f>
      </c>
      <c r="N673" s="7" t="str">
        <f>IF(NOT(AND(J673="",L673="")),IF(OR(AND(L673&lt;&gt;"",NOT(ISNUMBER(L673))),IFERROR(MOD(L673,1),1)&gt;0,AND(ISNUMBER(L673),OR(L673&lt;0,L673&gt;95))),"Введите целое число от 0 до 95",IF(OR(AND(J673&lt;&gt;"",NOT(ISNUMBER(J673))),IFERROR(MOD(J673,1),1)&gt;0,AND(ISNUMBER(J673),OR(J673&lt;50,J673&gt;20000000))),"Введите целое число от 50 до 20000000",IF(NOT(ABS(IFERROR(VALUE(LEFT(M673,FIND("-",M673)-1)),M673)*100-(5000+2000000000)/2)&lt;=ABS(5000-2000000000)/2),"Цена со скидкой должна быть от 50 до 20000000",IF(IFERROR(VALUE(LEFT(M673,FIND("-",M673)-1)),M673)*229&lt;92700,"Вы уменьшили цену в несколько раз, товар попадет в карантин цен","")))),"")</f>
      </c>
    </row>
    <row r="674">
      <c r="A674" s="2" t="inlineStr">
        <is>
          <t>CuteShop</t>
        </is>
      </c>
      <c r="B674" s="2" t="inlineStr">
        <is>
          <t>Держатели для пустышек</t>
        </is>
      </c>
      <c r="C674" s="2">
        <v>105656687</v>
      </c>
      <c r="D674" s="2" t="inlineStr">
        <is>
          <t>StepanKoala</t>
        </is>
      </c>
      <c r="E674" s="2" t="inlineStr">
        <is>
          <t>2036887630250</t>
        </is>
      </c>
      <c r="F674" s="2">
        <v>0</v>
      </c>
      <c r="G674" s="2">
        <v>1</v>
      </c>
      <c r="H674" s="2">
        <v>1</v>
      </c>
      <c r="I674" s="2" t="inlineStr">
        <is>
          <t>1030</t>
        </is>
      </c>
      <c r="J674" s="4"/>
      <c r="K674" s="2">
        <v>10</v>
      </c>
      <c r="L674" s="6"/>
      <c r="M674" s="2" t="str">
        <f>IF(J674="",ROUND(I674*(1-IF(ISBLANK(L674),K674,L674)/100),2),ROUND(J674*(1-IF(ISBLANK(L674),K674,L674)/100),2))</f>
      </c>
      <c r="N674" s="7" t="str">
        <f>IF(NOT(AND(J674="",L674="")),IF(OR(AND(L674&lt;&gt;"",NOT(ISNUMBER(L674))),IFERROR(MOD(L674,1),1)&gt;0,AND(ISNUMBER(L674),OR(L674&lt;0,L674&gt;95))),"Введите целое число от 0 до 95",IF(OR(AND(J674&lt;&gt;"",NOT(ISNUMBER(J674))),IFERROR(MOD(J674,1),1)&gt;0,AND(ISNUMBER(J674),OR(J674&lt;50,J674&gt;20000000))),"Введите целое число от 50 до 20000000",IF(NOT(ABS(IFERROR(VALUE(LEFT(M674,FIND("-",M674)-1)),M674)*100-(5000+2000000000)/2)&lt;=ABS(5000-2000000000)/2),"Цена со скидкой должна быть от 50 до 20000000",IF(IFERROR(VALUE(LEFT(M674,FIND("-",M674)-1)),M674)*229&lt;92700,"Вы уменьшили цену в несколько раз, товар попадет в карантин цен","")))),"")</f>
      </c>
    </row>
    <row r="675">
      <c r="A675" s="2" t="inlineStr">
        <is>
          <t>CuteShop</t>
        </is>
      </c>
      <c r="B675" s="2" t="inlineStr">
        <is>
          <t>Держатели для пустышек</t>
        </is>
      </c>
      <c r="C675" s="2">
        <v>132220670</v>
      </c>
      <c r="D675" s="2" t="inlineStr">
        <is>
          <t>MariyaBG</t>
        </is>
      </c>
      <c r="E675" s="2" t="inlineStr">
        <is>
          <t>2037042557511</t>
        </is>
      </c>
      <c r="F675" s="2">
        <v>0</v>
      </c>
      <c r="G675" s="2">
        <v>1</v>
      </c>
      <c r="H675" s="2">
        <v>1</v>
      </c>
      <c r="I675" s="2" t="inlineStr">
        <is>
          <t>790</t>
        </is>
      </c>
      <c r="J675" s="4"/>
      <c r="K675" s="2">
        <v>10</v>
      </c>
      <c r="L675" s="6"/>
      <c r="M675" s="2" t="str">
        <f>IF(J675="",ROUND(I675*(1-IF(ISBLANK(L675),K675,L675)/100),2),ROUND(J675*(1-IF(ISBLANK(L675),K675,L675)/100),2))</f>
      </c>
      <c r="N675" s="7" t="str">
        <f>IF(NOT(AND(J675="",L675="")),IF(OR(AND(L675&lt;&gt;"",NOT(ISNUMBER(L675))),IFERROR(MOD(L675,1),1)&gt;0,AND(ISNUMBER(L675),OR(L675&lt;0,L675&gt;95))),"Введите целое число от 0 до 95",IF(OR(AND(J675&lt;&gt;"",NOT(ISNUMBER(J675))),IFERROR(MOD(J675,1),1)&gt;0,AND(ISNUMBER(J675),OR(J675&lt;50,J675&gt;20000000))),"Введите целое число от 50 до 20000000",IF(NOT(ABS(IFERROR(VALUE(LEFT(M675,FIND("-",M675)-1)),M675)*100-(5000+2000000000)/2)&lt;=ABS(5000-2000000000)/2),"Цена со скидкой должна быть от 50 до 20000000",IF(IFERROR(VALUE(LEFT(M675,FIND("-",M675)-1)),M675)*229&lt;71100,"Вы уменьшили цену в несколько раз, товар попадет в карантин цен","")))),"")</f>
      </c>
    </row>
    <row r="676">
      <c r="A676" s="2" t="inlineStr">
        <is>
          <t>CuteShop</t>
        </is>
      </c>
      <c r="B676" s="2" t="inlineStr">
        <is>
          <t>Держатели для пустышек</t>
        </is>
      </c>
      <c r="C676" s="2">
        <v>183439094</v>
      </c>
      <c r="D676" s="2" t="inlineStr">
        <is>
          <t>StasKit</t>
        </is>
      </c>
      <c r="E676" s="2" t="inlineStr">
        <is>
          <t>2038824593499</t>
        </is>
      </c>
      <c r="F676" s="2">
        <v>0</v>
      </c>
      <c r="G676" s="2">
        <v>1</v>
      </c>
      <c r="H676" s="2" t="inlineStr">
        <is>
          <t/>
        </is>
      </c>
      <c r="I676" s="2" t="inlineStr">
        <is>
          <t>1030</t>
        </is>
      </c>
      <c r="J676" s="4"/>
      <c r="K676" s="2">
        <v>10</v>
      </c>
      <c r="L676" s="6"/>
      <c r="M676" s="2" t="str">
        <f>IF(J676="",ROUND(I676*(1-IF(ISBLANK(L676),K676,L676)/100),2),ROUND(J676*(1-IF(ISBLANK(L676),K676,L676)/100),2))</f>
      </c>
      <c r="N676" s="7" t="str">
        <f>IF(NOT(AND(J676="",L676="")),IF(OR(AND(L676&lt;&gt;"",NOT(ISNUMBER(L676))),IFERROR(MOD(L676,1),1)&gt;0,AND(ISNUMBER(L676),OR(L676&lt;0,L676&gt;95))),"Введите целое число от 0 до 95",IF(OR(AND(J676&lt;&gt;"",NOT(ISNUMBER(J676))),IFERROR(MOD(J676,1),1)&gt;0,AND(ISNUMBER(J676),OR(J676&lt;50,J676&gt;20000000))),"Введите целое число от 50 до 20000000",IF(NOT(ABS(IFERROR(VALUE(LEFT(M676,FIND("-",M676)-1)),M676)*100-(5000+2000000000)/2)&lt;=ABS(5000-2000000000)/2),"Цена со скидкой должна быть от 50 до 20000000",IF(IFERROR(VALUE(LEFT(M676,FIND("-",M676)-1)),M676)*229&lt;92700,"Вы уменьшили цену в несколько раз, товар попадет в карантин цен","")))),"")</f>
      </c>
    </row>
    <row r="677">
      <c r="A677" s="2" t="inlineStr">
        <is>
          <t>CuteShop</t>
        </is>
      </c>
      <c r="B677" s="2" t="inlineStr">
        <is>
          <t>Держатели для пустышек</t>
        </is>
      </c>
      <c r="C677" s="2">
        <v>161022980</v>
      </c>
      <c r="D677" s="2" t="inlineStr">
        <is>
          <t>TeonaBG</t>
        </is>
      </c>
      <c r="E677" s="2" t="inlineStr">
        <is>
          <t>2037837703932</t>
        </is>
      </c>
      <c r="F677" s="2">
        <v>0</v>
      </c>
      <c r="G677" s="2">
        <v>1</v>
      </c>
      <c r="H677" s="2" t="inlineStr">
        <is>
          <t/>
        </is>
      </c>
      <c r="I677" s="2" t="inlineStr">
        <is>
          <t>790</t>
        </is>
      </c>
      <c r="J677" s="4"/>
      <c r="K677" s="2">
        <v>10</v>
      </c>
      <c r="L677" s="6"/>
      <c r="M677" s="2" t="str">
        <f>IF(J677="",ROUND(I677*(1-IF(ISBLANK(L677),K677,L677)/100),2),ROUND(J677*(1-IF(ISBLANK(L677),K677,L677)/100),2))</f>
      </c>
      <c r="N677" s="7" t="str">
        <f>IF(NOT(AND(J677="",L677="")),IF(OR(AND(L677&lt;&gt;"",NOT(ISNUMBER(L677))),IFERROR(MOD(L677,1),1)&gt;0,AND(ISNUMBER(L677),OR(L677&lt;0,L677&gt;95))),"Введите целое число от 0 до 95",IF(OR(AND(J677&lt;&gt;"",NOT(ISNUMBER(J677))),IFERROR(MOD(J677,1),1)&gt;0,AND(ISNUMBER(J677),OR(J677&lt;50,J677&gt;20000000))),"Введите целое число от 50 до 20000000",IF(NOT(ABS(IFERROR(VALUE(LEFT(M677,FIND("-",M677)-1)),M677)*100-(5000+2000000000)/2)&lt;=ABS(5000-2000000000)/2),"Цена со скидкой должна быть от 50 до 20000000",IF(IFERROR(VALUE(LEFT(M677,FIND("-",M677)-1)),M677)*229&lt;71100,"Вы уменьшили цену в несколько раз, товар попадет в карантин цен","")))),"")</f>
      </c>
    </row>
    <row r="678">
      <c r="A678" s="2" t="inlineStr">
        <is>
          <t>CuteShop</t>
        </is>
      </c>
      <c r="B678" s="2" t="inlineStr">
        <is>
          <t>Держатели для пустышек</t>
        </is>
      </c>
      <c r="C678" s="2">
        <v>153128972</v>
      </c>
      <c r="D678" s="2" t="inlineStr">
        <is>
          <t>RenatOlen</t>
        </is>
      </c>
      <c r="E678" s="2" t="inlineStr">
        <is>
          <t>2037628428501</t>
        </is>
      </c>
      <c r="F678" s="2">
        <v>0</v>
      </c>
      <c r="G678" s="2">
        <v>0</v>
      </c>
      <c r="H678" s="2" t="inlineStr">
        <is>
          <t/>
        </is>
      </c>
      <c r="I678" s="2" t="inlineStr">
        <is>
          <t>1030</t>
        </is>
      </c>
      <c r="J678" s="4"/>
      <c r="K678" s="2">
        <v>10</v>
      </c>
      <c r="L678" s="6"/>
      <c r="M678" s="2" t="str">
        <f>IF(J678="",ROUND(I678*(1-IF(ISBLANK(L678),K678,L678)/100),2),ROUND(J678*(1-IF(ISBLANK(L678),K678,L678)/100),2))</f>
      </c>
      <c r="N678" s="7" t="str">
        <f>IF(NOT(AND(J678="",L678="")),IF(OR(AND(L678&lt;&gt;"",NOT(ISNUMBER(L678))),IFERROR(MOD(L678,1),1)&gt;0,AND(ISNUMBER(L678),OR(L678&lt;0,L678&gt;95))),"Введите целое число от 0 до 95",IF(OR(AND(J678&lt;&gt;"",NOT(ISNUMBER(J678))),IFERROR(MOD(J678,1),1)&gt;0,AND(ISNUMBER(J678),OR(J678&lt;50,J678&gt;20000000))),"Введите целое число от 50 до 20000000",IF(NOT(ABS(IFERROR(VALUE(LEFT(M678,FIND("-",M678)-1)),M678)*100-(5000+2000000000)/2)&lt;=ABS(5000-2000000000)/2),"Цена со скидкой должна быть от 50 до 20000000",IF(IFERROR(VALUE(LEFT(M678,FIND("-",M678)-1)),M678)*229&lt;92700,"Вы уменьшили цену в несколько раз, товар попадет в карантин цен","")))),"")</f>
      </c>
    </row>
    <row r="679">
      <c r="A679" s="2" t="inlineStr">
        <is>
          <t>CuteShop</t>
        </is>
      </c>
      <c r="B679" s="2" t="inlineStr">
        <is>
          <t>Держатели для пустышек</t>
        </is>
      </c>
      <c r="C679" s="2">
        <v>145492930</v>
      </c>
      <c r="D679" s="2" t="inlineStr">
        <is>
          <t>OliviyaZay</t>
        </is>
      </c>
      <c r="E679" s="2" t="inlineStr">
        <is>
          <t>2037441668573</t>
        </is>
      </c>
      <c r="F679" s="2">
        <v>0</v>
      </c>
      <c r="G679" s="2">
        <v>1</v>
      </c>
      <c r="H679" s="2">
        <v>0</v>
      </c>
      <c r="I679" s="2" t="inlineStr">
        <is>
          <t>1030</t>
        </is>
      </c>
      <c r="J679" s="4"/>
      <c r="K679" s="2">
        <v>10</v>
      </c>
      <c r="L679" s="6"/>
      <c r="M679" s="2" t="str">
        <f>IF(J679="",ROUND(I679*(1-IF(ISBLANK(L679),K679,L679)/100),2),ROUND(J679*(1-IF(ISBLANK(L679),K679,L679)/100),2))</f>
      </c>
      <c r="N679" s="7" t="str">
        <f>IF(NOT(AND(J679="",L679="")),IF(OR(AND(L679&lt;&gt;"",NOT(ISNUMBER(L679))),IFERROR(MOD(L679,1),1)&gt;0,AND(ISNUMBER(L679),OR(L679&lt;0,L679&gt;95))),"Введите целое число от 0 до 95",IF(OR(AND(J679&lt;&gt;"",NOT(ISNUMBER(J679))),IFERROR(MOD(J679,1),1)&gt;0,AND(ISNUMBER(J679),OR(J679&lt;50,J679&gt;20000000))),"Введите целое число от 50 до 20000000",IF(NOT(ABS(IFERROR(VALUE(LEFT(M679,FIND("-",M679)-1)),M679)*100-(5000+2000000000)/2)&lt;=ABS(5000-2000000000)/2),"Цена со скидкой должна быть от 50 до 20000000",IF(IFERROR(VALUE(LEFT(M679,FIND("-",M679)-1)),M679)*229&lt;92700,"Вы уменьшили цену в несколько раз, товар попадет в карантин цен","")))),"")</f>
      </c>
    </row>
    <row r="680">
      <c r="A680" s="2" t="inlineStr">
        <is>
          <t>CuteShop</t>
        </is>
      </c>
      <c r="B680" s="2" t="inlineStr">
        <is>
          <t>Держатели для пустышек</t>
        </is>
      </c>
      <c r="C680" s="2">
        <v>112949844</v>
      </c>
      <c r="D680" s="2" t="inlineStr">
        <is>
          <t>AndreyMBG</t>
        </is>
      </c>
      <c r="E680" s="2" t="inlineStr">
        <is>
          <t>2038998147627</t>
        </is>
      </c>
      <c r="F680" s="2">
        <v>0</v>
      </c>
      <c r="G680" s="2">
        <v>1</v>
      </c>
      <c r="H680" s="2">
        <v>0</v>
      </c>
      <c r="I680" s="2" t="inlineStr">
        <is>
          <t>790</t>
        </is>
      </c>
      <c r="J680" s="4"/>
      <c r="K680" s="2">
        <v>10</v>
      </c>
      <c r="L680" s="6"/>
      <c r="M680" s="2" t="str">
        <f>IF(J680="",ROUND(I680*(1-IF(ISBLANK(L680),K680,L680)/100),2),ROUND(J680*(1-IF(ISBLANK(L680),K680,L680)/100),2))</f>
      </c>
      <c r="N680" s="7" t="str">
        <f>IF(NOT(AND(J680="",L680="")),IF(OR(AND(L680&lt;&gt;"",NOT(ISNUMBER(L680))),IFERROR(MOD(L680,1),1)&gt;0,AND(ISNUMBER(L680),OR(L680&lt;0,L680&gt;95))),"Введите целое число от 0 до 95",IF(OR(AND(J680&lt;&gt;"",NOT(ISNUMBER(J680))),IFERROR(MOD(J680,1),1)&gt;0,AND(ISNUMBER(J680),OR(J680&lt;50,J680&gt;20000000))),"Введите целое число от 50 до 20000000",IF(NOT(ABS(IFERROR(VALUE(LEFT(M680,FIND("-",M680)-1)),M680)*100-(5000+2000000000)/2)&lt;=ABS(5000-2000000000)/2),"Цена со скидкой должна быть от 50 до 20000000",IF(IFERROR(VALUE(LEFT(M680,FIND("-",M680)-1)),M680)*229&lt;71100,"Вы уменьшили цену в несколько раз, товар попадет в карантин цен","")))),"")</f>
      </c>
    </row>
    <row r="681">
      <c r="A681" s="2" t="inlineStr">
        <is>
          <t>CuteShop</t>
        </is>
      </c>
      <c r="B681" s="2" t="inlineStr">
        <is>
          <t>Держатели для пустышек</t>
        </is>
      </c>
      <c r="C681" s="2">
        <v>146345607</v>
      </c>
      <c r="D681" s="2" t="inlineStr">
        <is>
          <t>LukaPanda</t>
        </is>
      </c>
      <c r="E681" s="2" t="inlineStr">
        <is>
          <t>2037465393482</t>
        </is>
      </c>
      <c r="F681" s="2">
        <v>0</v>
      </c>
      <c r="G681" s="2">
        <v>0</v>
      </c>
      <c r="H681" s="2" t="inlineStr">
        <is>
          <t/>
        </is>
      </c>
      <c r="I681" s="2" t="inlineStr">
        <is>
          <t>1030</t>
        </is>
      </c>
      <c r="J681" s="4"/>
      <c r="K681" s="2">
        <v>10</v>
      </c>
      <c r="L681" s="6"/>
      <c r="M681" s="2" t="str">
        <f>IF(J681="",ROUND(I681*(1-IF(ISBLANK(L681),K681,L681)/100),2),ROUND(J681*(1-IF(ISBLANK(L681),K681,L681)/100),2))</f>
      </c>
      <c r="N681" s="7" t="str">
        <f>IF(NOT(AND(J681="",L681="")),IF(OR(AND(L681&lt;&gt;"",NOT(ISNUMBER(L681))),IFERROR(MOD(L681,1),1)&gt;0,AND(ISNUMBER(L681),OR(L681&lt;0,L681&gt;95))),"Введите целое число от 0 до 95",IF(OR(AND(J681&lt;&gt;"",NOT(ISNUMBER(J681))),IFERROR(MOD(J681,1),1)&gt;0,AND(ISNUMBER(J681),OR(J681&lt;50,J681&gt;20000000))),"Введите целое число от 50 до 20000000",IF(NOT(ABS(IFERROR(VALUE(LEFT(M681,FIND("-",M681)-1)),M681)*100-(5000+2000000000)/2)&lt;=ABS(5000-2000000000)/2),"Цена со скидкой должна быть от 50 до 20000000",IF(IFERROR(VALUE(LEFT(M681,FIND("-",M681)-1)),M681)*229&lt;92700,"Вы уменьшили цену в несколько раз, товар попадет в карантин цен","")))),"")</f>
      </c>
    </row>
    <row r="682">
      <c r="A682" s="2" t="inlineStr">
        <is>
          <t>CuteShop</t>
        </is>
      </c>
      <c r="B682" s="2" t="inlineStr">
        <is>
          <t>Держатели для пустышек</t>
        </is>
      </c>
      <c r="C682" s="2">
        <v>217977343</v>
      </c>
      <c r="D682" s="2" t="inlineStr">
        <is>
          <t>MayaLama</t>
        </is>
      </c>
      <c r="E682" s="2" t="inlineStr">
        <is>
          <t>2039673976778</t>
        </is>
      </c>
      <c r="F682" s="2">
        <v>0</v>
      </c>
      <c r="G682" s="2">
        <v>1</v>
      </c>
      <c r="H682" s="2" t="inlineStr">
        <is>
          <t/>
        </is>
      </c>
      <c r="I682" s="2" t="inlineStr">
        <is>
          <t>1030</t>
        </is>
      </c>
      <c r="J682" s="4"/>
      <c r="K682" s="2">
        <v>10</v>
      </c>
      <c r="L682" s="6"/>
      <c r="M682" s="2" t="str">
        <f>IF(J682="",ROUND(I682*(1-IF(ISBLANK(L682),K682,L682)/100),2),ROUND(J682*(1-IF(ISBLANK(L682),K682,L682)/100),2))</f>
      </c>
      <c r="N682" s="7" t="str">
        <f>IF(NOT(AND(J682="",L682="")),IF(OR(AND(L682&lt;&gt;"",NOT(ISNUMBER(L682))),IFERROR(MOD(L682,1),1)&gt;0,AND(ISNUMBER(L682),OR(L682&lt;0,L682&gt;95))),"Введите целое число от 0 до 95",IF(OR(AND(J682&lt;&gt;"",NOT(ISNUMBER(J682))),IFERROR(MOD(J682,1),1)&gt;0,AND(ISNUMBER(J682),OR(J682&lt;50,J682&gt;20000000))),"Введите целое число от 50 до 20000000",IF(NOT(ABS(IFERROR(VALUE(LEFT(M682,FIND("-",M682)-1)),M682)*100-(5000+2000000000)/2)&lt;=ABS(5000-2000000000)/2),"Цена со скидкой должна быть от 50 до 20000000",IF(IFERROR(VALUE(LEFT(M682,FIND("-",M682)-1)),M682)*229&lt;92700,"Вы уменьшили цену в несколько раз, товар попадет в карантин цен","")))),"")</f>
      </c>
    </row>
    <row r="683">
      <c r="A683" s="2" t="inlineStr">
        <is>
          <t>CuteShop</t>
        </is>
      </c>
      <c r="B683" s="2" t="inlineStr">
        <is>
          <t>Держатели для пустышек</t>
        </is>
      </c>
      <c r="C683" s="2">
        <v>112949848</v>
      </c>
      <c r="D683" s="2" t="inlineStr">
        <is>
          <t>AndreyZhBG</t>
        </is>
      </c>
      <c r="E683" s="2" t="inlineStr">
        <is>
          <t>2038997781624</t>
        </is>
      </c>
      <c r="F683" s="2">
        <v>0</v>
      </c>
      <c r="G683" s="2">
        <v>1</v>
      </c>
      <c r="H683" s="2">
        <v>0</v>
      </c>
      <c r="I683" s="2" t="inlineStr">
        <is>
          <t>790</t>
        </is>
      </c>
      <c r="J683" s="4"/>
      <c r="K683" s="2">
        <v>10</v>
      </c>
      <c r="L683" s="6"/>
      <c r="M683" s="2" t="str">
        <f>IF(J683="",ROUND(I683*(1-IF(ISBLANK(L683),K683,L683)/100),2),ROUND(J683*(1-IF(ISBLANK(L683),K683,L683)/100),2))</f>
      </c>
      <c r="N683" s="7" t="str">
        <f>IF(NOT(AND(J683="",L683="")),IF(OR(AND(L683&lt;&gt;"",NOT(ISNUMBER(L683))),IFERROR(MOD(L683,1),1)&gt;0,AND(ISNUMBER(L683),OR(L683&lt;0,L683&gt;95))),"Введите целое число от 0 до 95",IF(OR(AND(J683&lt;&gt;"",NOT(ISNUMBER(J683))),IFERROR(MOD(J683,1),1)&gt;0,AND(ISNUMBER(J683),OR(J683&lt;50,J683&gt;20000000))),"Введите целое число от 50 до 20000000",IF(NOT(ABS(IFERROR(VALUE(LEFT(M683,FIND("-",M683)-1)),M683)*100-(5000+2000000000)/2)&lt;=ABS(5000-2000000000)/2),"Цена со скидкой должна быть от 50 до 20000000",IF(IFERROR(VALUE(LEFT(M683,FIND("-",M683)-1)),M683)*229&lt;71100,"Вы уменьшили цену в несколько раз, товар попадет в карантин цен","")))),"")</f>
      </c>
    </row>
    <row r="684">
      <c r="A684" s="2" t="inlineStr">
        <is>
          <t>CuteShop</t>
        </is>
      </c>
      <c r="B684" s="2" t="inlineStr">
        <is>
          <t>Держатели для пустышек</t>
        </is>
      </c>
      <c r="C684" s="2">
        <v>146348572</v>
      </c>
      <c r="D684" s="2" t="inlineStr">
        <is>
          <t>SaveliyPanda</t>
        </is>
      </c>
      <c r="E684" s="2" t="inlineStr">
        <is>
          <t>2037465481493</t>
        </is>
      </c>
      <c r="F684" s="2">
        <v>0</v>
      </c>
      <c r="G684" s="2">
        <v>1</v>
      </c>
      <c r="H684" s="2">
        <v>0</v>
      </c>
      <c r="I684" s="2" t="inlineStr">
        <is>
          <t>1030</t>
        </is>
      </c>
      <c r="J684" s="4"/>
      <c r="K684" s="2">
        <v>10</v>
      </c>
      <c r="L684" s="6"/>
      <c r="M684" s="2" t="str">
        <f>IF(J684="",ROUND(I684*(1-IF(ISBLANK(L684),K684,L684)/100),2),ROUND(J684*(1-IF(ISBLANK(L684),K684,L684)/100),2))</f>
      </c>
      <c r="N684" s="7" t="str">
        <f>IF(NOT(AND(J684="",L684="")),IF(OR(AND(L684&lt;&gt;"",NOT(ISNUMBER(L684))),IFERROR(MOD(L684,1),1)&gt;0,AND(ISNUMBER(L684),OR(L684&lt;0,L684&gt;95))),"Введите целое число от 0 до 95",IF(OR(AND(J684&lt;&gt;"",NOT(ISNUMBER(J684))),IFERROR(MOD(J684,1),1)&gt;0,AND(ISNUMBER(J684),OR(J684&lt;50,J684&gt;20000000))),"Введите целое число от 50 до 20000000",IF(NOT(ABS(IFERROR(VALUE(LEFT(M684,FIND("-",M684)-1)),M684)*100-(5000+2000000000)/2)&lt;=ABS(5000-2000000000)/2),"Цена со скидкой должна быть от 50 до 20000000",IF(IFERROR(VALUE(LEFT(M684,FIND("-",M684)-1)),M684)*229&lt;92700,"Вы уменьшили цену в несколько раз, товар попадет в карантин цен","")))),"")</f>
      </c>
    </row>
    <row r="685">
      <c r="A685" s="2" t="inlineStr">
        <is>
          <t>CuteShop</t>
        </is>
      </c>
      <c r="B685" s="2" t="inlineStr">
        <is>
          <t>Держатели для пустышек</t>
        </is>
      </c>
      <c r="C685" s="2">
        <v>112956192</v>
      </c>
      <c r="D685" s="2" t="inlineStr">
        <is>
          <t>LeraEdin1</t>
        </is>
      </c>
      <c r="E685" s="2" t="inlineStr">
        <is>
          <t>2039001166628</t>
        </is>
      </c>
      <c r="F685" s="2">
        <v>0</v>
      </c>
      <c r="G685" s="2">
        <v>0</v>
      </c>
      <c r="H685" s="2">
        <v>0</v>
      </c>
      <c r="I685" s="2" t="inlineStr">
        <is>
          <t>1030</t>
        </is>
      </c>
      <c r="J685" s="4"/>
      <c r="K685" s="2">
        <v>10</v>
      </c>
      <c r="L685" s="6"/>
      <c r="M685" s="2" t="str">
        <f>IF(J685="",ROUND(I685*(1-IF(ISBLANK(L685),K685,L685)/100),2),ROUND(J685*(1-IF(ISBLANK(L685),K685,L685)/100),2))</f>
      </c>
      <c r="N685" s="7" t="str">
        <f>IF(NOT(AND(J685="",L685="")),IF(OR(AND(L685&lt;&gt;"",NOT(ISNUMBER(L685))),IFERROR(MOD(L685,1),1)&gt;0,AND(ISNUMBER(L685),OR(L685&lt;0,L685&gt;95))),"Введите целое число от 0 до 95",IF(OR(AND(J685&lt;&gt;"",NOT(ISNUMBER(J685))),IFERROR(MOD(J685,1),1)&gt;0,AND(ISNUMBER(J685),OR(J685&lt;50,J685&gt;20000000))),"Введите целое число от 50 до 20000000",IF(NOT(ABS(IFERROR(VALUE(LEFT(M685,FIND("-",M685)-1)),M685)*100-(5000+2000000000)/2)&lt;=ABS(5000-2000000000)/2),"Цена со скидкой должна быть от 50 до 20000000",IF(IFERROR(VALUE(LEFT(M685,FIND("-",M685)-1)),M685)*229&lt;92700,"Вы уменьшили цену в несколько раз, товар попадет в карантин цен","")))),"")</f>
      </c>
    </row>
    <row r="686">
      <c r="A686" s="2" t="inlineStr">
        <is>
          <t>CuteShop</t>
        </is>
      </c>
      <c r="B686" s="2" t="inlineStr">
        <is>
          <t>Держатели для пустышек</t>
        </is>
      </c>
      <c r="C686" s="2">
        <v>112956196</v>
      </c>
      <c r="D686" s="2" t="inlineStr">
        <is>
          <t>LeraMish1</t>
        </is>
      </c>
      <c r="E686" s="2" t="inlineStr">
        <is>
          <t>2039001238622</t>
        </is>
      </c>
      <c r="F686" s="2">
        <v>0</v>
      </c>
      <c r="G686" s="2">
        <v>1</v>
      </c>
      <c r="H686" s="2">
        <v>0</v>
      </c>
      <c r="I686" s="2" t="inlineStr">
        <is>
          <t>1030</t>
        </is>
      </c>
      <c r="J686" s="4"/>
      <c r="K686" s="2">
        <v>10</v>
      </c>
      <c r="L686" s="6"/>
      <c r="M686" s="2" t="str">
        <f>IF(J686="",ROUND(I686*(1-IF(ISBLANK(L686),K686,L686)/100),2),ROUND(J686*(1-IF(ISBLANK(L686),K686,L686)/100),2))</f>
      </c>
      <c r="N686" s="7" t="str">
        <f>IF(NOT(AND(J686="",L686="")),IF(OR(AND(L686&lt;&gt;"",NOT(ISNUMBER(L686))),IFERROR(MOD(L686,1),1)&gt;0,AND(ISNUMBER(L686),OR(L686&lt;0,L686&gt;95))),"Введите целое число от 0 до 95",IF(OR(AND(J686&lt;&gt;"",NOT(ISNUMBER(J686))),IFERROR(MOD(J686,1),1)&gt;0,AND(ISNUMBER(J686),OR(J686&lt;50,J686&gt;20000000))),"Введите целое число от 50 до 20000000",IF(NOT(ABS(IFERROR(VALUE(LEFT(M686,FIND("-",M686)-1)),M686)*100-(5000+2000000000)/2)&lt;=ABS(5000-2000000000)/2),"Цена со скидкой должна быть от 50 до 20000000",IF(IFERROR(VALUE(LEFT(M686,FIND("-",M686)-1)),M686)*229&lt;92700,"Вы уменьшили цену в несколько раз, товар попадет в карантин цен","")))),"")</f>
      </c>
    </row>
    <row r="687">
      <c r="A687" s="2" t="inlineStr">
        <is>
          <t>CuteShop</t>
        </is>
      </c>
      <c r="B687" s="2" t="inlineStr">
        <is>
          <t>Держатели для пустышек</t>
        </is>
      </c>
      <c r="C687" s="2">
        <v>147641320</v>
      </c>
      <c r="D687" s="2" t="inlineStr">
        <is>
          <t>RomanMish</t>
        </is>
      </c>
      <c r="E687" s="2" t="inlineStr">
        <is>
          <t>2037497875413</t>
        </is>
      </c>
      <c r="F687" s="2">
        <v>0</v>
      </c>
      <c r="G687" s="2">
        <v>1</v>
      </c>
      <c r="H687" s="2">
        <v>1</v>
      </c>
      <c r="I687" s="2" t="inlineStr">
        <is>
          <t>1020</t>
        </is>
      </c>
      <c r="J687" s="4"/>
      <c r="K687" s="2">
        <v>10</v>
      </c>
      <c r="L687" s="6"/>
      <c r="M687" s="2" t="str">
        <f>IF(J687="",ROUND(I687*(1-IF(ISBLANK(L687),K687,L687)/100),2),ROUND(J687*(1-IF(ISBLANK(L687),K687,L687)/100),2))</f>
      </c>
      <c r="N687" s="7" t="str">
        <f>IF(NOT(AND(J687="",L687="")),IF(OR(AND(L687&lt;&gt;"",NOT(ISNUMBER(L687))),IFERROR(MOD(L687,1),1)&gt;0,AND(ISNUMBER(L687),OR(L687&lt;0,L687&gt;95))),"Введите целое число от 0 до 95",IF(OR(AND(J687&lt;&gt;"",NOT(ISNUMBER(J687))),IFERROR(MOD(J687,1),1)&gt;0,AND(ISNUMBER(J687),OR(J687&lt;50,J687&gt;20000000))),"Введите целое число от 50 до 20000000",IF(NOT(ABS(IFERROR(VALUE(LEFT(M687,FIND("-",M687)-1)),M687)*100-(5000+2000000000)/2)&lt;=ABS(5000-2000000000)/2),"Цена со скидкой должна быть от 50 до 20000000",IF(IFERROR(VALUE(LEFT(M687,FIND("-",M687)-1)),M687)*229&lt;91800,"Вы уменьшили цену в несколько раз, товар попадет в карантин цен","")))),"")</f>
      </c>
    </row>
    <row r="688">
      <c r="A688" s="2" t="inlineStr">
        <is>
          <t>CuteShop</t>
        </is>
      </c>
      <c r="B688" s="2" t="inlineStr">
        <is>
          <t>Держатели для пустышек</t>
        </is>
      </c>
      <c r="C688" s="2">
        <v>254607365</v>
      </c>
      <c r="D688" s="2" t="inlineStr">
        <is>
          <t>Derzh-Dev6</t>
        </is>
      </c>
      <c r="E688" s="2" t="inlineStr">
        <is>
          <t>2040985079002</t>
        </is>
      </c>
      <c r="F688" s="2">
        <v>0</v>
      </c>
      <c r="G688" s="2">
        <v>1</v>
      </c>
      <c r="H688" s="2" t="inlineStr">
        <is>
          <t/>
        </is>
      </c>
      <c r="I688" s="2" t="inlineStr">
        <is>
          <t>450</t>
        </is>
      </c>
      <c r="J688" s="4"/>
      <c r="K688" s="2">
        <v>3</v>
      </c>
      <c r="L688" s="6"/>
      <c r="M688" s="2" t="str">
        <f>IF(J688="",ROUND(I688*(1-IF(ISBLANK(L688),K688,L688)/100),2),ROUND(J688*(1-IF(ISBLANK(L688),K688,L688)/100),2))</f>
      </c>
      <c r="N688" s="7" t="str">
        <f>IF(NOT(AND(J688="",L688="")),IF(OR(AND(L688&lt;&gt;"",NOT(ISNUMBER(L688))),IFERROR(MOD(L688,1),1)&gt;0,AND(ISNUMBER(L688),OR(L688&lt;0,L688&gt;95))),"Введите целое число от 0 до 95",IF(OR(AND(J688&lt;&gt;"",NOT(ISNUMBER(J688))),IFERROR(MOD(J688,1),1)&gt;0,AND(ISNUMBER(J688),OR(J688&lt;50,J688&gt;20000000))),"Введите целое число от 50 до 20000000",IF(NOT(ABS(IFERROR(VALUE(LEFT(M688,FIND("-",M688)-1)),M688)*100-(5000+2000000000)/2)&lt;=ABS(5000-2000000000)/2),"Цена со скидкой должна быть от 50 до 20000000",IF(IFERROR(VALUE(LEFT(M688,FIND("-",M688)-1)),M688)*229&lt;43650,"Вы уменьшили цену в несколько раз, товар попадет в карантин цен","")))),"")</f>
      </c>
    </row>
    <row r="689">
      <c r="A689" s="2" t="inlineStr">
        <is>
          <t>CuteShop</t>
        </is>
      </c>
      <c r="B689" s="2" t="inlineStr">
        <is>
          <t>Держатели для пустышек</t>
        </is>
      </c>
      <c r="C689" s="2">
        <v>111017435</v>
      </c>
      <c r="D689" s="2" t="inlineStr">
        <is>
          <t>MarkMish</t>
        </is>
      </c>
      <c r="E689" s="2" t="inlineStr">
        <is>
          <t>2037419386621</t>
        </is>
      </c>
      <c r="F689" s="2">
        <v>0</v>
      </c>
      <c r="G689" s="2">
        <v>0</v>
      </c>
      <c r="H689" s="2">
        <v>0</v>
      </c>
      <c r="I689" s="2" t="inlineStr">
        <is>
          <t>1030</t>
        </is>
      </c>
      <c r="J689" s="4"/>
      <c r="K689" s="2">
        <v>10</v>
      </c>
      <c r="L689" s="6"/>
      <c r="M689" s="2" t="str">
        <f>IF(J689="",ROUND(I689*(1-IF(ISBLANK(L689),K689,L689)/100),2),ROUND(J689*(1-IF(ISBLANK(L689),K689,L689)/100),2))</f>
      </c>
      <c r="N689" s="7" t="str">
        <f>IF(NOT(AND(J689="",L689="")),IF(OR(AND(L689&lt;&gt;"",NOT(ISNUMBER(L689))),IFERROR(MOD(L689,1),1)&gt;0,AND(ISNUMBER(L689),OR(L689&lt;0,L689&gt;95))),"Введите целое число от 0 до 95",IF(OR(AND(J689&lt;&gt;"",NOT(ISNUMBER(J689))),IFERROR(MOD(J689,1),1)&gt;0,AND(ISNUMBER(J689),OR(J689&lt;50,J689&gt;20000000))),"Введите целое число от 50 до 20000000",IF(NOT(ABS(IFERROR(VALUE(LEFT(M689,FIND("-",M689)-1)),M689)*100-(5000+2000000000)/2)&lt;=ABS(5000-2000000000)/2),"Цена со скидкой должна быть от 50 до 20000000",IF(IFERROR(VALUE(LEFT(M689,FIND("-",M689)-1)),M689)*229&lt;92700,"Вы уменьшили цену в несколько раз, товар попадет в карантин цен","")))),"")</f>
      </c>
    </row>
    <row r="690">
      <c r="A690" s="2" t="inlineStr">
        <is>
          <t>CuteShop</t>
        </is>
      </c>
      <c r="B690" s="2" t="inlineStr">
        <is>
          <t>Держатели для пустышек</t>
        </is>
      </c>
      <c r="C690" s="2">
        <v>173354687</v>
      </c>
      <c r="D690" s="2" t="inlineStr">
        <is>
          <t>MishelMish</t>
        </is>
      </c>
      <c r="E690" s="2" t="inlineStr">
        <is>
          <t>2038381978234</t>
        </is>
      </c>
      <c r="F690" s="2">
        <v>0</v>
      </c>
      <c r="G690" s="2">
        <v>1</v>
      </c>
      <c r="H690" s="2">
        <v>0</v>
      </c>
      <c r="I690" s="2" t="inlineStr">
        <is>
          <t>1030</t>
        </is>
      </c>
      <c r="J690" s="4"/>
      <c r="K690" s="2">
        <v>10</v>
      </c>
      <c r="L690" s="6"/>
      <c r="M690" s="2" t="str">
        <f>IF(J690="",ROUND(I690*(1-IF(ISBLANK(L690),K690,L690)/100),2),ROUND(J690*(1-IF(ISBLANK(L690),K690,L690)/100),2))</f>
      </c>
      <c r="N690" s="7" t="str">
        <f>IF(NOT(AND(J690="",L690="")),IF(OR(AND(L690&lt;&gt;"",NOT(ISNUMBER(L690))),IFERROR(MOD(L690,1),1)&gt;0,AND(ISNUMBER(L690),OR(L690&lt;0,L690&gt;95))),"Введите целое число от 0 до 95",IF(OR(AND(J690&lt;&gt;"",NOT(ISNUMBER(J690))),IFERROR(MOD(J690,1),1)&gt;0,AND(ISNUMBER(J690),OR(J690&lt;50,J690&gt;20000000))),"Введите целое число от 50 до 20000000",IF(NOT(ABS(IFERROR(VALUE(LEFT(M690,FIND("-",M690)-1)),M690)*100-(5000+2000000000)/2)&lt;=ABS(5000-2000000000)/2),"Цена со скидкой должна быть от 50 до 20000000",IF(IFERROR(VALUE(LEFT(M690,FIND("-",M690)-1)),M690)*229&lt;92700,"Вы уменьшили цену в несколько раз, товар попадет в карантин цен","")))),"")</f>
      </c>
    </row>
    <row r="691">
      <c r="A691" s="2" t="inlineStr">
        <is>
          <t>CuteShop</t>
        </is>
      </c>
      <c r="B691" s="2" t="inlineStr">
        <is>
          <t>Держатели для пустышек</t>
        </is>
      </c>
      <c r="C691" s="2">
        <v>147844219</v>
      </c>
      <c r="D691" s="2" t="inlineStr">
        <is>
          <t>VovochkaMish</t>
        </is>
      </c>
      <c r="E691" s="2" t="inlineStr">
        <is>
          <t>2037502986820</t>
        </is>
      </c>
      <c r="F691" s="2">
        <v>0</v>
      </c>
      <c r="G691" s="2">
        <v>1</v>
      </c>
      <c r="H691" s="2">
        <v>0</v>
      </c>
      <c r="I691" s="2" t="inlineStr">
        <is>
          <t>1030</t>
        </is>
      </c>
      <c r="J691" s="4"/>
      <c r="K691" s="2">
        <v>10</v>
      </c>
      <c r="L691" s="6"/>
      <c r="M691" s="2" t="str">
        <f>IF(J691="",ROUND(I691*(1-IF(ISBLANK(L691),K691,L691)/100),2),ROUND(J691*(1-IF(ISBLANK(L691),K691,L691)/100),2))</f>
      </c>
      <c r="N691" s="7" t="str">
        <f>IF(NOT(AND(J691="",L691="")),IF(OR(AND(L691&lt;&gt;"",NOT(ISNUMBER(L691))),IFERROR(MOD(L691,1),1)&gt;0,AND(ISNUMBER(L691),OR(L691&lt;0,L691&gt;95))),"Введите целое число от 0 до 95",IF(OR(AND(J691&lt;&gt;"",NOT(ISNUMBER(J691))),IFERROR(MOD(J691,1),1)&gt;0,AND(ISNUMBER(J691),OR(J691&lt;50,J691&gt;20000000))),"Введите целое число от 50 до 20000000",IF(NOT(ABS(IFERROR(VALUE(LEFT(M691,FIND("-",M691)-1)),M691)*100-(5000+2000000000)/2)&lt;=ABS(5000-2000000000)/2),"Цена со скидкой должна быть от 50 до 20000000",IF(IFERROR(VALUE(LEFT(M691,FIND("-",M691)-1)),M691)*229&lt;92700,"Вы уменьшили цену в несколько раз, товар попадет в карантин цен","")))),"")</f>
      </c>
    </row>
    <row r="692">
      <c r="A692" s="2" t="inlineStr">
        <is>
          <t>CuteShop</t>
        </is>
      </c>
      <c r="B692" s="2" t="inlineStr">
        <is>
          <t>Держатели для пустышек</t>
        </is>
      </c>
      <c r="C692" s="2">
        <v>112401361</v>
      </c>
      <c r="D692" s="2" t="inlineStr">
        <is>
          <t>KatyushaSlon</t>
        </is>
      </c>
      <c r="E692" s="2" t="inlineStr">
        <is>
          <t>2038791013624</t>
        </is>
      </c>
      <c r="F692" s="2">
        <v>0</v>
      </c>
      <c r="G692" s="2">
        <v>1</v>
      </c>
      <c r="H692" s="2">
        <v>0</v>
      </c>
      <c r="I692" s="2" t="inlineStr">
        <is>
          <t>1030</t>
        </is>
      </c>
      <c r="J692" s="4"/>
      <c r="K692" s="2">
        <v>10</v>
      </c>
      <c r="L692" s="6"/>
      <c r="M692" s="2" t="str">
        <f>IF(J692="",ROUND(I692*(1-IF(ISBLANK(L692),K692,L692)/100),2),ROUND(J692*(1-IF(ISBLANK(L692),K692,L692)/100),2))</f>
      </c>
      <c r="N692" s="7" t="str">
        <f>IF(NOT(AND(J692="",L692="")),IF(OR(AND(L692&lt;&gt;"",NOT(ISNUMBER(L692))),IFERROR(MOD(L692,1),1)&gt;0,AND(ISNUMBER(L692),OR(L692&lt;0,L692&gt;95))),"Введите целое число от 0 до 95",IF(OR(AND(J692&lt;&gt;"",NOT(ISNUMBER(J692))),IFERROR(MOD(J692,1),1)&gt;0,AND(ISNUMBER(J692),OR(J692&lt;50,J692&gt;20000000))),"Введите целое число от 50 до 20000000",IF(NOT(ABS(IFERROR(VALUE(LEFT(M692,FIND("-",M692)-1)),M692)*100-(5000+2000000000)/2)&lt;=ABS(5000-2000000000)/2),"Цена со скидкой должна быть от 50 до 20000000",IF(IFERROR(VALUE(LEFT(M692,FIND("-",M692)-1)),M692)*229&lt;92700,"Вы уменьшили цену в несколько раз, товар попадет в карантин цен","")))),"")</f>
      </c>
    </row>
    <row r="693">
      <c r="A693" s="2" t="inlineStr">
        <is>
          <t>CuteShop</t>
        </is>
      </c>
      <c r="B693" s="2" t="inlineStr">
        <is>
          <t>Держатели для пустышек</t>
        </is>
      </c>
      <c r="C693" s="2">
        <v>156252843</v>
      </c>
      <c r="D693" s="2" t="inlineStr">
        <is>
          <t>YulechkaBG</t>
        </is>
      </c>
      <c r="E693" s="2" t="inlineStr">
        <is>
          <t>2037706480803</t>
        </is>
      </c>
      <c r="F693" s="2">
        <v>0</v>
      </c>
      <c r="G693" s="2">
        <v>1</v>
      </c>
      <c r="H693" s="2">
        <v>0</v>
      </c>
      <c r="I693" s="2" t="inlineStr">
        <is>
          <t>790</t>
        </is>
      </c>
      <c r="J693" s="4"/>
      <c r="K693" s="2">
        <v>10</v>
      </c>
      <c r="L693" s="6"/>
      <c r="M693" s="2" t="str">
        <f>IF(J693="",ROUND(I693*(1-IF(ISBLANK(L693),K693,L693)/100),2),ROUND(J693*(1-IF(ISBLANK(L693),K693,L693)/100),2))</f>
      </c>
      <c r="N693" s="7" t="str">
        <f>IF(NOT(AND(J693="",L693="")),IF(OR(AND(L693&lt;&gt;"",NOT(ISNUMBER(L693))),IFERROR(MOD(L693,1),1)&gt;0,AND(ISNUMBER(L693),OR(L693&lt;0,L693&gt;95))),"Введите целое число от 0 до 95",IF(OR(AND(J693&lt;&gt;"",NOT(ISNUMBER(J693))),IFERROR(MOD(J693,1),1)&gt;0,AND(ISNUMBER(J693),OR(J693&lt;50,J693&gt;20000000))),"Введите целое число от 50 до 20000000",IF(NOT(ABS(IFERROR(VALUE(LEFT(M693,FIND("-",M693)-1)),M693)*100-(5000+2000000000)/2)&lt;=ABS(5000-2000000000)/2),"Цена со скидкой должна быть от 50 до 20000000",IF(IFERROR(VALUE(LEFT(M693,FIND("-",M693)-1)),M693)*229&lt;71100,"Вы уменьшили цену в несколько раз, товар попадет в карантин цен","")))),"")</f>
      </c>
    </row>
    <row r="694">
      <c r="A694" s="2" t="inlineStr">
        <is>
          <t>CuteShop</t>
        </is>
      </c>
      <c r="B694" s="2" t="inlineStr">
        <is>
          <t>Держатели для пустышек</t>
        </is>
      </c>
      <c r="C694" s="2">
        <v>112371118</v>
      </c>
      <c r="D694" s="2" t="inlineStr">
        <is>
          <t>SenyaArsMishMyat</t>
        </is>
      </c>
      <c r="E694" s="2" t="inlineStr">
        <is>
          <t>2038782787626</t>
        </is>
      </c>
      <c r="F694" s="2">
        <v>0</v>
      </c>
      <c r="G694" s="2">
        <v>1</v>
      </c>
      <c r="H694" s="2">
        <v>0</v>
      </c>
      <c r="I694" s="2" t="inlineStr">
        <is>
          <t>1030</t>
        </is>
      </c>
      <c r="J694" s="4"/>
      <c r="K694" s="2">
        <v>10</v>
      </c>
      <c r="L694" s="6"/>
      <c r="M694" s="2" t="str">
        <f>IF(J694="",ROUND(I694*(1-IF(ISBLANK(L694),K694,L694)/100),2),ROUND(J694*(1-IF(ISBLANK(L694),K694,L694)/100),2))</f>
      </c>
      <c r="N694" s="7" t="str">
        <f>IF(NOT(AND(J694="",L694="")),IF(OR(AND(L694&lt;&gt;"",NOT(ISNUMBER(L694))),IFERROR(MOD(L694,1),1)&gt;0,AND(ISNUMBER(L694),OR(L694&lt;0,L694&gt;95))),"Введите целое число от 0 до 95",IF(OR(AND(J694&lt;&gt;"",NOT(ISNUMBER(J694))),IFERROR(MOD(J694,1),1)&gt;0,AND(ISNUMBER(J694),OR(J694&lt;50,J694&gt;20000000))),"Введите целое число от 50 до 20000000",IF(NOT(ABS(IFERROR(VALUE(LEFT(M694,FIND("-",M694)-1)),M694)*100-(5000+2000000000)/2)&lt;=ABS(5000-2000000000)/2),"Цена со скидкой должна быть от 50 до 20000000",IF(IFERROR(VALUE(LEFT(M694,FIND("-",M694)-1)),M694)*229&lt;92700,"Вы уменьшили цену в несколько раз, товар попадет в карантин цен","")))),"")</f>
      </c>
    </row>
    <row r="695">
      <c r="A695" s="2" t="inlineStr">
        <is>
          <t>CuteShop</t>
        </is>
      </c>
      <c r="B695" s="2" t="inlineStr">
        <is>
          <t>Держатели для пустышек</t>
        </is>
      </c>
      <c r="C695" s="2">
        <v>112388131</v>
      </c>
      <c r="D695" s="2" t="inlineStr">
        <is>
          <t>DimaMishB</t>
        </is>
      </c>
      <c r="E695" s="2" t="inlineStr">
        <is>
          <t>2038784128625</t>
        </is>
      </c>
      <c r="F695" s="2">
        <v>0</v>
      </c>
      <c r="G695" s="2">
        <v>1</v>
      </c>
      <c r="H695" s="2">
        <v>0</v>
      </c>
      <c r="I695" s="2" t="inlineStr">
        <is>
          <t>1030</t>
        </is>
      </c>
      <c r="J695" s="4"/>
      <c r="K695" s="2">
        <v>10</v>
      </c>
      <c r="L695" s="6"/>
      <c r="M695" s="2" t="str">
        <f>IF(J695="",ROUND(I695*(1-IF(ISBLANK(L695),K695,L695)/100),2),ROUND(J695*(1-IF(ISBLANK(L695),K695,L695)/100),2))</f>
      </c>
      <c r="N695" s="7" t="str">
        <f>IF(NOT(AND(J695="",L695="")),IF(OR(AND(L695&lt;&gt;"",NOT(ISNUMBER(L695))),IFERROR(MOD(L695,1),1)&gt;0,AND(ISNUMBER(L695),OR(L695&lt;0,L695&gt;95))),"Введите целое число от 0 до 95",IF(OR(AND(J695&lt;&gt;"",NOT(ISNUMBER(J695))),IFERROR(MOD(J695,1),1)&gt;0,AND(ISNUMBER(J695),OR(J695&lt;50,J695&gt;20000000))),"Введите целое число от 50 до 20000000",IF(NOT(ABS(IFERROR(VALUE(LEFT(M695,FIND("-",M695)-1)),M695)*100-(5000+2000000000)/2)&lt;=ABS(5000-2000000000)/2),"Цена со скидкой должна быть от 50 до 20000000",IF(IFERROR(VALUE(LEFT(M695,FIND("-",M695)-1)),M695)*229&lt;92700,"Вы уменьшили цену в несколько раз, товар попадет в карантин цен","")))),"")</f>
      </c>
    </row>
    <row r="696">
      <c r="A696" s="2" t="inlineStr">
        <is>
          <t>CuteShop</t>
        </is>
      </c>
      <c r="B696" s="2" t="inlineStr">
        <is>
          <t>Держатели для пустышек</t>
        </is>
      </c>
      <c r="C696" s="2">
        <v>314698729</v>
      </c>
      <c r="D696" s="2" t="inlineStr">
        <is>
          <t>DenisKit</t>
        </is>
      </c>
      <c r="E696" s="2" t="inlineStr">
        <is>
          <t>2042539571079</t>
        </is>
      </c>
      <c r="F696" s="2">
        <v>0</v>
      </c>
      <c r="G696" s="2">
        <v>0</v>
      </c>
      <c r="H696" s="2" t="inlineStr">
        <is>
          <t/>
        </is>
      </c>
      <c r="I696" s="2" t="inlineStr">
        <is>
          <t>1030</t>
        </is>
      </c>
      <c r="J696" s="4"/>
      <c r="K696" s="2">
        <v>10</v>
      </c>
      <c r="L696" s="6"/>
      <c r="M696" s="2" t="str">
        <f>IF(J696="",ROUND(I696*(1-IF(ISBLANK(L696),K696,L696)/100),2),ROUND(J696*(1-IF(ISBLANK(L696),K696,L696)/100),2))</f>
      </c>
      <c r="N696" s="7" t="str">
        <f>IF(NOT(AND(J696="",L696="")),IF(OR(AND(L696&lt;&gt;"",NOT(ISNUMBER(L696))),IFERROR(MOD(L696,1),1)&gt;0,AND(ISNUMBER(L696),OR(L696&lt;0,L696&gt;95))),"Введите целое число от 0 до 95",IF(OR(AND(J696&lt;&gt;"",NOT(ISNUMBER(J696))),IFERROR(MOD(J696,1),1)&gt;0,AND(ISNUMBER(J696),OR(J696&lt;50,J696&gt;20000000))),"Введите целое число от 50 до 20000000",IF(NOT(ABS(IFERROR(VALUE(LEFT(M696,FIND("-",M696)-1)),M696)*100-(5000+2000000000)/2)&lt;=ABS(5000-2000000000)/2),"Цена со скидкой должна быть от 50 до 20000000",IF(IFERROR(VALUE(LEFT(M696,FIND("-",M696)-1)),M696)*229&lt;92700,"Вы уменьшили цену в несколько раз, товар попадет в карантин цен","")))),"")</f>
      </c>
    </row>
    <row r="697">
      <c r="A697" s="2" t="inlineStr">
        <is>
          <t>CuteShop</t>
        </is>
      </c>
      <c r="B697" s="2" t="inlineStr">
        <is>
          <t>Держатели для пустышек</t>
        </is>
      </c>
      <c r="C697" s="2">
        <v>153128971</v>
      </c>
      <c r="D697" s="2" t="inlineStr">
        <is>
          <t>RenatKot2</t>
        </is>
      </c>
      <c r="E697" s="2" t="inlineStr">
        <is>
          <t>2037628427924</t>
        </is>
      </c>
      <c r="F697" s="2">
        <v>0</v>
      </c>
      <c r="G697" s="2">
        <v>0</v>
      </c>
      <c r="H697" s="2" t="inlineStr">
        <is>
          <t/>
        </is>
      </c>
      <c r="I697" s="2" t="inlineStr">
        <is>
          <t>1030</t>
        </is>
      </c>
      <c r="J697" s="4"/>
      <c r="K697" s="2">
        <v>10</v>
      </c>
      <c r="L697" s="6"/>
      <c r="M697" s="2" t="str">
        <f>IF(J697="",ROUND(I697*(1-IF(ISBLANK(L697),K697,L697)/100),2),ROUND(J697*(1-IF(ISBLANK(L697),K697,L697)/100),2))</f>
      </c>
      <c r="N697" s="7" t="str">
        <f>IF(NOT(AND(J697="",L697="")),IF(OR(AND(L697&lt;&gt;"",NOT(ISNUMBER(L697))),IFERROR(MOD(L697,1),1)&gt;0,AND(ISNUMBER(L697),OR(L697&lt;0,L697&gt;95))),"Введите целое число от 0 до 95",IF(OR(AND(J697&lt;&gt;"",NOT(ISNUMBER(J697))),IFERROR(MOD(J697,1),1)&gt;0,AND(ISNUMBER(J697),OR(J697&lt;50,J697&gt;20000000))),"Введите целое число от 50 до 20000000",IF(NOT(ABS(IFERROR(VALUE(LEFT(M697,FIND("-",M697)-1)),M697)*100-(5000+2000000000)/2)&lt;=ABS(5000-2000000000)/2),"Цена со скидкой должна быть от 50 до 20000000",IF(IFERROR(VALUE(LEFT(M697,FIND("-",M697)-1)),M697)*229&lt;92700,"Вы уменьшили цену в несколько раз, товар попадет в карантин цен","")))),"")</f>
      </c>
    </row>
    <row r="698">
      <c r="A698" s="2" t="inlineStr">
        <is>
          <t>CuteShop</t>
        </is>
      </c>
      <c r="B698" s="2" t="inlineStr">
        <is>
          <t>Держатели для пустышек</t>
        </is>
      </c>
      <c r="C698" s="2">
        <v>112399651</v>
      </c>
      <c r="D698" s="2" t="inlineStr">
        <is>
          <t>MiyaMedv</t>
        </is>
      </c>
      <c r="E698" s="2" t="inlineStr">
        <is>
          <t>2038790329627</t>
        </is>
      </c>
      <c r="F698" s="2">
        <v>0</v>
      </c>
      <c r="G698" s="2">
        <v>0</v>
      </c>
      <c r="H698" s="2">
        <v>0</v>
      </c>
      <c r="I698" s="2" t="inlineStr">
        <is>
          <t>1030</t>
        </is>
      </c>
      <c r="J698" s="4"/>
      <c r="K698" s="2">
        <v>10</v>
      </c>
      <c r="L698" s="6"/>
      <c r="M698" s="2" t="str">
        <f>IF(J698="",ROUND(I698*(1-IF(ISBLANK(L698),K698,L698)/100),2),ROUND(J698*(1-IF(ISBLANK(L698),K698,L698)/100),2))</f>
      </c>
      <c r="N698" s="7" t="str">
        <f>IF(NOT(AND(J698="",L698="")),IF(OR(AND(L698&lt;&gt;"",NOT(ISNUMBER(L698))),IFERROR(MOD(L698,1),1)&gt;0,AND(ISNUMBER(L698),OR(L698&lt;0,L698&gt;95))),"Введите целое число от 0 до 95",IF(OR(AND(J698&lt;&gt;"",NOT(ISNUMBER(J698))),IFERROR(MOD(J698,1),1)&gt;0,AND(ISNUMBER(J698),OR(J698&lt;50,J698&gt;20000000))),"Введите целое число от 50 до 20000000",IF(NOT(ABS(IFERROR(VALUE(LEFT(M698,FIND("-",M698)-1)),M698)*100-(5000+2000000000)/2)&lt;=ABS(5000-2000000000)/2),"Цена со скидкой должна быть от 50 до 20000000",IF(IFERROR(VALUE(LEFT(M698,FIND("-",M698)-1)),M698)*229&lt;92700,"Вы уменьшили цену в несколько раз, товар попадет в карантин цен","")))),"")</f>
      </c>
    </row>
    <row r="699">
      <c r="A699" s="2" t="inlineStr">
        <is>
          <t>CuteShop</t>
        </is>
      </c>
      <c r="B699" s="2" t="inlineStr">
        <is>
          <t>Держатели для пустышек</t>
        </is>
      </c>
      <c r="C699" s="2">
        <v>111038442</v>
      </c>
      <c r="D699" s="2" t="inlineStr">
        <is>
          <t>LevZhiraf</t>
        </is>
      </c>
      <c r="E699" s="2" t="inlineStr">
        <is>
          <t>2037478889620</t>
        </is>
      </c>
      <c r="F699" s="2">
        <v>0</v>
      </c>
      <c r="G699" s="2">
        <v>0</v>
      </c>
      <c r="H699" s="2" t="inlineStr">
        <is>
          <t/>
        </is>
      </c>
      <c r="I699" s="2" t="inlineStr">
        <is>
          <t>1030</t>
        </is>
      </c>
      <c r="J699" s="4"/>
      <c r="K699" s="2">
        <v>10</v>
      </c>
      <c r="L699" s="6"/>
      <c r="M699" s="2" t="str">
        <f>IF(J699="",ROUND(I699*(1-IF(ISBLANK(L699),K699,L699)/100),2),ROUND(J699*(1-IF(ISBLANK(L699),K699,L699)/100),2))</f>
      </c>
      <c r="N699" s="7" t="str">
        <f>IF(NOT(AND(J699="",L699="")),IF(OR(AND(L699&lt;&gt;"",NOT(ISNUMBER(L699))),IFERROR(MOD(L699,1),1)&gt;0,AND(ISNUMBER(L699),OR(L699&lt;0,L699&gt;95))),"Введите целое число от 0 до 95",IF(OR(AND(J699&lt;&gt;"",NOT(ISNUMBER(J699))),IFERROR(MOD(J699,1),1)&gt;0,AND(ISNUMBER(J699),OR(J699&lt;50,J699&gt;20000000))),"Введите целое число от 50 до 20000000",IF(NOT(ABS(IFERROR(VALUE(LEFT(M699,FIND("-",M699)-1)),M699)*100-(5000+2000000000)/2)&lt;=ABS(5000-2000000000)/2),"Цена со скидкой должна быть от 50 до 20000000",IF(IFERROR(VALUE(LEFT(M699,FIND("-",M699)-1)),M699)*229&lt;92700,"Вы уменьшили цену в несколько раз, товар попадет в карантин цен","")))),"")</f>
      </c>
    </row>
    <row r="700">
      <c r="A700" s="2" t="inlineStr">
        <is>
          <t>CuteShop</t>
        </is>
      </c>
      <c r="B700" s="2" t="inlineStr">
        <is>
          <t>Держатели для пустышек</t>
        </is>
      </c>
      <c r="C700" s="2">
        <v>160787769</v>
      </c>
      <c r="D700" s="2" t="inlineStr">
        <is>
          <t>SaveliyKit</t>
        </is>
      </c>
      <c r="E700" s="2" t="inlineStr">
        <is>
          <t>2037825901111</t>
        </is>
      </c>
      <c r="F700" s="2">
        <v>0</v>
      </c>
      <c r="G700" s="2">
        <v>0</v>
      </c>
      <c r="H700" s="2">
        <v>0</v>
      </c>
      <c r="I700" s="2" t="inlineStr">
        <is>
          <t>1020</t>
        </is>
      </c>
      <c r="J700" s="4"/>
      <c r="K700" s="2">
        <v>10</v>
      </c>
      <c r="L700" s="6"/>
      <c r="M700" s="2" t="str">
        <f>IF(J700="",ROUND(I700*(1-IF(ISBLANK(L700),K700,L700)/100),2),ROUND(J700*(1-IF(ISBLANK(L700),K700,L700)/100),2))</f>
      </c>
      <c r="N700" s="7" t="str">
        <f>IF(NOT(AND(J700="",L700="")),IF(OR(AND(L700&lt;&gt;"",NOT(ISNUMBER(L700))),IFERROR(MOD(L700,1),1)&gt;0,AND(ISNUMBER(L700),OR(L700&lt;0,L700&gt;95))),"Введите целое число от 0 до 95",IF(OR(AND(J700&lt;&gt;"",NOT(ISNUMBER(J700))),IFERROR(MOD(J700,1),1)&gt;0,AND(ISNUMBER(J700),OR(J700&lt;50,J700&gt;20000000))),"Введите целое число от 50 до 20000000",IF(NOT(ABS(IFERROR(VALUE(LEFT(M700,FIND("-",M700)-1)),M700)*100-(5000+2000000000)/2)&lt;=ABS(5000-2000000000)/2),"Цена со скидкой должна быть от 50 до 20000000",IF(IFERROR(VALUE(LEFT(M700,FIND("-",M700)-1)),M700)*229&lt;91800,"Вы уменьшили цену в несколько раз, товар попадет в карантин цен","")))),"")</f>
      </c>
    </row>
    <row r="701">
      <c r="A701" s="2" t="inlineStr">
        <is>
          <t>CuteShop</t>
        </is>
      </c>
      <c r="B701" s="2" t="inlineStr">
        <is>
          <t>Держатели для пустышек</t>
        </is>
      </c>
      <c r="C701" s="2">
        <v>245136169</v>
      </c>
      <c r="D701" s="2" t="inlineStr">
        <is>
          <t>TemochkaTigr</t>
        </is>
      </c>
      <c r="E701" s="2" t="inlineStr">
        <is>
          <t>2040698816017</t>
        </is>
      </c>
      <c r="F701" s="2">
        <v>0</v>
      </c>
      <c r="G701" s="2">
        <v>1</v>
      </c>
      <c r="H701" s="2" t="inlineStr">
        <is>
          <t/>
        </is>
      </c>
      <c r="I701" s="2" t="inlineStr">
        <is>
          <t>980</t>
        </is>
      </c>
      <c r="J701" s="4"/>
      <c r="K701" s="2">
        <v>10</v>
      </c>
      <c r="L701" s="6"/>
      <c r="M701" s="2" t="str">
        <f>IF(J701="",ROUND(I701*(1-IF(ISBLANK(L701),K701,L701)/100),2),ROUND(J701*(1-IF(ISBLANK(L701),K701,L701)/100),2))</f>
      </c>
      <c r="N701" s="7" t="str">
        <f>IF(NOT(AND(J701="",L701="")),IF(OR(AND(L701&lt;&gt;"",NOT(ISNUMBER(L701))),IFERROR(MOD(L701,1),1)&gt;0,AND(ISNUMBER(L701),OR(L701&lt;0,L701&gt;95))),"Введите целое число от 0 до 95",IF(OR(AND(J701&lt;&gt;"",NOT(ISNUMBER(J701))),IFERROR(MOD(J701,1),1)&gt;0,AND(ISNUMBER(J701),OR(J701&lt;50,J701&gt;20000000))),"Введите целое число от 50 до 20000000",IF(NOT(ABS(IFERROR(VALUE(LEFT(M701,FIND("-",M701)-1)),M701)*100-(5000+2000000000)/2)&lt;=ABS(5000-2000000000)/2),"Цена со скидкой должна быть от 50 до 20000000",IF(IFERROR(VALUE(LEFT(M701,FIND("-",M701)-1)),M701)*229&lt;88200,"Вы уменьшили цену в несколько раз, товар попадет в карантин цен","")))),"")</f>
      </c>
    </row>
    <row r="702">
      <c r="A702" s="2" t="inlineStr">
        <is>
          <t>CuteShop</t>
        </is>
      </c>
      <c r="B702" s="2" t="inlineStr">
        <is>
          <t>Держатели для пустышек</t>
        </is>
      </c>
      <c r="C702" s="2">
        <v>145484660</v>
      </c>
      <c r="D702" s="2" t="inlineStr">
        <is>
          <t>VaryaBG2</t>
        </is>
      </c>
      <c r="E702" s="2" t="inlineStr">
        <is>
          <t>2037441505267</t>
        </is>
      </c>
      <c r="F702" s="2">
        <v>0</v>
      </c>
      <c r="G702" s="2">
        <v>1</v>
      </c>
      <c r="H702" s="2">
        <v>0</v>
      </c>
      <c r="I702" s="2" t="inlineStr">
        <is>
          <t>790</t>
        </is>
      </c>
      <c r="J702" s="4"/>
      <c r="K702" s="2">
        <v>10</v>
      </c>
      <c r="L702" s="6"/>
      <c r="M702" s="2" t="str">
        <f>IF(J702="",ROUND(I702*(1-IF(ISBLANK(L702),K702,L702)/100),2),ROUND(J702*(1-IF(ISBLANK(L702),K702,L702)/100),2))</f>
      </c>
      <c r="N702" s="7" t="str">
        <f>IF(NOT(AND(J702="",L702="")),IF(OR(AND(L702&lt;&gt;"",NOT(ISNUMBER(L702))),IFERROR(MOD(L702,1),1)&gt;0,AND(ISNUMBER(L702),OR(L702&lt;0,L702&gt;95))),"Введите целое число от 0 до 95",IF(OR(AND(J702&lt;&gt;"",NOT(ISNUMBER(J702))),IFERROR(MOD(J702,1),1)&gt;0,AND(ISNUMBER(J702),OR(J702&lt;50,J702&gt;20000000))),"Введите целое число от 50 до 20000000",IF(NOT(ABS(IFERROR(VALUE(LEFT(M702,FIND("-",M702)-1)),M702)*100-(5000+2000000000)/2)&lt;=ABS(5000-2000000000)/2),"Цена со скидкой должна быть от 50 до 20000000",IF(IFERROR(VALUE(LEFT(M702,FIND("-",M702)-1)),M702)*229&lt;71100,"Вы уменьшили цену в несколько раз, товар попадет в карантин цен","")))),"")</f>
      </c>
    </row>
    <row r="703">
      <c r="A703" s="2" t="inlineStr">
        <is>
          <t>CuteShop</t>
        </is>
      </c>
      <c r="B703" s="2" t="inlineStr">
        <is>
          <t>Держатели для пустышек</t>
        </is>
      </c>
      <c r="C703" s="2">
        <v>138600812</v>
      </c>
      <c r="D703" s="2" t="inlineStr">
        <is>
          <t>TanushkaKoala</t>
        </is>
      </c>
      <c r="E703" s="2" t="inlineStr">
        <is>
          <t>2037248835901</t>
        </is>
      </c>
      <c r="F703" s="2">
        <v>0</v>
      </c>
      <c r="G703" s="2">
        <v>1</v>
      </c>
      <c r="H703" s="2">
        <v>0</v>
      </c>
      <c r="I703" s="2" t="inlineStr">
        <is>
          <t>1030</t>
        </is>
      </c>
      <c r="J703" s="4"/>
      <c r="K703" s="2">
        <v>10</v>
      </c>
      <c r="L703" s="6"/>
      <c r="M703" s="2" t="str">
        <f>IF(J703="",ROUND(I703*(1-IF(ISBLANK(L703),K703,L703)/100),2),ROUND(J703*(1-IF(ISBLANK(L703),K703,L703)/100),2))</f>
      </c>
      <c r="N703" s="7" t="str">
        <f>IF(NOT(AND(J703="",L703="")),IF(OR(AND(L703&lt;&gt;"",NOT(ISNUMBER(L703))),IFERROR(MOD(L703,1),1)&gt;0,AND(ISNUMBER(L703),OR(L703&lt;0,L703&gt;95))),"Введите целое число от 0 до 95",IF(OR(AND(J703&lt;&gt;"",NOT(ISNUMBER(J703))),IFERROR(MOD(J703,1),1)&gt;0,AND(ISNUMBER(J703),OR(J703&lt;50,J703&gt;20000000))),"Введите целое число от 50 до 20000000",IF(NOT(ABS(IFERROR(VALUE(LEFT(M703,FIND("-",M703)-1)),M703)*100-(5000+2000000000)/2)&lt;=ABS(5000-2000000000)/2),"Цена со скидкой должна быть от 50 до 20000000",IF(IFERROR(VALUE(LEFT(M703,FIND("-",M703)-1)),M703)*229&lt;92700,"Вы уменьшили цену в несколько раз, товар попадет в карантин цен","")))),"")</f>
      </c>
    </row>
    <row r="704">
      <c r="A704" s="2" t="inlineStr">
        <is>
          <t>CuteShop</t>
        </is>
      </c>
      <c r="B704" s="2" t="inlineStr">
        <is>
          <t>Держатели для пустышек</t>
        </is>
      </c>
      <c r="C704" s="2">
        <v>111034079</v>
      </c>
      <c r="D704" s="2" t="inlineStr">
        <is>
          <t>VaryaMish1</t>
        </is>
      </c>
      <c r="E704" s="2" t="inlineStr">
        <is>
          <t>2037469257629</t>
        </is>
      </c>
      <c r="F704" s="2">
        <v>0</v>
      </c>
      <c r="G704" s="2">
        <v>0</v>
      </c>
      <c r="H704" s="2">
        <v>0</v>
      </c>
      <c r="I704" s="2" t="inlineStr">
        <is>
          <t>1030</t>
        </is>
      </c>
      <c r="J704" s="4"/>
      <c r="K704" s="2">
        <v>10</v>
      </c>
      <c r="L704" s="6"/>
      <c r="M704" s="2" t="str">
        <f>IF(J704="",ROUND(I704*(1-IF(ISBLANK(L704),K704,L704)/100),2),ROUND(J704*(1-IF(ISBLANK(L704),K704,L704)/100),2))</f>
      </c>
      <c r="N704" s="7" t="str">
        <f>IF(NOT(AND(J704="",L704="")),IF(OR(AND(L704&lt;&gt;"",NOT(ISNUMBER(L704))),IFERROR(MOD(L704,1),1)&gt;0,AND(ISNUMBER(L704),OR(L704&lt;0,L704&gt;95))),"Введите целое число от 0 до 95",IF(OR(AND(J704&lt;&gt;"",NOT(ISNUMBER(J704))),IFERROR(MOD(J704,1),1)&gt;0,AND(ISNUMBER(J704),OR(J704&lt;50,J704&gt;20000000))),"Введите целое число от 50 до 20000000",IF(NOT(ABS(IFERROR(VALUE(LEFT(M704,FIND("-",M704)-1)),M704)*100-(5000+2000000000)/2)&lt;=ABS(5000-2000000000)/2),"Цена со скидкой должна быть от 50 до 20000000",IF(IFERROR(VALUE(LEFT(M704,FIND("-",M704)-1)),M704)*229&lt;92700,"Вы уменьшили цену в несколько раз, товар попадет в карантин цен","")))),"")</f>
      </c>
    </row>
    <row r="705">
      <c r="A705" s="2" t="inlineStr">
        <is>
          <t>CuteShop</t>
        </is>
      </c>
      <c r="B705" s="2" t="inlineStr">
        <is>
          <t>Держатели для пустышек</t>
        </is>
      </c>
      <c r="C705" s="2">
        <v>138637461</v>
      </c>
      <c r="D705" s="2" t="inlineStr">
        <is>
          <t>TanechkaMish</t>
        </is>
      </c>
      <c r="E705" s="2" t="inlineStr">
        <is>
          <t>2037249300361</t>
        </is>
      </c>
      <c r="F705" s="2">
        <v>0</v>
      </c>
      <c r="G705" s="2">
        <v>1</v>
      </c>
      <c r="H705" s="2">
        <v>0</v>
      </c>
      <c r="I705" s="2" t="inlineStr">
        <is>
          <t>1030</t>
        </is>
      </c>
      <c r="J705" s="4"/>
      <c r="K705" s="2">
        <v>10</v>
      </c>
      <c r="L705" s="6"/>
      <c r="M705" s="2" t="str">
        <f>IF(J705="",ROUND(I705*(1-IF(ISBLANK(L705),K705,L705)/100),2),ROUND(J705*(1-IF(ISBLANK(L705),K705,L705)/100),2))</f>
      </c>
      <c r="N705" s="7" t="str">
        <f>IF(NOT(AND(J705="",L705="")),IF(OR(AND(L705&lt;&gt;"",NOT(ISNUMBER(L705))),IFERROR(MOD(L705,1),1)&gt;0,AND(ISNUMBER(L705),OR(L705&lt;0,L705&gt;95))),"Введите целое число от 0 до 95",IF(OR(AND(J705&lt;&gt;"",NOT(ISNUMBER(J705))),IFERROR(MOD(J705,1),1)&gt;0,AND(ISNUMBER(J705),OR(J705&lt;50,J705&gt;20000000))),"Введите целое число от 50 до 20000000",IF(NOT(ABS(IFERROR(VALUE(LEFT(M705,FIND("-",M705)-1)),M705)*100-(5000+2000000000)/2)&lt;=ABS(5000-2000000000)/2),"Цена со скидкой должна быть от 50 до 20000000",IF(IFERROR(VALUE(LEFT(M705,FIND("-",M705)-1)),M705)*229&lt;92700,"Вы уменьшили цену в несколько раз, товар попадет в карантин цен","")))),"")</f>
      </c>
    </row>
    <row r="706">
      <c r="A706" s="2" t="inlineStr">
        <is>
          <t>CuteShop</t>
        </is>
      </c>
      <c r="B706" s="2" t="inlineStr">
        <is>
          <t>Держатели для пустышек</t>
        </is>
      </c>
      <c r="C706" s="2">
        <v>153823032</v>
      </c>
      <c r="D706" s="2" t="inlineStr">
        <is>
          <t>SonyaEdin</t>
        </is>
      </c>
      <c r="E706" s="2" t="inlineStr">
        <is>
          <t>2037641453757</t>
        </is>
      </c>
      <c r="F706" s="2">
        <v>0</v>
      </c>
      <c r="G706" s="2">
        <v>0</v>
      </c>
      <c r="H706" s="2">
        <v>0</v>
      </c>
      <c r="I706" s="2" t="inlineStr">
        <is>
          <t>1030</t>
        </is>
      </c>
      <c r="J706" s="4"/>
      <c r="K706" s="2">
        <v>10</v>
      </c>
      <c r="L706" s="6"/>
      <c r="M706" s="2" t="str">
        <f>IF(J706="",ROUND(I706*(1-IF(ISBLANK(L706),K706,L706)/100),2),ROUND(J706*(1-IF(ISBLANK(L706),K706,L706)/100),2))</f>
      </c>
      <c r="N706" s="7" t="str">
        <f>IF(NOT(AND(J706="",L706="")),IF(OR(AND(L706&lt;&gt;"",NOT(ISNUMBER(L706))),IFERROR(MOD(L706,1),1)&gt;0,AND(ISNUMBER(L706),OR(L706&lt;0,L706&gt;95))),"Введите целое число от 0 до 95",IF(OR(AND(J706&lt;&gt;"",NOT(ISNUMBER(J706))),IFERROR(MOD(J706,1),1)&gt;0,AND(ISNUMBER(J706),OR(J706&lt;50,J706&gt;20000000))),"Введите целое число от 50 до 20000000",IF(NOT(ABS(IFERROR(VALUE(LEFT(M706,FIND("-",M706)-1)),M706)*100-(5000+2000000000)/2)&lt;=ABS(5000-2000000000)/2),"Цена со скидкой должна быть от 50 до 20000000",IF(IFERROR(VALUE(LEFT(M706,FIND("-",M706)-1)),M706)*229&lt;92700,"Вы уменьшили цену в несколько раз, товар попадет в карантин цен","")))),"")</f>
      </c>
    </row>
    <row r="707">
      <c r="A707" s="2" t="inlineStr">
        <is>
          <t>CuteShop</t>
        </is>
      </c>
      <c r="B707" s="2" t="inlineStr">
        <is>
          <t>Держатели для пустышек</t>
        </is>
      </c>
      <c r="C707" s="2">
        <v>145493481</v>
      </c>
      <c r="D707" s="2" t="inlineStr">
        <is>
          <t>OliviyaMish</t>
        </is>
      </c>
      <c r="E707" s="2" t="inlineStr">
        <is>
          <t>2037441675922</t>
        </is>
      </c>
      <c r="F707" s="2">
        <v>0</v>
      </c>
      <c r="G707" s="2">
        <v>1</v>
      </c>
      <c r="H707" s="2" t="inlineStr">
        <is>
          <t/>
        </is>
      </c>
      <c r="I707" s="2" t="inlineStr">
        <is>
          <t>1030</t>
        </is>
      </c>
      <c r="J707" s="4"/>
      <c r="K707" s="2">
        <v>10</v>
      </c>
      <c r="L707" s="6"/>
      <c r="M707" s="2" t="str">
        <f>IF(J707="",ROUND(I707*(1-IF(ISBLANK(L707),K707,L707)/100),2),ROUND(J707*(1-IF(ISBLANK(L707),K707,L707)/100),2))</f>
      </c>
      <c r="N707" s="7" t="str">
        <f>IF(NOT(AND(J707="",L707="")),IF(OR(AND(L707&lt;&gt;"",NOT(ISNUMBER(L707))),IFERROR(MOD(L707,1),1)&gt;0,AND(ISNUMBER(L707),OR(L707&lt;0,L707&gt;95))),"Введите целое число от 0 до 95",IF(OR(AND(J707&lt;&gt;"",NOT(ISNUMBER(J707))),IFERROR(MOD(J707,1),1)&gt;0,AND(ISNUMBER(J707),OR(J707&lt;50,J707&gt;20000000))),"Введите целое число от 50 до 20000000",IF(NOT(ABS(IFERROR(VALUE(LEFT(M707,FIND("-",M707)-1)),M707)*100-(5000+2000000000)/2)&lt;=ABS(5000-2000000000)/2),"Цена со скидкой должна быть от 50 до 20000000",IF(IFERROR(VALUE(LEFT(M707,FIND("-",M707)-1)),M707)*229&lt;92700,"Вы уменьшили цену в несколько раз, товар попадет в карантин цен","")))),"")</f>
      </c>
    </row>
    <row r="708">
      <c r="A708" s="2" t="inlineStr">
        <is>
          <t>CuteShop</t>
        </is>
      </c>
      <c r="B708" s="2" t="inlineStr">
        <is>
          <t>Держатели для пустышек</t>
        </is>
      </c>
      <c r="C708" s="2">
        <v>100699140</v>
      </c>
      <c r="D708" s="2" t="inlineStr">
        <is>
          <t>NazarKot</t>
        </is>
      </c>
      <c r="E708" s="2" t="inlineStr">
        <is>
          <t>2036814611802</t>
        </is>
      </c>
      <c r="F708" s="2">
        <v>0</v>
      </c>
      <c r="G708" s="2">
        <v>0</v>
      </c>
      <c r="H708" s="2" t="inlineStr">
        <is>
          <t/>
        </is>
      </c>
      <c r="I708" s="2" t="inlineStr">
        <is>
          <t>1030</t>
        </is>
      </c>
      <c r="J708" s="4"/>
      <c r="K708" s="2">
        <v>10</v>
      </c>
      <c r="L708" s="6"/>
      <c r="M708" s="2" t="str">
        <f>IF(J708="",ROUND(I708*(1-IF(ISBLANK(L708),K708,L708)/100),2),ROUND(J708*(1-IF(ISBLANK(L708),K708,L708)/100),2))</f>
      </c>
      <c r="N708" s="7" t="str">
        <f>IF(NOT(AND(J708="",L708="")),IF(OR(AND(L708&lt;&gt;"",NOT(ISNUMBER(L708))),IFERROR(MOD(L708,1),1)&gt;0,AND(ISNUMBER(L708),OR(L708&lt;0,L708&gt;95))),"Введите целое число от 0 до 95",IF(OR(AND(J708&lt;&gt;"",NOT(ISNUMBER(J708))),IFERROR(MOD(J708,1),1)&gt;0,AND(ISNUMBER(J708),OR(J708&lt;50,J708&gt;20000000))),"Введите целое число от 50 до 20000000",IF(NOT(ABS(IFERROR(VALUE(LEFT(M708,FIND("-",M708)-1)),M708)*100-(5000+2000000000)/2)&lt;=ABS(5000-2000000000)/2),"Цена со скидкой должна быть от 50 до 20000000",IF(IFERROR(VALUE(LEFT(M708,FIND("-",M708)-1)),M708)*229&lt;92700,"Вы уменьшили цену в несколько раз, товар попадет в карантин цен","")))),"")</f>
      </c>
    </row>
    <row r="709">
      <c r="A709" s="2" t="inlineStr">
        <is>
          <t>CuteShop</t>
        </is>
      </c>
      <c r="B709" s="2" t="inlineStr">
        <is>
          <t>Держатели для пустышек</t>
        </is>
      </c>
      <c r="C709" s="2">
        <v>99808214</v>
      </c>
      <c r="D709" s="2" t="inlineStr">
        <is>
          <t>MaratBG</t>
        </is>
      </c>
      <c r="E709" s="2" t="inlineStr">
        <is>
          <t>2036804111244</t>
        </is>
      </c>
      <c r="F709" s="2">
        <v>0</v>
      </c>
      <c r="G709" s="2">
        <v>1</v>
      </c>
      <c r="H709" s="2">
        <v>0</v>
      </c>
      <c r="I709" s="2" t="inlineStr">
        <is>
          <t>790</t>
        </is>
      </c>
      <c r="J709" s="4"/>
      <c r="K709" s="2">
        <v>10</v>
      </c>
      <c r="L709" s="6"/>
      <c r="M709" s="2" t="str">
        <f>IF(J709="",ROUND(I709*(1-IF(ISBLANK(L709),K709,L709)/100),2),ROUND(J709*(1-IF(ISBLANK(L709),K709,L709)/100),2))</f>
      </c>
      <c r="N709" s="7" t="str">
        <f>IF(NOT(AND(J709="",L709="")),IF(OR(AND(L709&lt;&gt;"",NOT(ISNUMBER(L709))),IFERROR(MOD(L709,1),1)&gt;0,AND(ISNUMBER(L709),OR(L709&lt;0,L709&gt;95))),"Введите целое число от 0 до 95",IF(OR(AND(J709&lt;&gt;"",NOT(ISNUMBER(J709))),IFERROR(MOD(J709,1),1)&gt;0,AND(ISNUMBER(J709),OR(J709&lt;50,J709&gt;20000000))),"Введите целое число от 50 до 20000000",IF(NOT(ABS(IFERROR(VALUE(LEFT(M709,FIND("-",M709)-1)),M709)*100-(5000+2000000000)/2)&lt;=ABS(5000-2000000000)/2),"Цена со скидкой должна быть от 50 до 20000000",IF(IFERROR(VALUE(LEFT(M709,FIND("-",M709)-1)),M709)*229&lt;71100,"Вы уменьшили цену в несколько раз, товар попадет в карантин цен","")))),"")</f>
      </c>
    </row>
    <row r="710">
      <c r="A710" s="2" t="inlineStr">
        <is>
          <t>CuteShop</t>
        </is>
      </c>
      <c r="B710" s="2" t="inlineStr">
        <is>
          <t>Держатели для пустышек</t>
        </is>
      </c>
      <c r="C710" s="2">
        <v>105656688</v>
      </c>
      <c r="D710" s="2" t="inlineStr">
        <is>
          <t>StepanPanda</t>
        </is>
      </c>
      <c r="E710" s="2" t="inlineStr">
        <is>
          <t>2036887649979</t>
        </is>
      </c>
      <c r="F710" s="2">
        <v>0</v>
      </c>
      <c r="G710" s="2">
        <v>1</v>
      </c>
      <c r="H710" s="2">
        <v>0</v>
      </c>
      <c r="I710" s="2" t="inlineStr">
        <is>
          <t>1030</t>
        </is>
      </c>
      <c r="J710" s="4"/>
      <c r="K710" s="2">
        <v>10</v>
      </c>
      <c r="L710" s="6"/>
      <c r="M710" s="2" t="str">
        <f>IF(J710="",ROUND(I710*(1-IF(ISBLANK(L710),K710,L710)/100),2),ROUND(J710*(1-IF(ISBLANK(L710),K710,L710)/100),2))</f>
      </c>
      <c r="N710" s="7" t="str">
        <f>IF(NOT(AND(J710="",L710="")),IF(OR(AND(L710&lt;&gt;"",NOT(ISNUMBER(L710))),IFERROR(MOD(L710,1),1)&gt;0,AND(ISNUMBER(L710),OR(L710&lt;0,L710&gt;95))),"Введите целое число от 0 до 95",IF(OR(AND(J710&lt;&gt;"",NOT(ISNUMBER(J710))),IFERROR(MOD(J710,1),1)&gt;0,AND(ISNUMBER(J710),OR(J710&lt;50,J710&gt;20000000))),"Введите целое число от 50 до 20000000",IF(NOT(ABS(IFERROR(VALUE(LEFT(M710,FIND("-",M710)-1)),M710)*100-(5000+2000000000)/2)&lt;=ABS(5000-2000000000)/2),"Цена со скидкой должна быть от 50 до 20000000",IF(IFERROR(VALUE(LEFT(M710,FIND("-",M710)-1)),M710)*229&lt;92700,"Вы уменьшили цену в несколько раз, товар попадет в карантин цен","")))),"")</f>
      </c>
    </row>
    <row r="711">
      <c r="A711" s="2" t="inlineStr">
        <is>
          <t>CuteShop</t>
        </is>
      </c>
      <c r="B711" s="2" t="inlineStr">
        <is>
          <t>Держатели для пустышек</t>
        </is>
      </c>
      <c r="C711" s="2">
        <v>100699139</v>
      </c>
      <c r="D711" s="2" t="inlineStr">
        <is>
          <t>NazarSob</t>
        </is>
      </c>
      <c r="E711" s="2" t="inlineStr">
        <is>
          <t>2036814609243</t>
        </is>
      </c>
      <c r="F711" s="2">
        <v>0</v>
      </c>
      <c r="G711" s="2">
        <v>0</v>
      </c>
      <c r="H711" s="2" t="inlineStr">
        <is>
          <t/>
        </is>
      </c>
      <c r="I711" s="2" t="inlineStr">
        <is>
          <t>1030</t>
        </is>
      </c>
      <c r="J711" s="4"/>
      <c r="K711" s="2">
        <v>10</v>
      </c>
      <c r="L711" s="6"/>
      <c r="M711" s="2" t="str">
        <f>IF(J711="",ROUND(I711*(1-IF(ISBLANK(L711),K711,L711)/100),2),ROUND(J711*(1-IF(ISBLANK(L711),K711,L711)/100),2))</f>
      </c>
      <c r="N711" s="7" t="str">
        <f>IF(NOT(AND(J711="",L711="")),IF(OR(AND(L711&lt;&gt;"",NOT(ISNUMBER(L711))),IFERROR(MOD(L711,1),1)&gt;0,AND(ISNUMBER(L711),OR(L711&lt;0,L711&gt;95))),"Введите целое число от 0 до 95",IF(OR(AND(J711&lt;&gt;"",NOT(ISNUMBER(J711))),IFERROR(MOD(J711,1),1)&gt;0,AND(ISNUMBER(J711),OR(J711&lt;50,J711&gt;20000000))),"Введите целое число от 50 до 20000000",IF(NOT(ABS(IFERROR(VALUE(LEFT(M711,FIND("-",M711)-1)),M711)*100-(5000+2000000000)/2)&lt;=ABS(5000-2000000000)/2),"Цена со скидкой должна быть от 50 до 20000000",IF(IFERROR(VALUE(LEFT(M711,FIND("-",M711)-1)),M711)*229&lt;92700,"Вы уменьшили цену в несколько раз, товар попадет в карантин цен","")))),"")</f>
      </c>
    </row>
    <row r="712">
      <c r="A712" s="2" t="inlineStr">
        <is>
          <t>CuteShop</t>
        </is>
      </c>
      <c r="B712" s="2" t="inlineStr">
        <is>
          <t>Держатели для пустышек</t>
        </is>
      </c>
      <c r="C712" s="2">
        <v>150475355</v>
      </c>
      <c r="D712" s="2" t="inlineStr">
        <is>
          <t>DashenkaKoshka</t>
        </is>
      </c>
      <c r="E712" s="2" t="inlineStr">
        <is>
          <t>2037574479497</t>
        </is>
      </c>
      <c r="F712" s="2">
        <v>0</v>
      </c>
      <c r="G712" s="2">
        <v>0</v>
      </c>
      <c r="H712" s="2">
        <v>0</v>
      </c>
      <c r="I712" s="2" t="inlineStr">
        <is>
          <t>1030</t>
        </is>
      </c>
      <c r="J712" s="4"/>
      <c r="K712" s="2">
        <v>10</v>
      </c>
      <c r="L712" s="6"/>
      <c r="M712" s="2" t="str">
        <f>IF(J712="",ROUND(I712*(1-IF(ISBLANK(L712),K712,L712)/100),2),ROUND(J712*(1-IF(ISBLANK(L712),K712,L712)/100),2))</f>
      </c>
      <c r="N712" s="7" t="str">
        <f>IF(NOT(AND(J712="",L712="")),IF(OR(AND(L712&lt;&gt;"",NOT(ISNUMBER(L712))),IFERROR(MOD(L712,1),1)&gt;0,AND(ISNUMBER(L712),OR(L712&lt;0,L712&gt;95))),"Введите целое число от 0 до 95",IF(OR(AND(J712&lt;&gt;"",NOT(ISNUMBER(J712))),IFERROR(MOD(J712,1),1)&gt;0,AND(ISNUMBER(J712),OR(J712&lt;50,J712&gt;20000000))),"Введите целое число от 50 до 20000000",IF(NOT(ABS(IFERROR(VALUE(LEFT(M712,FIND("-",M712)-1)),M712)*100-(5000+2000000000)/2)&lt;=ABS(5000-2000000000)/2),"Цена со скидкой должна быть от 50 до 20000000",IF(IFERROR(VALUE(LEFT(M712,FIND("-",M712)-1)),M712)*229&lt;92700,"Вы уменьшили цену в несколько раз, товар попадет в карантин цен","")))),"")</f>
      </c>
    </row>
    <row r="713">
      <c r="A713" s="2" t="inlineStr">
        <is>
          <t>CuteShop</t>
        </is>
      </c>
      <c r="B713" s="2" t="inlineStr">
        <is>
          <t>Держатели для пустышек</t>
        </is>
      </c>
      <c r="C713" s="2">
        <v>138637460</v>
      </c>
      <c r="D713" s="2" t="inlineStr">
        <is>
          <t>TanechkaZay</t>
        </is>
      </c>
      <c r="E713" s="2" t="inlineStr">
        <is>
          <t>2037249299955</t>
        </is>
      </c>
      <c r="F713" s="2">
        <v>0</v>
      </c>
      <c r="G713" s="2">
        <v>0</v>
      </c>
      <c r="H713" s="2">
        <v>1</v>
      </c>
      <c r="I713" s="2" t="inlineStr">
        <is>
          <t>1030</t>
        </is>
      </c>
      <c r="J713" s="4"/>
      <c r="K713" s="2">
        <v>10</v>
      </c>
      <c r="L713" s="6"/>
      <c r="M713" s="2" t="str">
        <f>IF(J713="",ROUND(I713*(1-IF(ISBLANK(L713),K713,L713)/100),2),ROUND(J713*(1-IF(ISBLANK(L713),K713,L713)/100),2))</f>
      </c>
      <c r="N713" s="7" t="str">
        <f>IF(NOT(AND(J713="",L713="")),IF(OR(AND(L713&lt;&gt;"",NOT(ISNUMBER(L713))),IFERROR(MOD(L713,1),1)&gt;0,AND(ISNUMBER(L713),OR(L713&lt;0,L713&gt;95))),"Введите целое число от 0 до 95",IF(OR(AND(J713&lt;&gt;"",NOT(ISNUMBER(J713))),IFERROR(MOD(J713,1),1)&gt;0,AND(ISNUMBER(J713),OR(J713&lt;50,J713&gt;20000000))),"Введите целое число от 50 до 20000000",IF(NOT(ABS(IFERROR(VALUE(LEFT(M713,FIND("-",M713)-1)),M713)*100-(5000+2000000000)/2)&lt;=ABS(5000-2000000000)/2),"Цена со скидкой должна быть от 50 до 20000000",IF(IFERROR(VALUE(LEFT(M713,FIND("-",M713)-1)),M713)*229&lt;92700,"Вы уменьшили цену в несколько раз, товар попадет в карантин цен","")))),"")</f>
      </c>
    </row>
    <row r="714">
      <c r="A714" s="2" t="inlineStr">
        <is>
          <t>CuteShop</t>
        </is>
      </c>
      <c r="B714" s="2" t="inlineStr">
        <is>
          <t>Держатели для пустышек</t>
        </is>
      </c>
      <c r="C714" s="2">
        <v>146342930</v>
      </c>
      <c r="D714" s="2" t="inlineStr">
        <is>
          <t>MartaBG1</t>
        </is>
      </c>
      <c r="E714" s="2" t="inlineStr">
        <is>
          <t>2037465305058</t>
        </is>
      </c>
      <c r="F714" s="2">
        <v>0</v>
      </c>
      <c r="G714" s="2">
        <v>1</v>
      </c>
      <c r="H714" s="2">
        <v>1</v>
      </c>
      <c r="I714" s="2" t="inlineStr">
        <is>
          <t>790</t>
        </is>
      </c>
      <c r="J714" s="4"/>
      <c r="K714" s="2">
        <v>10</v>
      </c>
      <c r="L714" s="6"/>
      <c r="M714" s="2" t="str">
        <f>IF(J714="",ROUND(I714*(1-IF(ISBLANK(L714),K714,L714)/100),2),ROUND(J714*(1-IF(ISBLANK(L714),K714,L714)/100),2))</f>
      </c>
      <c r="N714" s="7" t="str">
        <f>IF(NOT(AND(J714="",L714="")),IF(OR(AND(L714&lt;&gt;"",NOT(ISNUMBER(L714))),IFERROR(MOD(L714,1),1)&gt;0,AND(ISNUMBER(L714),OR(L714&lt;0,L714&gt;95))),"Введите целое число от 0 до 95",IF(OR(AND(J714&lt;&gt;"",NOT(ISNUMBER(J714))),IFERROR(MOD(J714,1),1)&gt;0,AND(ISNUMBER(J714),OR(J714&lt;50,J714&gt;20000000))),"Введите целое число от 50 до 20000000",IF(NOT(ABS(IFERROR(VALUE(LEFT(M714,FIND("-",M714)-1)),M714)*100-(5000+2000000000)/2)&lt;=ABS(5000-2000000000)/2),"Цена со скидкой должна быть от 50 до 20000000",IF(IFERROR(VALUE(LEFT(M714,FIND("-",M714)-1)),M714)*229&lt;71100,"Вы уменьшили цену в несколько раз, товар попадет в карантин цен","")))),"")</f>
      </c>
    </row>
    <row r="715">
      <c r="A715" s="2" t="inlineStr">
        <is>
          <t>CuteShop</t>
        </is>
      </c>
      <c r="B715" s="2" t="inlineStr">
        <is>
          <t>Держатели для пустышек</t>
        </is>
      </c>
      <c r="C715" s="2">
        <v>116433791</v>
      </c>
      <c r="D715" s="2" t="inlineStr">
        <is>
          <t>PolinaKoshka</t>
        </is>
      </c>
      <c r="E715" s="2" t="inlineStr">
        <is>
          <t>2041513424622</t>
        </is>
      </c>
      <c r="F715" s="2">
        <v>0</v>
      </c>
      <c r="G715" s="2">
        <v>0</v>
      </c>
      <c r="H715" s="2">
        <v>1</v>
      </c>
      <c r="I715" s="2" t="inlineStr">
        <is>
          <t>1030</t>
        </is>
      </c>
      <c r="J715" s="4"/>
      <c r="K715" s="2">
        <v>10</v>
      </c>
      <c r="L715" s="6"/>
      <c r="M715" s="2" t="str">
        <f>IF(J715="",ROUND(I715*(1-IF(ISBLANK(L715),K715,L715)/100),2),ROUND(J715*(1-IF(ISBLANK(L715),K715,L715)/100),2))</f>
      </c>
      <c r="N715" s="7" t="str">
        <f>IF(NOT(AND(J715="",L715="")),IF(OR(AND(L715&lt;&gt;"",NOT(ISNUMBER(L715))),IFERROR(MOD(L715,1),1)&gt;0,AND(ISNUMBER(L715),OR(L715&lt;0,L715&gt;95))),"Введите целое число от 0 до 95",IF(OR(AND(J715&lt;&gt;"",NOT(ISNUMBER(J715))),IFERROR(MOD(J715,1),1)&gt;0,AND(ISNUMBER(J715),OR(J715&lt;50,J715&gt;20000000))),"Введите целое число от 50 до 20000000",IF(NOT(ABS(IFERROR(VALUE(LEFT(M715,FIND("-",M715)-1)),M715)*100-(5000+2000000000)/2)&lt;=ABS(5000-2000000000)/2),"Цена со скидкой должна быть от 50 до 20000000",IF(IFERROR(VALUE(LEFT(M715,FIND("-",M715)-1)),M715)*229&lt;92700,"Вы уменьшили цену в несколько раз, товар попадет в карантин цен","")))),"")</f>
      </c>
    </row>
    <row r="716">
      <c r="A716" s="2" t="inlineStr">
        <is>
          <t>CuteShop</t>
        </is>
      </c>
      <c r="B716" s="2" t="inlineStr">
        <is>
          <t>Держатели для пустышек</t>
        </is>
      </c>
      <c r="C716" s="2">
        <v>150475645</v>
      </c>
      <c r="D716" s="2" t="inlineStr">
        <is>
          <t>DashaSob</t>
        </is>
      </c>
      <c r="E716" s="2" t="inlineStr">
        <is>
          <t>2037574527136</t>
        </is>
      </c>
      <c r="F716" s="2">
        <v>0</v>
      </c>
      <c r="G716" s="2">
        <v>0</v>
      </c>
      <c r="H716" s="2" t="inlineStr">
        <is>
          <t/>
        </is>
      </c>
      <c r="I716" s="2" t="inlineStr">
        <is>
          <t>1030</t>
        </is>
      </c>
      <c r="J716" s="4"/>
      <c r="K716" s="2">
        <v>10</v>
      </c>
      <c r="L716" s="6"/>
      <c r="M716" s="2" t="str">
        <f>IF(J716="",ROUND(I716*(1-IF(ISBLANK(L716),K716,L716)/100),2),ROUND(J716*(1-IF(ISBLANK(L716),K716,L716)/100),2))</f>
      </c>
      <c r="N716" s="7" t="str">
        <f>IF(NOT(AND(J716="",L716="")),IF(OR(AND(L716&lt;&gt;"",NOT(ISNUMBER(L716))),IFERROR(MOD(L716,1),1)&gt;0,AND(ISNUMBER(L716),OR(L716&lt;0,L716&gt;95))),"Введите целое число от 0 до 95",IF(OR(AND(J716&lt;&gt;"",NOT(ISNUMBER(J716))),IFERROR(MOD(J716,1),1)&gt;0,AND(ISNUMBER(J716),OR(J716&lt;50,J716&gt;20000000))),"Введите целое число от 50 до 20000000",IF(NOT(ABS(IFERROR(VALUE(LEFT(M716,FIND("-",M716)-1)),M716)*100-(5000+2000000000)/2)&lt;=ABS(5000-2000000000)/2),"Цена со скидкой должна быть от 50 до 20000000",IF(IFERROR(VALUE(LEFT(M716,FIND("-",M716)-1)),M716)*229&lt;92700,"Вы уменьшили цену в несколько раз, товар попадет в карантин цен","")))),"")</f>
      </c>
    </row>
    <row r="717">
      <c r="A717" s="2" t="inlineStr">
        <is>
          <t>CuteShop</t>
        </is>
      </c>
      <c r="B717" s="2" t="inlineStr">
        <is>
          <t>Держатели для пустышек</t>
        </is>
      </c>
      <c r="C717" s="2">
        <v>87674023</v>
      </c>
      <c r="D717" s="2" t="inlineStr">
        <is>
          <t>MilenaZay</t>
        </is>
      </c>
      <c r="E717" s="2" t="inlineStr">
        <is>
          <t>2034876357621</t>
        </is>
      </c>
      <c r="F717" s="2">
        <v>0</v>
      </c>
      <c r="G717" s="2">
        <v>1</v>
      </c>
      <c r="H717" s="2">
        <v>0</v>
      </c>
      <c r="I717" s="2" t="inlineStr">
        <is>
          <t>1030</t>
        </is>
      </c>
      <c r="J717" s="4"/>
      <c r="K717" s="2">
        <v>10</v>
      </c>
      <c r="L717" s="6"/>
      <c r="M717" s="2" t="str">
        <f>IF(J717="",ROUND(I717*(1-IF(ISBLANK(L717),K717,L717)/100),2),ROUND(J717*(1-IF(ISBLANK(L717),K717,L717)/100),2))</f>
      </c>
      <c r="N717" s="7" t="str">
        <f>IF(NOT(AND(J717="",L717="")),IF(OR(AND(L717&lt;&gt;"",NOT(ISNUMBER(L717))),IFERROR(MOD(L717,1),1)&gt;0,AND(ISNUMBER(L717),OR(L717&lt;0,L717&gt;95))),"Введите целое число от 0 до 95",IF(OR(AND(J717&lt;&gt;"",NOT(ISNUMBER(J717))),IFERROR(MOD(J717,1),1)&gt;0,AND(ISNUMBER(J717),OR(J717&lt;50,J717&gt;20000000))),"Введите целое число от 50 до 20000000",IF(NOT(ABS(IFERROR(VALUE(LEFT(M717,FIND("-",M717)-1)),M717)*100-(5000+2000000000)/2)&lt;=ABS(5000-2000000000)/2),"Цена со скидкой должна быть от 50 до 20000000",IF(IFERROR(VALUE(LEFT(M717,FIND("-",M717)-1)),M717)*229&lt;92700,"Вы уменьшили цену в несколько раз, товар попадет в карантин цен","")))),"")</f>
      </c>
    </row>
    <row r="718">
      <c r="A718" s="2" t="inlineStr">
        <is>
          <t>CuteShop</t>
        </is>
      </c>
      <c r="B718" s="2" t="inlineStr">
        <is>
          <t>Держатели для пустышек</t>
        </is>
      </c>
      <c r="C718" s="2">
        <v>314695219</v>
      </c>
      <c r="D718" s="2" t="inlineStr">
        <is>
          <t>DenisOlen</t>
        </is>
      </c>
      <c r="E718" s="2" t="inlineStr">
        <is>
          <t>2042539521395</t>
        </is>
      </c>
      <c r="F718" s="2">
        <v>0</v>
      </c>
      <c r="G718" s="2">
        <v>0</v>
      </c>
      <c r="H718" s="2" t="inlineStr">
        <is>
          <t/>
        </is>
      </c>
      <c r="I718" s="2" t="inlineStr">
        <is>
          <t>1030</t>
        </is>
      </c>
      <c r="J718" s="4"/>
      <c r="K718" s="2">
        <v>10</v>
      </c>
      <c r="L718" s="6"/>
      <c r="M718" s="2" t="str">
        <f>IF(J718="",ROUND(I718*(1-IF(ISBLANK(L718),K718,L718)/100),2),ROUND(J718*(1-IF(ISBLANK(L718),K718,L718)/100),2))</f>
      </c>
      <c r="N718" s="7" t="str">
        <f>IF(NOT(AND(J718="",L718="")),IF(OR(AND(L718&lt;&gt;"",NOT(ISNUMBER(L718))),IFERROR(MOD(L718,1),1)&gt;0,AND(ISNUMBER(L718),OR(L718&lt;0,L718&gt;95))),"Введите целое число от 0 до 95",IF(OR(AND(J718&lt;&gt;"",NOT(ISNUMBER(J718))),IFERROR(MOD(J718,1),1)&gt;0,AND(ISNUMBER(J718),OR(J718&lt;50,J718&gt;20000000))),"Введите целое число от 50 до 20000000",IF(NOT(ABS(IFERROR(VALUE(LEFT(M718,FIND("-",M718)-1)),M718)*100-(5000+2000000000)/2)&lt;=ABS(5000-2000000000)/2),"Цена со скидкой должна быть от 50 до 20000000",IF(IFERROR(VALUE(LEFT(M718,FIND("-",M718)-1)),M718)*229&lt;92700,"Вы уменьшили цену в несколько раз, товар попадет в карантин цен","")))),"")</f>
      </c>
    </row>
    <row r="719">
      <c r="A719" s="2" t="inlineStr">
        <is>
          <t>CuteShop</t>
        </is>
      </c>
      <c r="B719" s="2" t="inlineStr">
        <is>
          <t>Держатели для пустышек</t>
        </is>
      </c>
      <c r="C719" s="2">
        <v>87697050</v>
      </c>
      <c r="D719" s="2" t="inlineStr">
        <is>
          <t>MilaLama</t>
        </is>
      </c>
      <c r="E719" s="2" t="inlineStr">
        <is>
          <t>2034887286620</t>
        </is>
      </c>
      <c r="F719" s="2">
        <v>0</v>
      </c>
      <c r="G719" s="2">
        <v>0</v>
      </c>
      <c r="H719" s="2">
        <v>0</v>
      </c>
      <c r="I719" s="2" t="inlineStr">
        <is>
          <t>1030</t>
        </is>
      </c>
      <c r="J719" s="4"/>
      <c r="K719" s="2">
        <v>10</v>
      </c>
      <c r="L719" s="6"/>
      <c r="M719" s="2" t="str">
        <f>IF(J719="",ROUND(I719*(1-IF(ISBLANK(L719),K719,L719)/100),2),ROUND(J719*(1-IF(ISBLANK(L719),K719,L719)/100),2))</f>
      </c>
      <c r="N719" s="7" t="str">
        <f>IF(NOT(AND(J719="",L719="")),IF(OR(AND(L719&lt;&gt;"",NOT(ISNUMBER(L719))),IFERROR(MOD(L719,1),1)&gt;0,AND(ISNUMBER(L719),OR(L719&lt;0,L719&gt;95))),"Введите целое число от 0 до 95",IF(OR(AND(J719&lt;&gt;"",NOT(ISNUMBER(J719))),IFERROR(MOD(J719,1),1)&gt;0,AND(ISNUMBER(J719),OR(J719&lt;50,J719&gt;20000000))),"Введите целое число от 50 до 20000000",IF(NOT(ABS(IFERROR(VALUE(LEFT(M719,FIND("-",M719)-1)),M719)*100-(5000+2000000000)/2)&lt;=ABS(5000-2000000000)/2),"Цена со скидкой должна быть от 50 до 20000000",IF(IFERROR(VALUE(LEFT(M719,FIND("-",M719)-1)),M719)*229&lt;92700,"Вы уменьшили цену в несколько раз, товар попадет в карантин цен","")))),"")</f>
      </c>
    </row>
    <row r="720">
      <c r="A720" s="2" t="inlineStr">
        <is>
          <t>CuteShop</t>
        </is>
      </c>
      <c r="B720" s="2" t="inlineStr">
        <is>
          <t>Держатели для пустышек</t>
        </is>
      </c>
      <c r="C720" s="2">
        <v>112364054</v>
      </c>
      <c r="D720" s="2" t="inlineStr">
        <is>
          <t>KristinaBG</t>
        </is>
      </c>
      <c r="E720" s="2" t="inlineStr">
        <is>
          <t>2038781658620</t>
        </is>
      </c>
      <c r="F720" s="2">
        <v>0</v>
      </c>
      <c r="G720" s="2">
        <v>1</v>
      </c>
      <c r="H720" s="2">
        <v>0</v>
      </c>
      <c r="I720" s="2" t="inlineStr">
        <is>
          <t>800</t>
        </is>
      </c>
      <c r="J720" s="4"/>
      <c r="K720" s="2">
        <v>10</v>
      </c>
      <c r="L720" s="6"/>
      <c r="M720" s="2" t="str">
        <f>IF(J720="",ROUND(I720*(1-IF(ISBLANK(L720),K720,L720)/100),2),ROUND(J720*(1-IF(ISBLANK(L720),K720,L720)/100),2))</f>
      </c>
      <c r="N720" s="7" t="str">
        <f>IF(NOT(AND(J720="",L720="")),IF(OR(AND(L720&lt;&gt;"",NOT(ISNUMBER(L720))),IFERROR(MOD(L720,1),1)&gt;0,AND(ISNUMBER(L720),OR(L720&lt;0,L720&gt;95))),"Введите целое число от 0 до 95",IF(OR(AND(J720&lt;&gt;"",NOT(ISNUMBER(J720))),IFERROR(MOD(J720,1),1)&gt;0,AND(ISNUMBER(J720),OR(J720&lt;50,J720&gt;20000000))),"Введите целое число от 50 до 20000000",IF(NOT(ABS(IFERROR(VALUE(LEFT(M720,FIND("-",M720)-1)),M720)*100-(5000+2000000000)/2)&lt;=ABS(5000-2000000000)/2),"Цена со скидкой должна быть от 50 до 20000000",IF(IFERROR(VALUE(LEFT(M720,FIND("-",M720)-1)),M720)*229&lt;72000,"Вы уменьшили цену в несколько раз, товар попадет в карантин цен","")))),"")</f>
      </c>
    </row>
    <row r="721">
      <c r="A721" s="2" t="inlineStr">
        <is>
          <t>CuteShop</t>
        </is>
      </c>
      <c r="B721" s="2" t="inlineStr">
        <is>
          <t>Держатели для пустышек</t>
        </is>
      </c>
      <c r="C721" s="2">
        <v>138617865</v>
      </c>
      <c r="D721" s="2" t="inlineStr">
        <is>
          <t>TanushaSlon</t>
        </is>
      </c>
      <c r="E721" s="2" t="inlineStr">
        <is>
          <t>2037249062207</t>
        </is>
      </c>
      <c r="F721" s="2">
        <v>0</v>
      </c>
      <c r="G721" s="2">
        <v>1</v>
      </c>
      <c r="H721" s="2" t="inlineStr">
        <is>
          <t/>
        </is>
      </c>
      <c r="I721" s="2" t="inlineStr">
        <is>
          <t>1030</t>
        </is>
      </c>
      <c r="J721" s="4"/>
      <c r="K721" s="2">
        <v>10</v>
      </c>
      <c r="L721" s="6"/>
      <c r="M721" s="2" t="str">
        <f>IF(J721="",ROUND(I721*(1-IF(ISBLANK(L721),K721,L721)/100),2),ROUND(J721*(1-IF(ISBLANK(L721),K721,L721)/100),2))</f>
      </c>
      <c r="N721" s="7" t="str">
        <f>IF(NOT(AND(J721="",L721="")),IF(OR(AND(L721&lt;&gt;"",NOT(ISNUMBER(L721))),IFERROR(MOD(L721,1),1)&gt;0,AND(ISNUMBER(L721),OR(L721&lt;0,L721&gt;95))),"Введите целое число от 0 до 95",IF(OR(AND(J721&lt;&gt;"",NOT(ISNUMBER(J721))),IFERROR(MOD(J721,1),1)&gt;0,AND(ISNUMBER(J721),OR(J721&lt;50,J721&gt;20000000))),"Введите целое число от 50 до 20000000",IF(NOT(ABS(IFERROR(VALUE(LEFT(M721,FIND("-",M721)-1)),M721)*100-(5000+2000000000)/2)&lt;=ABS(5000-2000000000)/2),"Цена со скидкой должна быть от 50 до 20000000",IF(IFERROR(VALUE(LEFT(M721,FIND("-",M721)-1)),M721)*229&lt;92700,"Вы уменьшили цену в несколько раз, товар попадет в карантин цен","")))),"")</f>
      </c>
    </row>
    <row r="722">
      <c r="A722" s="2" t="inlineStr">
        <is>
          <t>CuteShop</t>
        </is>
      </c>
      <c r="B722" s="2" t="inlineStr">
        <is>
          <t>Держатели для пустышек</t>
        </is>
      </c>
      <c r="C722" s="2">
        <v>87697051</v>
      </c>
      <c r="D722" s="2" t="inlineStr">
        <is>
          <t>MilaSlon1</t>
        </is>
      </c>
      <c r="E722" s="2" t="inlineStr">
        <is>
          <t>2034887351625</t>
        </is>
      </c>
      <c r="F722" s="2">
        <v>0</v>
      </c>
      <c r="G722" s="2">
        <v>1</v>
      </c>
      <c r="H722" s="2">
        <v>1</v>
      </c>
      <c r="I722" s="2" t="inlineStr">
        <is>
          <t>1030</t>
        </is>
      </c>
      <c r="J722" s="4"/>
      <c r="K722" s="2">
        <v>10</v>
      </c>
      <c r="L722" s="6"/>
      <c r="M722" s="2" t="str">
        <f>IF(J722="",ROUND(I722*(1-IF(ISBLANK(L722),K722,L722)/100),2),ROUND(J722*(1-IF(ISBLANK(L722),K722,L722)/100),2))</f>
      </c>
      <c r="N722" s="7" t="str">
        <f>IF(NOT(AND(J722="",L722="")),IF(OR(AND(L722&lt;&gt;"",NOT(ISNUMBER(L722))),IFERROR(MOD(L722,1),1)&gt;0,AND(ISNUMBER(L722),OR(L722&lt;0,L722&gt;95))),"Введите целое число от 0 до 95",IF(OR(AND(J722&lt;&gt;"",NOT(ISNUMBER(J722))),IFERROR(MOD(J722,1),1)&gt;0,AND(ISNUMBER(J722),OR(J722&lt;50,J722&gt;20000000))),"Введите целое число от 50 до 20000000",IF(NOT(ABS(IFERROR(VALUE(LEFT(M722,FIND("-",M722)-1)),M722)*100-(5000+2000000000)/2)&lt;=ABS(5000-2000000000)/2),"Цена со скидкой должна быть от 50 до 20000000",IF(IFERROR(VALUE(LEFT(M722,FIND("-",M722)-1)),M722)*229&lt;92700,"Вы уменьшили цену в несколько раз, товар попадет в карантин цен","")))),"")</f>
      </c>
    </row>
    <row r="723">
      <c r="A723" s="2" t="inlineStr">
        <is>
          <t>CuteShop</t>
        </is>
      </c>
      <c r="B723" s="2" t="inlineStr">
        <is>
          <t>Держатели для пустышек</t>
        </is>
      </c>
      <c r="C723" s="2">
        <v>112364058</v>
      </c>
      <c r="D723" s="2" t="inlineStr">
        <is>
          <t>KristinaZay1</t>
        </is>
      </c>
      <c r="E723" s="2" t="inlineStr">
        <is>
          <t>2038781742626</t>
        </is>
      </c>
      <c r="F723" s="2">
        <v>0</v>
      </c>
      <c r="G723" s="2">
        <v>1</v>
      </c>
      <c r="H723" s="2">
        <v>0</v>
      </c>
      <c r="I723" s="2" t="inlineStr">
        <is>
          <t>1030</t>
        </is>
      </c>
      <c r="J723" s="4"/>
      <c r="K723" s="2">
        <v>10</v>
      </c>
      <c r="L723" s="6"/>
      <c r="M723" s="2" t="str">
        <f>IF(J723="",ROUND(I723*(1-IF(ISBLANK(L723),K723,L723)/100),2),ROUND(J723*(1-IF(ISBLANK(L723),K723,L723)/100),2))</f>
      </c>
      <c r="N723" s="7" t="str">
        <f>IF(NOT(AND(J723="",L723="")),IF(OR(AND(L723&lt;&gt;"",NOT(ISNUMBER(L723))),IFERROR(MOD(L723,1),1)&gt;0,AND(ISNUMBER(L723),OR(L723&lt;0,L723&gt;95))),"Введите целое число от 0 до 95",IF(OR(AND(J723&lt;&gt;"",NOT(ISNUMBER(J723))),IFERROR(MOD(J723,1),1)&gt;0,AND(ISNUMBER(J723),OR(J723&lt;50,J723&gt;20000000))),"Введите целое число от 50 до 20000000",IF(NOT(ABS(IFERROR(VALUE(LEFT(M723,FIND("-",M723)-1)),M723)*100-(5000+2000000000)/2)&lt;=ABS(5000-2000000000)/2),"Цена со скидкой должна быть от 50 до 20000000",IF(IFERROR(VALUE(LEFT(M723,FIND("-",M723)-1)),M723)*229&lt;92700,"Вы уменьшили цену в несколько раз, товар попадет в карантин цен","")))),"")</f>
      </c>
    </row>
    <row r="724">
      <c r="A724" s="2" t="inlineStr">
        <is>
          <t>CuteShop</t>
        </is>
      </c>
      <c r="B724" s="2" t="inlineStr">
        <is>
          <t>Держатели для пустышек</t>
        </is>
      </c>
      <c r="C724" s="2">
        <v>150867411</v>
      </c>
      <c r="D724" s="2" t="inlineStr">
        <is>
          <t>ElzaZay</t>
        </is>
      </c>
      <c r="E724" s="2" t="inlineStr">
        <is>
          <t>2037585334464</t>
        </is>
      </c>
      <c r="F724" s="2">
        <v>0</v>
      </c>
      <c r="G724" s="2">
        <v>0</v>
      </c>
      <c r="H724" s="2" t="inlineStr">
        <is>
          <t/>
        </is>
      </c>
      <c r="I724" s="2" t="inlineStr">
        <is>
          <t>1030</t>
        </is>
      </c>
      <c r="J724" s="4"/>
      <c r="K724" s="2">
        <v>10</v>
      </c>
      <c r="L724" s="6"/>
      <c r="M724" s="2" t="str">
        <f>IF(J724="",ROUND(I724*(1-IF(ISBLANK(L724),K724,L724)/100),2),ROUND(J724*(1-IF(ISBLANK(L724),K724,L724)/100),2))</f>
      </c>
      <c r="N724" s="7" t="str">
        <f>IF(NOT(AND(J724="",L724="")),IF(OR(AND(L724&lt;&gt;"",NOT(ISNUMBER(L724))),IFERROR(MOD(L724,1),1)&gt;0,AND(ISNUMBER(L724),OR(L724&lt;0,L724&gt;95))),"Введите целое число от 0 до 95",IF(OR(AND(J724&lt;&gt;"",NOT(ISNUMBER(J724))),IFERROR(MOD(J724,1),1)&gt;0,AND(ISNUMBER(J724),OR(J724&lt;50,J724&gt;20000000))),"Введите целое число от 50 до 20000000",IF(NOT(ABS(IFERROR(VALUE(LEFT(M724,FIND("-",M724)-1)),M724)*100-(5000+2000000000)/2)&lt;=ABS(5000-2000000000)/2),"Цена со скидкой должна быть от 50 до 20000000",IF(IFERROR(VALUE(LEFT(M724,FIND("-",M724)-1)),M724)*229&lt;92700,"Вы уменьшили цену в несколько раз, товар попадет в карантин цен","")))),"")</f>
      </c>
    </row>
    <row r="725">
      <c r="A725" s="2" t="inlineStr">
        <is>
          <t>CuteShop</t>
        </is>
      </c>
      <c r="B725" s="2" t="inlineStr">
        <is>
          <t>Держатели для пустышек</t>
        </is>
      </c>
      <c r="C725" s="2">
        <v>140341938</v>
      </c>
      <c r="D725" s="2" t="inlineStr">
        <is>
          <t>SteshaBel</t>
        </is>
      </c>
      <c r="E725" s="2" t="inlineStr">
        <is>
          <t>2037296847628</t>
        </is>
      </c>
      <c r="F725" s="2">
        <v>0</v>
      </c>
      <c r="G725" s="2">
        <v>0</v>
      </c>
      <c r="H725" s="2" t="inlineStr">
        <is>
          <t/>
        </is>
      </c>
      <c r="I725" s="2" t="inlineStr">
        <is>
          <t>1030</t>
        </is>
      </c>
      <c r="J725" s="4"/>
      <c r="K725" s="2">
        <v>10</v>
      </c>
      <c r="L725" s="6"/>
      <c r="M725" s="2" t="str">
        <f>IF(J725="",ROUND(I725*(1-IF(ISBLANK(L725),K725,L725)/100),2),ROUND(J725*(1-IF(ISBLANK(L725),K725,L725)/100),2))</f>
      </c>
      <c r="N725" s="7" t="str">
        <f>IF(NOT(AND(J725="",L725="")),IF(OR(AND(L725&lt;&gt;"",NOT(ISNUMBER(L725))),IFERROR(MOD(L725,1),1)&gt;0,AND(ISNUMBER(L725),OR(L725&lt;0,L725&gt;95))),"Введите целое число от 0 до 95",IF(OR(AND(J725&lt;&gt;"",NOT(ISNUMBER(J725))),IFERROR(MOD(J725,1),1)&gt;0,AND(ISNUMBER(J725),OR(J725&lt;50,J725&gt;20000000))),"Введите целое число от 50 до 20000000",IF(NOT(ABS(IFERROR(VALUE(LEFT(M725,FIND("-",M725)-1)),M725)*100-(5000+2000000000)/2)&lt;=ABS(5000-2000000000)/2),"Цена со скидкой должна быть от 50 до 20000000",IF(IFERROR(VALUE(LEFT(M725,FIND("-",M725)-1)),M725)*229&lt;92700,"Вы уменьшили цену в несколько раз, товар попадет в карантин цен","")))),"")</f>
      </c>
    </row>
    <row r="726">
      <c r="A726" s="2" t="inlineStr">
        <is>
          <t>CuteShop</t>
        </is>
      </c>
      <c r="B726" s="2" t="inlineStr">
        <is>
          <t>Держатели для пустышек</t>
        </is>
      </c>
      <c r="C726" s="2">
        <v>100699138</v>
      </c>
      <c r="D726" s="2" t="inlineStr">
        <is>
          <t>NazarBG1</t>
        </is>
      </c>
      <c r="E726" s="2" t="inlineStr">
        <is>
          <t>2036814608680</t>
        </is>
      </c>
      <c r="F726" s="2">
        <v>0</v>
      </c>
      <c r="G726" s="2">
        <v>1</v>
      </c>
      <c r="H726" s="2">
        <v>1</v>
      </c>
      <c r="I726" s="2" t="inlineStr">
        <is>
          <t>790</t>
        </is>
      </c>
      <c r="J726" s="4"/>
      <c r="K726" s="2">
        <v>10</v>
      </c>
      <c r="L726" s="6"/>
      <c r="M726" s="2" t="str">
        <f>IF(J726="",ROUND(I726*(1-IF(ISBLANK(L726),K726,L726)/100),2),ROUND(J726*(1-IF(ISBLANK(L726),K726,L726)/100),2))</f>
      </c>
      <c r="N726" s="7" t="str">
        <f>IF(NOT(AND(J726="",L726="")),IF(OR(AND(L726&lt;&gt;"",NOT(ISNUMBER(L726))),IFERROR(MOD(L726,1),1)&gt;0,AND(ISNUMBER(L726),OR(L726&lt;0,L726&gt;95))),"Введите целое число от 0 до 95",IF(OR(AND(J726&lt;&gt;"",NOT(ISNUMBER(J726))),IFERROR(MOD(J726,1),1)&gt;0,AND(ISNUMBER(J726),OR(J726&lt;50,J726&gt;20000000))),"Введите целое число от 50 до 20000000",IF(NOT(ABS(IFERROR(VALUE(LEFT(M726,FIND("-",M726)-1)),M726)*100-(5000+2000000000)/2)&lt;=ABS(5000-2000000000)/2),"Цена со скидкой должна быть от 50 до 20000000",IF(IFERROR(VALUE(LEFT(M726,FIND("-",M726)-1)),M726)*229&lt;71100,"Вы уменьшили цену в несколько раз, товар попадет в карантин цен","")))),"")</f>
      </c>
    </row>
    <row r="727">
      <c r="A727" s="2" t="inlineStr">
        <is>
          <t>CuteShop</t>
        </is>
      </c>
      <c r="B727" s="2" t="inlineStr">
        <is>
          <t>Держатели для пустышек</t>
        </is>
      </c>
      <c r="C727" s="2">
        <v>153128430</v>
      </c>
      <c r="D727" s="2" t="inlineStr">
        <is>
          <t>RenatKot</t>
        </is>
      </c>
      <c r="E727" s="2" t="inlineStr">
        <is>
          <t>2037628420758</t>
        </is>
      </c>
      <c r="F727" s="2">
        <v>0</v>
      </c>
      <c r="G727" s="2">
        <v>0</v>
      </c>
      <c r="H727" s="2">
        <v>0</v>
      </c>
      <c r="I727" s="2" t="inlineStr">
        <is>
          <t>1030</t>
        </is>
      </c>
      <c r="J727" s="4"/>
      <c r="K727" s="2">
        <v>10</v>
      </c>
      <c r="L727" s="6"/>
      <c r="M727" s="2" t="str">
        <f>IF(J727="",ROUND(I727*(1-IF(ISBLANK(L727),K727,L727)/100),2),ROUND(J727*(1-IF(ISBLANK(L727),K727,L727)/100),2))</f>
      </c>
      <c r="N727" s="7" t="str">
        <f>IF(NOT(AND(J727="",L727="")),IF(OR(AND(L727&lt;&gt;"",NOT(ISNUMBER(L727))),IFERROR(MOD(L727,1),1)&gt;0,AND(ISNUMBER(L727),OR(L727&lt;0,L727&gt;95))),"Введите целое число от 0 до 95",IF(OR(AND(J727&lt;&gt;"",NOT(ISNUMBER(J727))),IFERROR(MOD(J727,1),1)&gt;0,AND(ISNUMBER(J727),OR(J727&lt;50,J727&gt;20000000))),"Введите целое число от 50 до 20000000",IF(NOT(ABS(IFERROR(VALUE(LEFT(M727,FIND("-",M727)-1)),M727)*100-(5000+2000000000)/2)&lt;=ABS(5000-2000000000)/2),"Цена со скидкой должна быть от 50 до 20000000",IF(IFERROR(VALUE(LEFT(M727,FIND("-",M727)-1)),M727)*229&lt;92700,"Вы уменьшили цену в несколько раз, товар попадет в карантин цен","")))),"")</f>
      </c>
    </row>
    <row r="728">
      <c r="A728" s="2" t="inlineStr">
        <is>
          <t>CuteShop</t>
        </is>
      </c>
      <c r="B728" s="2" t="inlineStr">
        <is>
          <t>Держатели для пустышек</t>
        </is>
      </c>
      <c r="C728" s="2">
        <v>100699144</v>
      </c>
      <c r="D728" s="2" t="inlineStr">
        <is>
          <t>NazarPanda</t>
        </is>
      </c>
      <c r="E728" s="2" t="inlineStr">
        <is>
          <t>2036814614216</t>
        </is>
      </c>
      <c r="F728" s="2">
        <v>0</v>
      </c>
      <c r="G728" s="2">
        <v>0</v>
      </c>
      <c r="H728" s="2" t="inlineStr">
        <is>
          <t/>
        </is>
      </c>
      <c r="I728" s="2" t="inlineStr">
        <is>
          <t>1030</t>
        </is>
      </c>
      <c r="J728" s="4"/>
      <c r="K728" s="2">
        <v>10</v>
      </c>
      <c r="L728" s="6"/>
      <c r="M728" s="2" t="str">
        <f>IF(J728="",ROUND(I728*(1-IF(ISBLANK(L728),K728,L728)/100),2),ROUND(J728*(1-IF(ISBLANK(L728),K728,L728)/100),2))</f>
      </c>
      <c r="N728" s="7" t="str">
        <f>IF(NOT(AND(J728="",L728="")),IF(OR(AND(L728&lt;&gt;"",NOT(ISNUMBER(L728))),IFERROR(MOD(L728,1),1)&gt;0,AND(ISNUMBER(L728),OR(L728&lt;0,L728&gt;95))),"Введите целое число от 0 до 95",IF(OR(AND(J728&lt;&gt;"",NOT(ISNUMBER(J728))),IFERROR(MOD(J728,1),1)&gt;0,AND(ISNUMBER(J728),OR(J728&lt;50,J728&gt;20000000))),"Введите целое число от 50 до 20000000",IF(NOT(ABS(IFERROR(VALUE(LEFT(M728,FIND("-",M728)-1)),M728)*100-(5000+2000000000)/2)&lt;=ABS(5000-2000000000)/2),"Цена со скидкой должна быть от 50 до 20000000",IF(IFERROR(VALUE(LEFT(M728,FIND("-",M728)-1)),M728)*229&lt;92700,"Вы уменьшили цену в несколько раз, товар попадет в карантин цен","")))),"")</f>
      </c>
    </row>
    <row r="729">
      <c r="A729" s="2" t="inlineStr">
        <is>
          <t>CuteShop</t>
        </is>
      </c>
      <c r="B729" s="2" t="inlineStr">
        <is>
          <t>Держатели для пустышек</t>
        </is>
      </c>
      <c r="C729" s="2">
        <v>138645452</v>
      </c>
      <c r="D729" s="2" t="inlineStr">
        <is>
          <t>TanyaPanda</t>
        </is>
      </c>
      <c r="E729" s="2" t="inlineStr">
        <is>
          <t>2037249403420</t>
        </is>
      </c>
      <c r="F729" s="2">
        <v>0</v>
      </c>
      <c r="G729" s="2">
        <v>1</v>
      </c>
      <c r="H729" s="2">
        <v>0</v>
      </c>
      <c r="I729" s="2" t="inlineStr">
        <is>
          <t>1030</t>
        </is>
      </c>
      <c r="J729" s="4"/>
      <c r="K729" s="2">
        <v>10</v>
      </c>
      <c r="L729" s="6"/>
      <c r="M729" s="2" t="str">
        <f>IF(J729="",ROUND(I729*(1-IF(ISBLANK(L729),K729,L729)/100),2),ROUND(J729*(1-IF(ISBLANK(L729),K729,L729)/100),2))</f>
      </c>
      <c r="N729" s="7" t="str">
        <f>IF(NOT(AND(J729="",L729="")),IF(OR(AND(L729&lt;&gt;"",NOT(ISNUMBER(L729))),IFERROR(MOD(L729,1),1)&gt;0,AND(ISNUMBER(L729),OR(L729&lt;0,L729&gt;95))),"Введите целое число от 0 до 95",IF(OR(AND(J729&lt;&gt;"",NOT(ISNUMBER(J729))),IFERROR(MOD(J729,1),1)&gt;0,AND(ISNUMBER(J729),OR(J729&lt;50,J729&gt;20000000))),"Введите целое число от 50 до 20000000",IF(NOT(ABS(IFERROR(VALUE(LEFT(M729,FIND("-",M729)-1)),M729)*100-(5000+2000000000)/2)&lt;=ABS(5000-2000000000)/2),"Цена со скидкой должна быть от 50 до 20000000",IF(IFERROR(VALUE(LEFT(M729,FIND("-",M729)-1)),M729)*229&lt;92700,"Вы уменьшили цену в несколько раз, товар попадет в карантин цен","")))),"")</f>
      </c>
    </row>
    <row r="730">
      <c r="A730" s="2" t="inlineStr">
        <is>
          <t>CuteShop</t>
        </is>
      </c>
      <c r="B730" s="2" t="inlineStr">
        <is>
          <t>Держатели для пустышек</t>
        </is>
      </c>
      <c r="C730" s="2">
        <v>153128428</v>
      </c>
      <c r="D730" s="2" t="inlineStr">
        <is>
          <t>RenatBG1</t>
        </is>
      </c>
      <c r="E730" s="2" t="inlineStr">
        <is>
          <t>2037628411312</t>
        </is>
      </c>
      <c r="F730" s="2">
        <v>0</v>
      </c>
      <c r="G730" s="2">
        <v>1</v>
      </c>
      <c r="H730" s="2" t="inlineStr">
        <is>
          <t/>
        </is>
      </c>
      <c r="I730" s="2" t="inlineStr">
        <is>
          <t>790</t>
        </is>
      </c>
      <c r="J730" s="4"/>
      <c r="K730" s="2">
        <v>10</v>
      </c>
      <c r="L730" s="6"/>
      <c r="M730" s="2" t="str">
        <f>IF(J730="",ROUND(I730*(1-IF(ISBLANK(L730),K730,L730)/100),2),ROUND(J730*(1-IF(ISBLANK(L730),K730,L730)/100),2))</f>
      </c>
      <c r="N730" s="7" t="str">
        <f>IF(NOT(AND(J730="",L730="")),IF(OR(AND(L730&lt;&gt;"",NOT(ISNUMBER(L730))),IFERROR(MOD(L730,1),1)&gt;0,AND(ISNUMBER(L730),OR(L730&lt;0,L730&gt;95))),"Введите целое число от 0 до 95",IF(OR(AND(J730&lt;&gt;"",NOT(ISNUMBER(J730))),IFERROR(MOD(J730,1),1)&gt;0,AND(ISNUMBER(J730),OR(J730&lt;50,J730&gt;20000000))),"Введите целое число от 50 до 20000000",IF(NOT(ABS(IFERROR(VALUE(LEFT(M730,FIND("-",M730)-1)),M730)*100-(5000+2000000000)/2)&lt;=ABS(5000-2000000000)/2),"Цена со скидкой должна быть от 50 до 20000000",IF(IFERROR(VALUE(LEFT(M730,FIND("-",M730)-1)),M730)*229&lt;71100,"Вы уменьшили цену в несколько раз, товар попадет в карантин цен","")))),"")</f>
      </c>
    </row>
    <row r="731">
      <c r="A731" s="2" t="inlineStr">
        <is>
          <t>CuteShop</t>
        </is>
      </c>
      <c r="B731" s="2" t="inlineStr">
        <is>
          <t>Держатели для пустышек</t>
        </is>
      </c>
      <c r="C731" s="2">
        <v>112947170</v>
      </c>
      <c r="D731" s="2" t="inlineStr">
        <is>
          <t>UlyanaEdin</t>
        </is>
      </c>
      <c r="E731" s="2" t="inlineStr">
        <is>
          <t>2038996360622</t>
        </is>
      </c>
      <c r="F731" s="2">
        <v>0</v>
      </c>
      <c r="G731" s="2">
        <v>0</v>
      </c>
      <c r="H731" s="2">
        <v>0</v>
      </c>
      <c r="I731" s="2" t="inlineStr">
        <is>
          <t>1030</t>
        </is>
      </c>
      <c r="J731" s="4"/>
      <c r="K731" s="2">
        <v>10</v>
      </c>
      <c r="L731" s="6"/>
      <c r="M731" s="2" t="str">
        <f>IF(J731="",ROUND(I731*(1-IF(ISBLANK(L731),K731,L731)/100),2),ROUND(J731*(1-IF(ISBLANK(L731),K731,L731)/100),2))</f>
      </c>
      <c r="N731" s="7" t="str">
        <f>IF(NOT(AND(J731="",L731="")),IF(OR(AND(L731&lt;&gt;"",NOT(ISNUMBER(L731))),IFERROR(MOD(L731,1),1)&gt;0,AND(ISNUMBER(L731),OR(L731&lt;0,L731&gt;95))),"Введите целое число от 0 до 95",IF(OR(AND(J731&lt;&gt;"",NOT(ISNUMBER(J731))),IFERROR(MOD(J731,1),1)&gt;0,AND(ISNUMBER(J731),OR(J731&lt;50,J731&gt;20000000))),"Введите целое число от 50 до 20000000",IF(NOT(ABS(IFERROR(VALUE(LEFT(M731,FIND("-",M731)-1)),M731)*100-(5000+2000000000)/2)&lt;=ABS(5000-2000000000)/2),"Цена со скидкой должна быть от 50 до 20000000",IF(IFERROR(VALUE(LEFT(M731,FIND("-",M731)-1)),M731)*229&lt;92700,"Вы уменьшили цену в несколько раз, товар попадет в карантин цен","")))),"")</f>
      </c>
    </row>
    <row r="732">
      <c r="A732" s="2" t="inlineStr">
        <is>
          <t>CuteShop</t>
        </is>
      </c>
      <c r="B732" s="2" t="inlineStr">
        <is>
          <t>Держатели для пустышек</t>
        </is>
      </c>
      <c r="C732" s="2">
        <v>153128970</v>
      </c>
      <c r="D732" s="2" t="inlineStr">
        <is>
          <t>RenatMish</t>
        </is>
      </c>
      <c r="E732" s="2" t="inlineStr">
        <is>
          <t>2037628427757</t>
        </is>
      </c>
      <c r="F732" s="2">
        <v>0</v>
      </c>
      <c r="G732" s="2">
        <v>1</v>
      </c>
      <c r="H732" s="2">
        <v>0</v>
      </c>
      <c r="I732" s="2" t="inlineStr">
        <is>
          <t>1030</t>
        </is>
      </c>
      <c r="J732" s="4"/>
      <c r="K732" s="2">
        <v>10</v>
      </c>
      <c r="L732" s="6"/>
      <c r="M732" s="2" t="str">
        <f>IF(J732="",ROUND(I732*(1-IF(ISBLANK(L732),K732,L732)/100),2),ROUND(J732*(1-IF(ISBLANK(L732),K732,L732)/100),2))</f>
      </c>
      <c r="N732" s="7" t="str">
        <f>IF(NOT(AND(J732="",L732="")),IF(OR(AND(L732&lt;&gt;"",NOT(ISNUMBER(L732))),IFERROR(MOD(L732,1),1)&gt;0,AND(ISNUMBER(L732),OR(L732&lt;0,L732&gt;95))),"Введите целое число от 0 до 95",IF(OR(AND(J732&lt;&gt;"",NOT(ISNUMBER(J732))),IFERROR(MOD(J732,1),1)&gt;0,AND(ISNUMBER(J732),OR(J732&lt;50,J732&gt;20000000))),"Введите целое число от 50 до 20000000",IF(NOT(ABS(IFERROR(VALUE(LEFT(M732,FIND("-",M732)-1)),M732)*100-(5000+2000000000)/2)&lt;=ABS(5000-2000000000)/2),"Цена со скидкой должна быть от 50 до 20000000",IF(IFERROR(VALUE(LEFT(M732,FIND("-",M732)-1)),M732)*229&lt;92700,"Вы уменьшили цену в несколько раз, товар попадет в карантин цен","")))),"")</f>
      </c>
    </row>
    <row r="733">
      <c r="A733" s="2" t="inlineStr">
        <is>
          <t>CuteShop</t>
        </is>
      </c>
      <c r="B733" s="2" t="inlineStr">
        <is>
          <t>Держатели для пустышек</t>
        </is>
      </c>
      <c r="C733" s="2">
        <v>200971624</v>
      </c>
      <c r="D733" s="2" t="inlineStr">
        <is>
          <t>Derzh-Dev-Mix</t>
        </is>
      </c>
      <c r="E733" s="2" t="inlineStr">
        <is>
          <t>2039323550372</t>
        </is>
      </c>
      <c r="F733" s="2">
        <v>0</v>
      </c>
      <c r="G733" s="2">
        <v>3</v>
      </c>
      <c r="H733" s="2" t="inlineStr">
        <is>
          <t/>
        </is>
      </c>
      <c r="I733" s="2" t="inlineStr">
        <is>
          <t>480</t>
        </is>
      </c>
      <c r="J733" s="4"/>
      <c r="K733" s="2">
        <v>3</v>
      </c>
      <c r="L733" s="6"/>
      <c r="M733" s="2" t="str">
        <f>IF(J733="",ROUND(I733*(1-IF(ISBLANK(L733),K733,L733)/100),2),ROUND(J733*(1-IF(ISBLANK(L733),K733,L733)/100),2))</f>
      </c>
      <c r="N733" s="7" t="str">
        <f>IF(NOT(AND(J733="",L733="")),IF(OR(AND(L733&lt;&gt;"",NOT(ISNUMBER(L733))),IFERROR(MOD(L733,1),1)&gt;0,AND(ISNUMBER(L733),OR(L733&lt;0,L733&gt;95))),"Введите целое число от 0 до 95",IF(OR(AND(J733&lt;&gt;"",NOT(ISNUMBER(J733))),IFERROR(MOD(J733,1),1)&gt;0,AND(ISNUMBER(J733),OR(J733&lt;50,J733&gt;20000000))),"Введите целое число от 50 до 20000000",IF(NOT(ABS(IFERROR(VALUE(LEFT(M733,FIND("-",M733)-1)),M733)*100-(5000+2000000000)/2)&lt;=ABS(5000-2000000000)/2),"Цена со скидкой должна быть от 50 до 20000000",IF(IFERROR(VALUE(LEFT(M733,FIND("-",M733)-1)),M733)*229&lt;46560,"Вы уменьшили цену в несколько раз, товар попадет в карантин цен","")))),"")</f>
      </c>
    </row>
    <row r="734">
      <c r="A734" s="2" t="inlineStr">
        <is>
          <t>CuteShop</t>
        </is>
      </c>
      <c r="B734" s="2" t="inlineStr">
        <is>
          <t>Держатели для пустышек</t>
        </is>
      </c>
      <c r="C734" s="2">
        <v>112956189</v>
      </c>
      <c r="D734" s="2" t="inlineStr">
        <is>
          <t>LeraBG</t>
        </is>
      </c>
      <c r="E734" s="2" t="inlineStr">
        <is>
          <t>2039001001622</t>
        </is>
      </c>
      <c r="F734" s="2">
        <v>0</v>
      </c>
      <c r="G734" s="2">
        <v>0</v>
      </c>
      <c r="H734" s="2">
        <v>0</v>
      </c>
      <c r="I734" s="2" t="inlineStr">
        <is>
          <t>790</t>
        </is>
      </c>
      <c r="J734" s="4"/>
      <c r="K734" s="2">
        <v>10</v>
      </c>
      <c r="L734" s="6"/>
      <c r="M734" s="2" t="str">
        <f>IF(J734="",ROUND(I734*(1-IF(ISBLANK(L734),K734,L734)/100),2),ROUND(J734*(1-IF(ISBLANK(L734),K734,L734)/100),2))</f>
      </c>
      <c r="N734" s="7" t="str">
        <f>IF(NOT(AND(J734="",L734="")),IF(OR(AND(L734&lt;&gt;"",NOT(ISNUMBER(L734))),IFERROR(MOD(L734,1),1)&gt;0,AND(ISNUMBER(L734),OR(L734&lt;0,L734&gt;95))),"Введите целое число от 0 до 95",IF(OR(AND(J734&lt;&gt;"",NOT(ISNUMBER(J734))),IFERROR(MOD(J734,1),1)&gt;0,AND(ISNUMBER(J734),OR(J734&lt;50,J734&gt;20000000))),"Введите целое число от 50 до 20000000",IF(NOT(ABS(IFERROR(VALUE(LEFT(M734,FIND("-",M734)-1)),M734)*100-(5000+2000000000)/2)&lt;=ABS(5000-2000000000)/2),"Цена со скидкой должна быть от 50 до 20000000",IF(IFERROR(VALUE(LEFT(M734,FIND("-",M734)-1)),M734)*229&lt;71100,"Вы уменьшили цену в несколько раз, товар попадет в карантин цен","")))),"")</f>
      </c>
    </row>
    <row r="735">
      <c r="A735" s="2" t="inlineStr">
        <is>
          <t>CuteShop</t>
        </is>
      </c>
      <c r="B735" s="2" t="inlineStr">
        <is>
          <t>Держатели для пустышек</t>
        </is>
      </c>
      <c r="C735" s="2">
        <v>105656686</v>
      </c>
      <c r="D735" s="2" t="inlineStr">
        <is>
          <t>StepanBG1</t>
        </is>
      </c>
      <c r="E735" s="2" t="inlineStr">
        <is>
          <t>2036887641751</t>
        </is>
      </c>
      <c r="F735" s="2">
        <v>0</v>
      </c>
      <c r="G735" s="2">
        <v>1</v>
      </c>
      <c r="H735" s="2">
        <v>0</v>
      </c>
      <c r="I735" s="2" t="inlineStr">
        <is>
          <t>790</t>
        </is>
      </c>
      <c r="J735" s="4"/>
      <c r="K735" s="2">
        <v>10</v>
      </c>
      <c r="L735" s="6"/>
      <c r="M735" s="2" t="str">
        <f>IF(J735="",ROUND(I735*(1-IF(ISBLANK(L735),K735,L735)/100),2),ROUND(J735*(1-IF(ISBLANK(L735),K735,L735)/100),2))</f>
      </c>
      <c r="N735" s="7" t="str">
        <f>IF(NOT(AND(J735="",L735="")),IF(OR(AND(L735&lt;&gt;"",NOT(ISNUMBER(L735))),IFERROR(MOD(L735,1),1)&gt;0,AND(ISNUMBER(L735),OR(L735&lt;0,L735&gt;95))),"Введите целое число от 0 до 95",IF(OR(AND(J735&lt;&gt;"",NOT(ISNUMBER(J735))),IFERROR(MOD(J735,1),1)&gt;0,AND(ISNUMBER(J735),OR(J735&lt;50,J735&gt;20000000))),"Введите целое число от 50 до 20000000",IF(NOT(ABS(IFERROR(VALUE(LEFT(M735,FIND("-",M735)-1)),M735)*100-(5000+2000000000)/2)&lt;=ABS(5000-2000000000)/2),"Цена со скидкой должна быть от 50 до 20000000",IF(IFERROR(VALUE(LEFT(M735,FIND("-",M735)-1)),M735)*229&lt;71100,"Вы уменьшили цену в несколько раз, товар попадет в карантин цен","")))),"")</f>
      </c>
    </row>
    <row r="736">
      <c r="A736" s="2" t="inlineStr">
        <is>
          <t>CuteShop</t>
        </is>
      </c>
      <c r="B736" s="2" t="inlineStr">
        <is>
          <t>Держатели для пустышек</t>
        </is>
      </c>
      <c r="C736" s="2">
        <v>172165891</v>
      </c>
      <c r="D736" s="2" t="inlineStr">
        <is>
          <t>ArianaZay2</t>
        </is>
      </c>
      <c r="E736" s="2" t="inlineStr">
        <is>
          <t>2038301598504</t>
        </is>
      </c>
      <c r="F736" s="2">
        <v>0</v>
      </c>
      <c r="G736" s="2">
        <v>0</v>
      </c>
      <c r="H736" s="2" t="inlineStr">
        <is>
          <t/>
        </is>
      </c>
      <c r="I736" s="2" t="inlineStr">
        <is>
          <t>1030</t>
        </is>
      </c>
      <c r="J736" s="4"/>
      <c r="K736" s="2">
        <v>10</v>
      </c>
      <c r="L736" s="6"/>
      <c r="M736" s="2" t="str">
        <f>IF(J736="",ROUND(I736*(1-IF(ISBLANK(L736),K736,L736)/100),2),ROUND(J736*(1-IF(ISBLANK(L736),K736,L736)/100),2))</f>
      </c>
      <c r="N736" s="7" t="str">
        <f>IF(NOT(AND(J736="",L736="")),IF(OR(AND(L736&lt;&gt;"",NOT(ISNUMBER(L736))),IFERROR(MOD(L736,1),1)&gt;0,AND(ISNUMBER(L736),OR(L736&lt;0,L736&gt;95))),"Введите целое число от 0 до 95",IF(OR(AND(J736&lt;&gt;"",NOT(ISNUMBER(J736))),IFERROR(MOD(J736,1),1)&gt;0,AND(ISNUMBER(J736),OR(J736&lt;50,J736&gt;20000000))),"Введите целое число от 50 до 20000000",IF(NOT(ABS(IFERROR(VALUE(LEFT(M736,FIND("-",M736)-1)),M736)*100-(5000+2000000000)/2)&lt;=ABS(5000-2000000000)/2),"Цена со скидкой должна быть от 50 до 20000000",IF(IFERROR(VALUE(LEFT(M736,FIND("-",M736)-1)),M736)*229&lt;92700,"Вы уменьшили цену в несколько раз, товар попадет в карантин цен","")))),"")</f>
      </c>
    </row>
    <row r="737">
      <c r="A737" s="2" t="inlineStr">
        <is>
          <t>CuteShop</t>
        </is>
      </c>
      <c r="B737" s="2" t="inlineStr">
        <is>
          <t>Держатели для пустышек</t>
        </is>
      </c>
      <c r="C737" s="2">
        <v>146350039</v>
      </c>
      <c r="D737" s="2" t="inlineStr">
        <is>
          <t>TihonKot</t>
        </is>
      </c>
      <c r="E737" s="2" t="inlineStr">
        <is>
          <t>2037465541319</t>
        </is>
      </c>
      <c r="F737" s="2">
        <v>0</v>
      </c>
      <c r="G737" s="2">
        <v>0</v>
      </c>
      <c r="H737" s="2" t="inlineStr">
        <is>
          <t/>
        </is>
      </c>
      <c r="I737" s="2" t="inlineStr">
        <is>
          <t>1030</t>
        </is>
      </c>
      <c r="J737" s="4"/>
      <c r="K737" s="2">
        <v>10</v>
      </c>
      <c r="L737" s="6"/>
      <c r="M737" s="2" t="str">
        <f>IF(J737="",ROUND(I737*(1-IF(ISBLANK(L737),K737,L737)/100),2),ROUND(J737*(1-IF(ISBLANK(L737),K737,L737)/100),2))</f>
      </c>
      <c r="N737" s="7" t="str">
        <f>IF(NOT(AND(J737="",L737="")),IF(OR(AND(L737&lt;&gt;"",NOT(ISNUMBER(L737))),IFERROR(MOD(L737,1),1)&gt;0,AND(ISNUMBER(L737),OR(L737&lt;0,L737&gt;95))),"Введите целое число от 0 до 95",IF(OR(AND(J737&lt;&gt;"",NOT(ISNUMBER(J737))),IFERROR(MOD(J737,1),1)&gt;0,AND(ISNUMBER(J737),OR(J737&lt;50,J737&gt;20000000))),"Введите целое число от 50 до 20000000",IF(NOT(ABS(IFERROR(VALUE(LEFT(M737,FIND("-",M737)-1)),M737)*100-(5000+2000000000)/2)&lt;=ABS(5000-2000000000)/2),"Цена со скидкой должна быть от 50 до 20000000",IF(IFERROR(VALUE(LEFT(M737,FIND("-",M737)-1)),M737)*229&lt;92700,"Вы уменьшили цену в несколько раз, товар попадет в карантин цен","")))),"")</f>
      </c>
    </row>
    <row r="738">
      <c r="A738" s="2" t="inlineStr">
        <is>
          <t>CuteShop</t>
        </is>
      </c>
      <c r="B738" s="2" t="inlineStr">
        <is>
          <t>Держатели для пустышек</t>
        </is>
      </c>
      <c r="C738" s="2">
        <v>279838017</v>
      </c>
      <c r="D738" s="2" t="inlineStr">
        <is>
          <t>Derzh-Prost4</t>
        </is>
      </c>
      <c r="E738" s="2" t="inlineStr">
        <is>
          <t>2041720919577</t>
        </is>
      </c>
      <c r="F738" s="2">
        <v>0</v>
      </c>
      <c r="G738" s="2">
        <v>1</v>
      </c>
      <c r="H738" s="2" t="inlineStr">
        <is>
          <t/>
        </is>
      </c>
      <c r="I738" s="2" t="inlineStr">
        <is>
          <t>390</t>
        </is>
      </c>
      <c r="J738" s="4"/>
      <c r="K738" s="2">
        <v>3</v>
      </c>
      <c r="L738" s="6"/>
      <c r="M738" s="2" t="str">
        <f>IF(J738="",ROUND(I738*(1-IF(ISBLANK(L738),K738,L738)/100),2),ROUND(J738*(1-IF(ISBLANK(L738),K738,L738)/100),2))</f>
      </c>
      <c r="N738" s="7" t="str">
        <f>IF(NOT(AND(J738="",L738="")),IF(OR(AND(L738&lt;&gt;"",NOT(ISNUMBER(L738))),IFERROR(MOD(L738,1),1)&gt;0,AND(ISNUMBER(L738),OR(L738&lt;0,L738&gt;95))),"Введите целое число от 0 до 95",IF(OR(AND(J738&lt;&gt;"",NOT(ISNUMBER(J738))),IFERROR(MOD(J738,1),1)&gt;0,AND(ISNUMBER(J738),OR(J738&lt;50,J738&gt;20000000))),"Введите целое число от 50 до 20000000",IF(NOT(ABS(IFERROR(VALUE(LEFT(M738,FIND("-",M738)-1)),M738)*100-(5000+2000000000)/2)&lt;=ABS(5000-2000000000)/2),"Цена со скидкой должна быть от 50 до 20000000",IF(IFERROR(VALUE(LEFT(M738,FIND("-",M738)-1)),M738)*229&lt;37830,"Вы уменьшили цену в несколько раз, товар попадет в карантин цен","")))),"")</f>
      </c>
    </row>
    <row r="739">
      <c r="A739" s="2" t="inlineStr">
        <is>
          <t>CuteShop</t>
        </is>
      </c>
      <c r="B739" s="2" t="inlineStr">
        <is>
          <t>Держатели для пустышек</t>
        </is>
      </c>
      <c r="C739" s="2">
        <v>217865759</v>
      </c>
      <c r="D739" s="2" t="inlineStr">
        <is>
          <t>EvgEnot</t>
        </is>
      </c>
      <c r="E739" s="2" t="inlineStr">
        <is>
          <t>2039672017823</t>
        </is>
      </c>
      <c r="F739" s="2">
        <v>0</v>
      </c>
      <c r="G739" s="2">
        <v>0</v>
      </c>
      <c r="H739" s="2" t="inlineStr">
        <is>
          <t/>
        </is>
      </c>
      <c r="I739" s="2" t="inlineStr">
        <is>
          <t>1030</t>
        </is>
      </c>
      <c r="J739" s="4"/>
      <c r="K739" s="2">
        <v>10</v>
      </c>
      <c r="L739" s="6"/>
      <c r="M739" s="2" t="str">
        <f>IF(J739="",ROUND(I739*(1-IF(ISBLANK(L739),K739,L739)/100),2),ROUND(J739*(1-IF(ISBLANK(L739),K739,L739)/100),2))</f>
      </c>
      <c r="N739" s="7" t="str">
        <f>IF(NOT(AND(J739="",L739="")),IF(OR(AND(L739&lt;&gt;"",NOT(ISNUMBER(L739))),IFERROR(MOD(L739,1),1)&gt;0,AND(ISNUMBER(L739),OR(L739&lt;0,L739&gt;95))),"Введите целое число от 0 до 95",IF(OR(AND(J739&lt;&gt;"",NOT(ISNUMBER(J739))),IFERROR(MOD(J739,1),1)&gt;0,AND(ISNUMBER(J739),OR(J739&lt;50,J739&gt;20000000))),"Введите целое число от 50 до 20000000",IF(NOT(ABS(IFERROR(VALUE(LEFT(M739,FIND("-",M739)-1)),M739)*100-(5000+2000000000)/2)&lt;=ABS(5000-2000000000)/2),"Цена со скидкой должна быть от 50 до 20000000",IF(IFERROR(VALUE(LEFT(M739,FIND("-",M739)-1)),M739)*229&lt;92700,"Вы уменьшили цену в несколько раз, товар попадет в карантин цен","")))),"")</f>
      </c>
    </row>
    <row r="740">
      <c r="A740" s="2" t="inlineStr">
        <is>
          <t>CuteShop</t>
        </is>
      </c>
      <c r="B740" s="2" t="inlineStr">
        <is>
          <t>Держатели для пустышек</t>
        </is>
      </c>
      <c r="C740" s="2">
        <v>112358497</v>
      </c>
      <c r="D740" s="2" t="inlineStr">
        <is>
          <t>Alisa</t>
        </is>
      </c>
      <c r="E740" s="2" t="inlineStr">
        <is>
          <t>2038780686624</t>
        </is>
      </c>
      <c r="F740" s="2">
        <v>0</v>
      </c>
      <c r="G740" s="2">
        <v>0</v>
      </c>
      <c r="H740" s="2">
        <v>0</v>
      </c>
      <c r="I740" s="2" t="inlineStr">
        <is>
          <t>1030</t>
        </is>
      </c>
      <c r="J740" s="4"/>
      <c r="K740" s="2">
        <v>10</v>
      </c>
      <c r="L740" s="6"/>
      <c r="M740" s="2" t="str">
        <f>IF(J740="",ROUND(I740*(1-IF(ISBLANK(L740),K740,L740)/100),2),ROUND(J740*(1-IF(ISBLANK(L740),K740,L740)/100),2))</f>
      </c>
      <c r="N740" s="7" t="str">
        <f>IF(NOT(AND(J740="",L740="")),IF(OR(AND(L740&lt;&gt;"",NOT(ISNUMBER(L740))),IFERROR(MOD(L740,1),1)&gt;0,AND(ISNUMBER(L740),OR(L740&lt;0,L740&gt;95))),"Введите целое число от 0 до 95",IF(OR(AND(J740&lt;&gt;"",NOT(ISNUMBER(J740))),IFERROR(MOD(J740,1),1)&gt;0,AND(ISNUMBER(J740),OR(J740&lt;50,J740&gt;20000000))),"Введите целое число от 50 до 20000000",IF(NOT(ABS(IFERROR(VALUE(LEFT(M740,FIND("-",M740)-1)),M740)*100-(5000+2000000000)/2)&lt;=ABS(5000-2000000000)/2),"Цена со скидкой должна быть от 50 до 20000000",IF(IFERROR(VALUE(LEFT(M740,FIND("-",M740)-1)),M740)*229&lt;92700,"Вы уменьшили цену в несколько раз, товар попадет в карантин цен","")))),"")</f>
      </c>
    </row>
    <row r="741">
      <c r="A741" s="2" t="inlineStr">
        <is>
          <t>CuteShop</t>
        </is>
      </c>
      <c r="B741" s="2" t="inlineStr">
        <is>
          <t>Держатели для пустышек</t>
        </is>
      </c>
      <c r="C741" s="2">
        <v>88835042</v>
      </c>
      <c r="D741" s="2" t="inlineStr">
        <is>
          <t>MirochkaEdin</t>
        </is>
      </c>
      <c r="E741" s="2" t="inlineStr">
        <is>
          <t>2035428249623</t>
        </is>
      </c>
      <c r="F741" s="2">
        <v>0</v>
      </c>
      <c r="G741" s="2">
        <v>0</v>
      </c>
      <c r="H741" s="2">
        <v>0</v>
      </c>
      <c r="I741" s="2" t="inlineStr">
        <is>
          <t>1030</t>
        </is>
      </c>
      <c r="J741" s="4"/>
      <c r="K741" s="2">
        <v>10</v>
      </c>
      <c r="L741" s="6"/>
      <c r="M741" s="2" t="str">
        <f>IF(J741="",ROUND(I741*(1-IF(ISBLANK(L741),K741,L741)/100),2),ROUND(J741*(1-IF(ISBLANK(L741),K741,L741)/100),2))</f>
      </c>
      <c r="N741" s="7" t="str">
        <f>IF(NOT(AND(J741="",L741="")),IF(OR(AND(L741&lt;&gt;"",NOT(ISNUMBER(L741))),IFERROR(MOD(L741,1),1)&gt;0,AND(ISNUMBER(L741),OR(L741&lt;0,L741&gt;95))),"Введите целое число от 0 до 95",IF(OR(AND(J741&lt;&gt;"",NOT(ISNUMBER(J741))),IFERROR(MOD(J741,1),1)&gt;0,AND(ISNUMBER(J741),OR(J741&lt;50,J741&gt;20000000))),"Введите целое число от 50 до 20000000",IF(NOT(ABS(IFERROR(VALUE(LEFT(M741,FIND("-",M741)-1)),M741)*100-(5000+2000000000)/2)&lt;=ABS(5000-2000000000)/2),"Цена со скидкой должна быть от 50 до 20000000",IF(IFERROR(VALUE(LEFT(M741,FIND("-",M741)-1)),M741)*229&lt;92700,"Вы уменьшили цену в несколько раз, товар попадет в карантин цен","")))),"")</f>
      </c>
    </row>
    <row r="742">
      <c r="A742" s="2" t="inlineStr">
        <is>
          <t>CuteShop</t>
        </is>
      </c>
      <c r="B742" s="2" t="inlineStr">
        <is>
          <t>Держатели для пустышек</t>
        </is>
      </c>
      <c r="C742" s="2">
        <v>86249347</v>
      </c>
      <c r="D742" s="2" t="inlineStr">
        <is>
          <t>DarinaMish2</t>
        </is>
      </c>
      <c r="E742" s="2" t="inlineStr">
        <is>
          <t>2033905601629</t>
        </is>
      </c>
      <c r="F742" s="2">
        <v>0</v>
      </c>
      <c r="G742" s="2">
        <v>1</v>
      </c>
      <c r="H742" s="2">
        <v>1</v>
      </c>
      <c r="I742" s="2" t="inlineStr">
        <is>
          <t>1030</t>
        </is>
      </c>
      <c r="J742" s="4"/>
      <c r="K742" s="2">
        <v>10</v>
      </c>
      <c r="L742" s="6"/>
      <c r="M742" s="2" t="str">
        <f>IF(J742="",ROUND(I742*(1-IF(ISBLANK(L742),K742,L742)/100),2),ROUND(J742*(1-IF(ISBLANK(L742),K742,L742)/100),2))</f>
      </c>
      <c r="N742" s="7" t="str">
        <f>IF(NOT(AND(J742="",L742="")),IF(OR(AND(L742&lt;&gt;"",NOT(ISNUMBER(L742))),IFERROR(MOD(L742,1),1)&gt;0,AND(ISNUMBER(L742),OR(L742&lt;0,L742&gt;95))),"Введите целое число от 0 до 95",IF(OR(AND(J742&lt;&gt;"",NOT(ISNUMBER(J742))),IFERROR(MOD(J742,1),1)&gt;0,AND(ISNUMBER(J742),OR(J742&lt;50,J742&gt;20000000))),"Введите целое число от 50 до 20000000",IF(NOT(ABS(IFERROR(VALUE(LEFT(M742,FIND("-",M742)-1)),M742)*100-(5000+2000000000)/2)&lt;=ABS(5000-2000000000)/2),"Цена со скидкой должна быть от 50 до 20000000",IF(IFERROR(VALUE(LEFT(M742,FIND("-",M742)-1)),M742)*229&lt;92700,"Вы уменьшили цену в несколько раз, товар попадет в карантин цен","")))),"")</f>
      </c>
    </row>
    <row r="743">
      <c r="A743" s="2" t="inlineStr">
        <is>
          <t>CuteShop</t>
        </is>
      </c>
      <c r="B743" s="2" t="inlineStr">
        <is>
          <t>Держатели для пустышек</t>
        </is>
      </c>
      <c r="C743" s="2">
        <v>132215462</v>
      </c>
      <c r="D743" s="2" t="inlineStr">
        <is>
          <t>MariyaMaruBG</t>
        </is>
      </c>
      <c r="E743" s="2" t="inlineStr">
        <is>
          <t>2037042509060</t>
        </is>
      </c>
      <c r="F743" s="2">
        <v>0</v>
      </c>
      <c r="G743" s="2">
        <v>1</v>
      </c>
      <c r="H743" s="2">
        <v>1</v>
      </c>
      <c r="I743" s="2" t="inlineStr">
        <is>
          <t>790</t>
        </is>
      </c>
      <c r="J743" s="4"/>
      <c r="K743" s="2">
        <v>10</v>
      </c>
      <c r="L743" s="6"/>
      <c r="M743" s="2" t="str">
        <f>IF(J743="",ROUND(I743*(1-IF(ISBLANK(L743),K743,L743)/100),2),ROUND(J743*(1-IF(ISBLANK(L743),K743,L743)/100),2))</f>
      </c>
      <c r="N743" s="7" t="str">
        <f>IF(NOT(AND(J743="",L743="")),IF(OR(AND(L743&lt;&gt;"",NOT(ISNUMBER(L743))),IFERROR(MOD(L743,1),1)&gt;0,AND(ISNUMBER(L743),OR(L743&lt;0,L743&gt;95))),"Введите целое число от 0 до 95",IF(OR(AND(J743&lt;&gt;"",NOT(ISNUMBER(J743))),IFERROR(MOD(J743,1),1)&gt;0,AND(ISNUMBER(J743),OR(J743&lt;50,J743&gt;20000000))),"Введите целое число от 50 до 20000000",IF(NOT(ABS(IFERROR(VALUE(LEFT(M743,FIND("-",M743)-1)),M743)*100-(5000+2000000000)/2)&lt;=ABS(5000-2000000000)/2),"Цена со скидкой должна быть от 50 до 20000000",IF(IFERROR(VALUE(LEFT(M743,FIND("-",M743)-1)),M743)*229&lt;71100,"Вы уменьшили цену в несколько раз, товар попадет в карантин цен","")))),"")</f>
      </c>
    </row>
    <row r="744">
      <c r="A744" s="2" t="inlineStr">
        <is>
          <t>CuteShop</t>
        </is>
      </c>
      <c r="B744" s="2" t="inlineStr">
        <is>
          <t>Держатели для пустышек</t>
        </is>
      </c>
      <c r="C744" s="2">
        <v>147475326</v>
      </c>
      <c r="D744" s="2" t="inlineStr">
        <is>
          <t>DianaEdin</t>
        </is>
      </c>
      <c r="E744" s="2" t="inlineStr">
        <is>
          <t>2037493810517</t>
        </is>
      </c>
      <c r="F744" s="2">
        <v>0</v>
      </c>
      <c r="G744" s="2">
        <v>0</v>
      </c>
      <c r="H744" s="2">
        <v>1</v>
      </c>
      <c r="I744" s="2" t="inlineStr">
        <is>
          <t>1030</t>
        </is>
      </c>
      <c r="J744" s="4"/>
      <c r="K744" s="2">
        <v>10</v>
      </c>
      <c r="L744" s="6"/>
      <c r="M744" s="2" t="str">
        <f>IF(J744="",ROUND(I744*(1-IF(ISBLANK(L744),K744,L744)/100),2),ROUND(J744*(1-IF(ISBLANK(L744),K744,L744)/100),2))</f>
      </c>
      <c r="N744" s="7" t="str">
        <f>IF(NOT(AND(J744="",L744="")),IF(OR(AND(L744&lt;&gt;"",NOT(ISNUMBER(L744))),IFERROR(MOD(L744,1),1)&gt;0,AND(ISNUMBER(L744),OR(L744&lt;0,L744&gt;95))),"Введите целое число от 0 до 95",IF(OR(AND(J744&lt;&gt;"",NOT(ISNUMBER(J744))),IFERROR(MOD(J744,1),1)&gt;0,AND(ISNUMBER(J744),OR(J744&lt;50,J744&gt;20000000))),"Введите целое число от 50 до 20000000",IF(NOT(ABS(IFERROR(VALUE(LEFT(M744,FIND("-",M744)-1)),M744)*100-(5000+2000000000)/2)&lt;=ABS(5000-2000000000)/2),"Цена со скидкой должна быть от 50 до 20000000",IF(IFERROR(VALUE(LEFT(M744,FIND("-",M744)-1)),M744)*229&lt;92700,"Вы уменьшили цену в несколько раз, товар попадет в карантин цен","")))),"")</f>
      </c>
    </row>
    <row r="745">
      <c r="A745" s="2" t="inlineStr">
        <is>
          <t>CuteShop</t>
        </is>
      </c>
      <c r="B745" s="2" t="inlineStr">
        <is>
          <t>Держатели для пустышек</t>
        </is>
      </c>
      <c r="C745" s="2">
        <v>147844215</v>
      </c>
      <c r="D745" s="2" t="inlineStr">
        <is>
          <t>VovaMish</t>
        </is>
      </c>
      <c r="E745" s="2" t="inlineStr">
        <is>
          <t>2037502977316</t>
        </is>
      </c>
      <c r="F745" s="2">
        <v>0</v>
      </c>
      <c r="G745" s="2">
        <v>1</v>
      </c>
      <c r="H745" s="2" t="inlineStr">
        <is>
          <t/>
        </is>
      </c>
      <c r="I745" s="2" t="inlineStr">
        <is>
          <t>1030</t>
        </is>
      </c>
      <c r="J745" s="4"/>
      <c r="K745" s="2">
        <v>10</v>
      </c>
      <c r="L745" s="6"/>
      <c r="M745" s="2" t="str">
        <f>IF(J745="",ROUND(I745*(1-IF(ISBLANK(L745),K745,L745)/100),2),ROUND(J745*(1-IF(ISBLANK(L745),K745,L745)/100),2))</f>
      </c>
      <c r="N745" s="7" t="str">
        <f>IF(NOT(AND(J745="",L745="")),IF(OR(AND(L745&lt;&gt;"",NOT(ISNUMBER(L745))),IFERROR(MOD(L745,1),1)&gt;0,AND(ISNUMBER(L745),OR(L745&lt;0,L745&gt;95))),"Введите целое число от 0 до 95",IF(OR(AND(J745&lt;&gt;"",NOT(ISNUMBER(J745))),IFERROR(MOD(J745,1),1)&gt;0,AND(ISNUMBER(J745),OR(J745&lt;50,J745&gt;20000000))),"Введите целое число от 50 до 20000000",IF(NOT(ABS(IFERROR(VALUE(LEFT(M745,FIND("-",M745)-1)),M745)*100-(5000+2000000000)/2)&lt;=ABS(5000-2000000000)/2),"Цена со скидкой должна быть от 50 до 20000000",IF(IFERROR(VALUE(LEFT(M745,FIND("-",M745)-1)),M745)*229&lt;92700,"Вы уменьшили цену в несколько раз, товар попадет в карантин цен","")))),"")</f>
      </c>
    </row>
    <row r="746">
      <c r="A746" s="2" t="inlineStr">
        <is>
          <t>CuteShop</t>
        </is>
      </c>
      <c r="B746" s="2" t="inlineStr">
        <is>
          <t>Держатели для пустышек</t>
        </is>
      </c>
      <c r="C746" s="2">
        <v>254314914</v>
      </c>
      <c r="D746" s="2" t="inlineStr">
        <is>
          <t>EmiliLama</t>
        </is>
      </c>
      <c r="E746" s="2" t="inlineStr">
        <is>
          <t>2040977338278</t>
        </is>
      </c>
      <c r="F746" s="2">
        <v>0</v>
      </c>
      <c r="G746" s="2">
        <v>1</v>
      </c>
      <c r="H746" s="2" t="inlineStr">
        <is>
          <t/>
        </is>
      </c>
      <c r="I746" s="2" t="inlineStr">
        <is>
          <t>1030</t>
        </is>
      </c>
      <c r="J746" s="4"/>
      <c r="K746" s="2">
        <v>10</v>
      </c>
      <c r="L746" s="6"/>
      <c r="M746" s="2" t="str">
        <f>IF(J746="",ROUND(I746*(1-IF(ISBLANK(L746),K746,L746)/100),2),ROUND(J746*(1-IF(ISBLANK(L746),K746,L746)/100),2))</f>
      </c>
      <c r="N746" s="7" t="str">
        <f>IF(NOT(AND(J746="",L746="")),IF(OR(AND(L746&lt;&gt;"",NOT(ISNUMBER(L746))),IFERROR(MOD(L746,1),1)&gt;0,AND(ISNUMBER(L746),OR(L746&lt;0,L746&gt;95))),"Введите целое число от 0 до 95",IF(OR(AND(J746&lt;&gt;"",NOT(ISNUMBER(J746))),IFERROR(MOD(J746,1),1)&gt;0,AND(ISNUMBER(J746),OR(J746&lt;50,J746&gt;20000000))),"Введите целое число от 50 до 20000000",IF(NOT(ABS(IFERROR(VALUE(LEFT(M746,FIND("-",M746)-1)),M746)*100-(5000+2000000000)/2)&lt;=ABS(5000-2000000000)/2),"Цена со скидкой должна быть от 50 до 20000000",IF(IFERROR(VALUE(LEFT(M746,FIND("-",M746)-1)),M746)*229&lt;92700,"Вы уменьшили цену в несколько раз, товар попадет в карантин цен","")))),"")</f>
      </c>
    </row>
    <row r="747">
      <c r="A747" s="2" t="inlineStr">
        <is>
          <t>CuteShop</t>
        </is>
      </c>
      <c r="B747" s="2" t="inlineStr">
        <is>
          <t>Держатели для пустышек</t>
        </is>
      </c>
      <c r="C747" s="2">
        <v>110884110</v>
      </c>
      <c r="D747" s="2" t="inlineStr">
        <is>
          <t>Sofiya2BG</t>
        </is>
      </c>
      <c r="E747" s="2" t="inlineStr">
        <is>
          <t>2037218348622</t>
        </is>
      </c>
      <c r="F747" s="2">
        <v>0</v>
      </c>
      <c r="G747" s="2">
        <v>1</v>
      </c>
      <c r="H747" s="2">
        <v>1</v>
      </c>
      <c r="I747" s="2" t="inlineStr">
        <is>
          <t>790</t>
        </is>
      </c>
      <c r="J747" s="4"/>
      <c r="K747" s="2">
        <v>10</v>
      </c>
      <c r="L747" s="6"/>
      <c r="M747" s="2" t="str">
        <f>IF(J747="",ROUND(I747*(1-IF(ISBLANK(L747),K747,L747)/100),2),ROUND(J747*(1-IF(ISBLANK(L747),K747,L747)/100),2))</f>
      </c>
      <c r="N747" s="7" t="str">
        <f>IF(NOT(AND(J747="",L747="")),IF(OR(AND(L747&lt;&gt;"",NOT(ISNUMBER(L747))),IFERROR(MOD(L747,1),1)&gt;0,AND(ISNUMBER(L747),OR(L747&lt;0,L747&gt;95))),"Введите целое число от 0 до 95",IF(OR(AND(J747&lt;&gt;"",NOT(ISNUMBER(J747))),IFERROR(MOD(J747,1),1)&gt;0,AND(ISNUMBER(J747),OR(J747&lt;50,J747&gt;20000000))),"Введите целое число от 50 до 20000000",IF(NOT(ABS(IFERROR(VALUE(LEFT(M747,FIND("-",M747)-1)),M747)*100-(5000+2000000000)/2)&lt;=ABS(5000-2000000000)/2),"Цена со скидкой должна быть от 50 до 20000000",IF(IFERROR(VALUE(LEFT(M747,FIND("-",M747)-1)),M747)*229&lt;71100,"Вы уменьшили цену в несколько раз, товар попадет в карантин цен","")))),"")</f>
      </c>
    </row>
    <row r="748">
      <c r="A748" s="2" t="inlineStr">
        <is>
          <t>CuteShop</t>
        </is>
      </c>
      <c r="B748" s="2" t="inlineStr">
        <is>
          <t>Держатели для пустышек</t>
        </is>
      </c>
      <c r="C748" s="2">
        <v>201104384</v>
      </c>
      <c r="D748" s="2" t="inlineStr">
        <is>
          <t>Derzh-Malch1</t>
        </is>
      </c>
      <c r="E748" s="2" t="inlineStr">
        <is>
          <t>2039326369551</t>
        </is>
      </c>
      <c r="F748" s="2">
        <v>0</v>
      </c>
      <c r="G748" s="2">
        <v>1</v>
      </c>
      <c r="H748" s="2" t="inlineStr">
        <is>
          <t/>
        </is>
      </c>
      <c r="I748" s="2" t="inlineStr">
        <is>
          <t>550</t>
        </is>
      </c>
      <c r="J748" s="4"/>
      <c r="K748" s="2">
        <v>5</v>
      </c>
      <c r="L748" s="6"/>
      <c r="M748" s="2" t="str">
        <f>IF(J748="",ROUND(I748*(1-IF(ISBLANK(L748),K748,L748)/100),2),ROUND(J748*(1-IF(ISBLANK(L748),K748,L748)/100),2))</f>
      </c>
      <c r="N748" s="7" t="str">
        <f>IF(NOT(AND(J748="",L748="")),IF(OR(AND(L748&lt;&gt;"",NOT(ISNUMBER(L748))),IFERROR(MOD(L748,1),1)&gt;0,AND(ISNUMBER(L748),OR(L748&lt;0,L748&gt;95))),"Введите целое число от 0 до 95",IF(OR(AND(J748&lt;&gt;"",NOT(ISNUMBER(J748))),IFERROR(MOD(J748,1),1)&gt;0,AND(ISNUMBER(J748),OR(J748&lt;50,J748&gt;20000000))),"Введите целое число от 50 до 20000000",IF(NOT(ABS(IFERROR(VALUE(LEFT(M748,FIND("-",M748)-1)),M748)*100-(5000+2000000000)/2)&lt;=ABS(5000-2000000000)/2),"Цена со скидкой должна быть от 50 до 20000000",IF(IFERROR(VALUE(LEFT(M748,FIND("-",M748)-1)),M748)*229&lt;52250,"Вы уменьшили цену в несколько раз, товар попадет в карантин цен","")))),"")</f>
      </c>
    </row>
    <row r="749">
      <c r="A749" s="2" t="inlineStr">
        <is>
          <t>CuteShop</t>
        </is>
      </c>
      <c r="B749" s="2" t="inlineStr">
        <is>
          <t>Держатели для пустышек</t>
        </is>
      </c>
      <c r="C749" s="2">
        <v>172141657</v>
      </c>
      <c r="D749" s="2" t="inlineStr">
        <is>
          <t xml:space="preserve"> Kameliya</t>
        </is>
      </c>
      <c r="E749" s="2" t="inlineStr">
        <is>
          <t>2038300568935</t>
        </is>
      </c>
      <c r="F749" s="2">
        <v>0</v>
      </c>
      <c r="G749" s="2">
        <v>0</v>
      </c>
      <c r="H749" s="2" t="inlineStr">
        <is>
          <t/>
        </is>
      </c>
      <c r="I749" s="2" t="inlineStr">
        <is>
          <t>790</t>
        </is>
      </c>
      <c r="J749" s="4"/>
      <c r="K749" s="2">
        <v>10</v>
      </c>
      <c r="L749" s="6"/>
      <c r="M749" s="2" t="str">
        <f>IF(J749="",ROUND(I749*(1-IF(ISBLANK(L749),K749,L749)/100),2),ROUND(J749*(1-IF(ISBLANK(L749),K749,L749)/100),2))</f>
      </c>
      <c r="N749" s="7" t="str">
        <f>IF(NOT(AND(J749="",L749="")),IF(OR(AND(L749&lt;&gt;"",NOT(ISNUMBER(L749))),IFERROR(MOD(L749,1),1)&gt;0,AND(ISNUMBER(L749),OR(L749&lt;0,L749&gt;95))),"Введите целое число от 0 до 95",IF(OR(AND(J749&lt;&gt;"",NOT(ISNUMBER(J749))),IFERROR(MOD(J749,1),1)&gt;0,AND(ISNUMBER(J749),OR(J749&lt;50,J749&gt;20000000))),"Введите целое число от 50 до 20000000",IF(NOT(ABS(IFERROR(VALUE(LEFT(M749,FIND("-",M749)-1)),M749)*100-(5000+2000000000)/2)&lt;=ABS(5000-2000000000)/2),"Цена со скидкой должна быть от 50 до 20000000",IF(IFERROR(VALUE(LEFT(M749,FIND("-",M749)-1)),M749)*229&lt;71100,"Вы уменьшили цену в несколько раз, товар попадет в карантин цен","")))),"")</f>
      </c>
    </row>
    <row r="750">
      <c r="A750" s="2" t="inlineStr">
        <is>
          <t>CuteShop</t>
        </is>
      </c>
      <c r="B750" s="2" t="inlineStr">
        <is>
          <t>Держатели для пустышек</t>
        </is>
      </c>
      <c r="C750" s="2">
        <v>150086065</v>
      </c>
      <c r="D750" s="2" t="inlineStr">
        <is>
          <t>ElzaMish</t>
        </is>
      </c>
      <c r="E750" s="2" t="inlineStr">
        <is>
          <t>2037563076652</t>
        </is>
      </c>
      <c r="F750" s="2">
        <v>0</v>
      </c>
      <c r="G750" s="2">
        <v>1</v>
      </c>
      <c r="H750" s="2" t="inlineStr">
        <is>
          <t/>
        </is>
      </c>
      <c r="I750" s="2" t="inlineStr">
        <is>
          <t>1030</t>
        </is>
      </c>
      <c r="J750" s="4"/>
      <c r="K750" s="2">
        <v>10</v>
      </c>
      <c r="L750" s="6"/>
      <c r="M750" s="2" t="str">
        <f>IF(J750="",ROUND(I750*(1-IF(ISBLANK(L750),K750,L750)/100),2),ROUND(J750*(1-IF(ISBLANK(L750),K750,L750)/100),2))</f>
      </c>
      <c r="N750" s="7" t="str">
        <f>IF(NOT(AND(J750="",L750="")),IF(OR(AND(L750&lt;&gt;"",NOT(ISNUMBER(L750))),IFERROR(MOD(L750,1),1)&gt;0,AND(ISNUMBER(L750),OR(L750&lt;0,L750&gt;95))),"Введите целое число от 0 до 95",IF(OR(AND(J750&lt;&gt;"",NOT(ISNUMBER(J750))),IFERROR(MOD(J750,1),1)&gt;0,AND(ISNUMBER(J750),OR(J750&lt;50,J750&gt;20000000))),"Введите целое число от 50 до 20000000",IF(NOT(ABS(IFERROR(VALUE(LEFT(M750,FIND("-",M750)-1)),M750)*100-(5000+2000000000)/2)&lt;=ABS(5000-2000000000)/2),"Цена со скидкой должна быть от 50 до 20000000",IF(IFERROR(VALUE(LEFT(M750,FIND("-",M750)-1)),M750)*229&lt;92700,"Вы уменьшили цену в несколько раз, товар попадет в карантин цен","")))),"")</f>
      </c>
    </row>
    <row r="751">
      <c r="A751" s="2" t="inlineStr">
        <is>
          <t>CuteShop</t>
        </is>
      </c>
      <c r="B751" s="2" t="inlineStr">
        <is>
          <t>Держатели для пустышек</t>
        </is>
      </c>
      <c r="C751" s="2">
        <v>147473619</v>
      </c>
      <c r="D751" s="2" t="inlineStr">
        <is>
          <t>DianaKot</t>
        </is>
      </c>
      <c r="E751" s="2" t="inlineStr">
        <is>
          <t>2037493797597</t>
        </is>
      </c>
      <c r="F751" s="2">
        <v>0</v>
      </c>
      <c r="G751" s="2">
        <v>0</v>
      </c>
      <c r="H751" s="2">
        <v>0</v>
      </c>
      <c r="I751" s="2" t="inlineStr">
        <is>
          <t>1030</t>
        </is>
      </c>
      <c r="J751" s="4"/>
      <c r="K751" s="2">
        <v>10</v>
      </c>
      <c r="L751" s="6"/>
      <c r="M751" s="2" t="str">
        <f>IF(J751="",ROUND(I751*(1-IF(ISBLANK(L751),K751,L751)/100),2),ROUND(J751*(1-IF(ISBLANK(L751),K751,L751)/100),2))</f>
      </c>
      <c r="N751" s="7" t="str">
        <f>IF(NOT(AND(J751="",L751="")),IF(OR(AND(L751&lt;&gt;"",NOT(ISNUMBER(L751))),IFERROR(MOD(L751,1),1)&gt;0,AND(ISNUMBER(L751),OR(L751&lt;0,L751&gt;95))),"Введите целое число от 0 до 95",IF(OR(AND(J751&lt;&gt;"",NOT(ISNUMBER(J751))),IFERROR(MOD(J751,1),1)&gt;0,AND(ISNUMBER(J751),OR(J751&lt;50,J751&gt;20000000))),"Введите целое число от 50 до 20000000",IF(NOT(ABS(IFERROR(VALUE(LEFT(M751,FIND("-",M751)-1)),M751)*100-(5000+2000000000)/2)&lt;=ABS(5000-2000000000)/2),"Цена со скидкой должна быть от 50 до 20000000",IF(IFERROR(VALUE(LEFT(M751,FIND("-",M751)-1)),M751)*229&lt;92700,"Вы уменьшили цену в несколько раз, товар попадет в карантин цен","")))),"")</f>
      </c>
    </row>
    <row r="752">
      <c r="A752" s="2" t="inlineStr">
        <is>
          <t>CuteShop</t>
        </is>
      </c>
      <c r="B752" s="2" t="inlineStr">
        <is>
          <t>Держатели для пустышек</t>
        </is>
      </c>
      <c r="C752" s="2">
        <v>150867409</v>
      </c>
      <c r="D752" s="2" t="inlineStr">
        <is>
          <t>ElzaBel</t>
        </is>
      </c>
      <c r="E752" s="2" t="inlineStr">
        <is>
          <t>2037585334310</t>
        </is>
      </c>
      <c r="F752" s="2">
        <v>0</v>
      </c>
      <c r="G752" s="2">
        <v>1</v>
      </c>
      <c r="H752" s="2" t="inlineStr">
        <is>
          <t/>
        </is>
      </c>
      <c r="I752" s="2" t="inlineStr">
        <is>
          <t>1020</t>
        </is>
      </c>
      <c r="J752" s="4"/>
      <c r="K752" s="2">
        <v>10</v>
      </c>
      <c r="L752" s="6"/>
      <c r="M752" s="2" t="str">
        <f>IF(J752="",ROUND(I752*(1-IF(ISBLANK(L752),K752,L752)/100),2),ROUND(J752*(1-IF(ISBLANK(L752),K752,L752)/100),2))</f>
      </c>
      <c r="N752" s="7" t="str">
        <f>IF(NOT(AND(J752="",L752="")),IF(OR(AND(L752&lt;&gt;"",NOT(ISNUMBER(L752))),IFERROR(MOD(L752,1),1)&gt;0,AND(ISNUMBER(L752),OR(L752&lt;0,L752&gt;95))),"Введите целое число от 0 до 95",IF(OR(AND(J752&lt;&gt;"",NOT(ISNUMBER(J752))),IFERROR(MOD(J752,1),1)&gt;0,AND(ISNUMBER(J752),OR(J752&lt;50,J752&gt;20000000))),"Введите целое число от 50 до 20000000",IF(NOT(ABS(IFERROR(VALUE(LEFT(M752,FIND("-",M752)-1)),M752)*100-(5000+2000000000)/2)&lt;=ABS(5000-2000000000)/2),"Цена со скидкой должна быть от 50 до 20000000",IF(IFERROR(VALUE(LEFT(M752,FIND("-",M752)-1)),M752)*229&lt;91800,"Вы уменьшили цену в несколько раз, товар попадет в карантин цен","")))),"")</f>
      </c>
    </row>
    <row r="753">
      <c r="A753" s="2" t="inlineStr">
        <is>
          <t>CuteShop</t>
        </is>
      </c>
      <c r="B753" s="2" t="inlineStr">
        <is>
          <t>Держатели для пустышек</t>
        </is>
      </c>
      <c r="C753" s="2">
        <v>117638710</v>
      </c>
      <c r="D753" s="2" t="inlineStr">
        <is>
          <t>VeronikaKoala</t>
        </is>
      </c>
      <c r="E753" s="2" t="inlineStr">
        <is>
          <t>2042165220624</t>
        </is>
      </c>
      <c r="F753" s="2">
        <v>0</v>
      </c>
      <c r="G753" s="2">
        <v>1</v>
      </c>
      <c r="H753" s="2">
        <v>0</v>
      </c>
      <c r="I753" s="2" t="inlineStr">
        <is>
          <t>1030</t>
        </is>
      </c>
      <c r="J753" s="4"/>
      <c r="K753" s="2">
        <v>10</v>
      </c>
      <c r="L753" s="6"/>
      <c r="M753" s="2" t="str">
        <f>IF(J753="",ROUND(I753*(1-IF(ISBLANK(L753),K753,L753)/100),2),ROUND(J753*(1-IF(ISBLANK(L753),K753,L753)/100),2))</f>
      </c>
      <c r="N753" s="7" t="str">
        <f>IF(NOT(AND(J753="",L753="")),IF(OR(AND(L753&lt;&gt;"",NOT(ISNUMBER(L753))),IFERROR(MOD(L753,1),1)&gt;0,AND(ISNUMBER(L753),OR(L753&lt;0,L753&gt;95))),"Введите целое число от 0 до 95",IF(OR(AND(J753&lt;&gt;"",NOT(ISNUMBER(J753))),IFERROR(MOD(J753,1),1)&gt;0,AND(ISNUMBER(J753),OR(J753&lt;50,J753&gt;20000000))),"Введите целое число от 50 до 20000000",IF(NOT(ABS(IFERROR(VALUE(LEFT(M753,FIND("-",M753)-1)),M753)*100-(5000+2000000000)/2)&lt;=ABS(5000-2000000000)/2),"Цена со скидкой должна быть от 50 до 20000000",IF(IFERROR(VALUE(LEFT(M753,FIND("-",M753)-1)),M753)*229&lt;92700,"Вы уменьшили цену в несколько раз, товар попадет в карантин цен","")))),"")</f>
      </c>
    </row>
    <row r="754">
      <c r="A754" s="2" t="inlineStr">
        <is>
          <t>CuteShop</t>
        </is>
      </c>
      <c r="B754" s="2" t="inlineStr">
        <is>
          <t>Держатели для пустышек</t>
        </is>
      </c>
      <c r="C754" s="2">
        <v>156245270</v>
      </c>
      <c r="D754" s="2" t="inlineStr">
        <is>
          <t>StepanPanda2</t>
        </is>
      </c>
      <c r="E754" s="2" t="inlineStr">
        <is>
          <t>2037706355552</t>
        </is>
      </c>
      <c r="F754" s="2">
        <v>0</v>
      </c>
      <c r="G754" s="2">
        <v>0</v>
      </c>
      <c r="H754" s="2">
        <v>1</v>
      </c>
      <c r="I754" s="2" t="inlineStr">
        <is>
          <t>1030</t>
        </is>
      </c>
      <c r="J754" s="4"/>
      <c r="K754" s="2">
        <v>10</v>
      </c>
      <c r="L754" s="6"/>
      <c r="M754" s="2" t="str">
        <f>IF(J754="",ROUND(I754*(1-IF(ISBLANK(L754),K754,L754)/100),2),ROUND(J754*(1-IF(ISBLANK(L754),K754,L754)/100),2))</f>
      </c>
      <c r="N754" s="7" t="str">
        <f>IF(NOT(AND(J754="",L754="")),IF(OR(AND(L754&lt;&gt;"",NOT(ISNUMBER(L754))),IFERROR(MOD(L754,1),1)&gt;0,AND(ISNUMBER(L754),OR(L754&lt;0,L754&gt;95))),"Введите целое число от 0 до 95",IF(OR(AND(J754&lt;&gt;"",NOT(ISNUMBER(J754))),IFERROR(MOD(J754,1),1)&gt;0,AND(ISNUMBER(J754),OR(J754&lt;50,J754&gt;20000000))),"Введите целое число от 50 до 20000000",IF(NOT(ABS(IFERROR(VALUE(LEFT(M754,FIND("-",M754)-1)),M754)*100-(5000+2000000000)/2)&lt;=ABS(5000-2000000000)/2),"Цена со скидкой должна быть от 50 до 20000000",IF(IFERROR(VALUE(LEFT(M754,FIND("-",M754)-1)),M754)*229&lt;92700,"Вы уменьшили цену в несколько раз, товар попадет в карантин цен","")))),"")</f>
      </c>
    </row>
    <row r="755">
      <c r="A755" s="2" t="inlineStr">
        <is>
          <t>CuteShop</t>
        </is>
      </c>
      <c r="B755" s="2" t="inlineStr">
        <is>
          <t>Держатели для пустышек</t>
        </is>
      </c>
      <c r="C755" s="2">
        <v>117609415</v>
      </c>
      <c r="D755" s="2" t="inlineStr">
        <is>
          <t>LizaBG</t>
        </is>
      </c>
      <c r="E755" s="2" t="inlineStr">
        <is>
          <t>2042148190623</t>
        </is>
      </c>
      <c r="F755" s="2">
        <v>0</v>
      </c>
      <c r="G755" s="2">
        <v>1</v>
      </c>
      <c r="H755" s="2">
        <v>0</v>
      </c>
      <c r="I755" s="2" t="inlineStr">
        <is>
          <t>790</t>
        </is>
      </c>
      <c r="J755" s="4"/>
      <c r="K755" s="2">
        <v>10</v>
      </c>
      <c r="L755" s="6"/>
      <c r="M755" s="2" t="str">
        <f>IF(J755="",ROUND(I755*(1-IF(ISBLANK(L755),K755,L755)/100),2),ROUND(J755*(1-IF(ISBLANK(L755),K755,L755)/100),2))</f>
      </c>
      <c r="N755" s="7" t="str">
        <f>IF(NOT(AND(J755="",L755="")),IF(OR(AND(L755&lt;&gt;"",NOT(ISNUMBER(L755))),IFERROR(MOD(L755,1),1)&gt;0,AND(ISNUMBER(L755),OR(L755&lt;0,L755&gt;95))),"Введите целое число от 0 до 95",IF(OR(AND(J755&lt;&gt;"",NOT(ISNUMBER(J755))),IFERROR(MOD(J755,1),1)&gt;0,AND(ISNUMBER(J755),OR(J755&lt;50,J755&gt;20000000))),"Введите целое число от 50 до 20000000",IF(NOT(ABS(IFERROR(VALUE(LEFT(M755,FIND("-",M755)-1)),M755)*100-(5000+2000000000)/2)&lt;=ABS(5000-2000000000)/2),"Цена со скидкой должна быть от 50 до 20000000",IF(IFERROR(VALUE(LEFT(M755,FIND("-",M755)-1)),M755)*229&lt;71100,"Вы уменьшили цену в несколько раз, товар попадет в карантин цен","")))),"")</f>
      </c>
    </row>
    <row r="756">
      <c r="A756" s="2" t="inlineStr">
        <is>
          <t>CuteShop</t>
        </is>
      </c>
      <c r="B756" s="2" t="inlineStr">
        <is>
          <t>Держатели для пустышек</t>
        </is>
      </c>
      <c r="C756" s="2">
        <v>111031949</v>
      </c>
      <c r="D756" s="2" t="inlineStr">
        <is>
          <t>IlyaPanda</t>
        </is>
      </c>
      <c r="E756" s="2" t="inlineStr">
        <is>
          <t>2037464966625</t>
        </is>
      </c>
      <c r="F756" s="2">
        <v>0</v>
      </c>
      <c r="G756" s="2">
        <v>0</v>
      </c>
      <c r="H756" s="2">
        <v>0</v>
      </c>
      <c r="I756" s="2" t="inlineStr">
        <is>
          <t>1030</t>
        </is>
      </c>
      <c r="J756" s="4"/>
      <c r="K756" s="2">
        <v>10</v>
      </c>
      <c r="L756" s="6"/>
      <c r="M756" s="2" t="str">
        <f>IF(J756="",ROUND(I756*(1-IF(ISBLANK(L756),K756,L756)/100),2),ROUND(J756*(1-IF(ISBLANK(L756),K756,L756)/100),2))</f>
      </c>
      <c r="N756" s="7" t="str">
        <f>IF(NOT(AND(J756="",L756="")),IF(OR(AND(L756&lt;&gt;"",NOT(ISNUMBER(L756))),IFERROR(MOD(L756,1),1)&gt;0,AND(ISNUMBER(L756),OR(L756&lt;0,L756&gt;95))),"Введите целое число от 0 до 95",IF(OR(AND(J756&lt;&gt;"",NOT(ISNUMBER(J756))),IFERROR(MOD(J756,1),1)&gt;0,AND(ISNUMBER(J756),OR(J756&lt;50,J756&gt;20000000))),"Введите целое число от 50 до 20000000",IF(NOT(ABS(IFERROR(VALUE(LEFT(M756,FIND("-",M756)-1)),M756)*100-(5000+2000000000)/2)&lt;=ABS(5000-2000000000)/2),"Цена со скидкой должна быть от 50 до 20000000",IF(IFERROR(VALUE(LEFT(M756,FIND("-",M756)-1)),M756)*229&lt;92700,"Вы уменьшили цену в несколько раз, товар попадет в карантин цен","")))),"")</f>
      </c>
    </row>
    <row r="757">
      <c r="A757" s="2" t="inlineStr">
        <is>
          <t>CuteShop</t>
        </is>
      </c>
      <c r="B757" s="2" t="inlineStr">
        <is>
          <t>Держатели для пустышек</t>
        </is>
      </c>
      <c r="C757" s="2">
        <v>172165895</v>
      </c>
      <c r="D757" s="2" t="inlineStr">
        <is>
          <t>ArianaKoala2</t>
        </is>
      </c>
      <c r="E757" s="2" t="inlineStr">
        <is>
          <t>2038301601150</t>
        </is>
      </c>
      <c r="F757" s="2">
        <v>0</v>
      </c>
      <c r="G757" s="2">
        <v>1</v>
      </c>
      <c r="H757" s="2">
        <v>1</v>
      </c>
      <c r="I757" s="2" t="inlineStr">
        <is>
          <t>1030</t>
        </is>
      </c>
      <c r="J757" s="4"/>
      <c r="K757" s="2">
        <v>10</v>
      </c>
      <c r="L757" s="6"/>
      <c r="M757" s="2" t="str">
        <f>IF(J757="",ROUND(I757*(1-IF(ISBLANK(L757),K757,L757)/100),2),ROUND(J757*(1-IF(ISBLANK(L757),K757,L757)/100),2))</f>
      </c>
      <c r="N757" s="7" t="str">
        <f>IF(NOT(AND(J757="",L757="")),IF(OR(AND(L757&lt;&gt;"",NOT(ISNUMBER(L757))),IFERROR(MOD(L757,1),1)&gt;0,AND(ISNUMBER(L757),OR(L757&lt;0,L757&gt;95))),"Введите целое число от 0 до 95",IF(OR(AND(J757&lt;&gt;"",NOT(ISNUMBER(J757))),IFERROR(MOD(J757,1),1)&gt;0,AND(ISNUMBER(J757),OR(J757&lt;50,J757&gt;20000000))),"Введите целое число от 50 до 20000000",IF(NOT(ABS(IFERROR(VALUE(LEFT(M757,FIND("-",M757)-1)),M757)*100-(5000+2000000000)/2)&lt;=ABS(5000-2000000000)/2),"Цена со скидкой должна быть от 50 до 20000000",IF(IFERROR(VALUE(LEFT(M757,FIND("-",M757)-1)),M757)*229&lt;92700,"Вы уменьшили цену в несколько раз, товар попадет в карантин цен","")))),"")</f>
      </c>
    </row>
    <row r="758">
      <c r="A758" s="2" t="inlineStr">
        <is>
          <t>CuteShop</t>
        </is>
      </c>
      <c r="B758" s="2" t="inlineStr">
        <is>
          <t>Держатели для пустышек</t>
        </is>
      </c>
      <c r="C758" s="2">
        <v>116850835</v>
      </c>
      <c r="D758" s="2" t="inlineStr">
        <is>
          <t>DerzhProstPandaGol</t>
        </is>
      </c>
      <c r="E758" s="2" t="inlineStr">
        <is>
          <t>2041865666626</t>
        </is>
      </c>
      <c r="F758" s="2">
        <v>0</v>
      </c>
      <c r="G758" s="2">
        <v>0</v>
      </c>
      <c r="H758" s="2" t="inlineStr">
        <is>
          <t/>
        </is>
      </c>
      <c r="I758" s="2" t="inlineStr">
        <is>
          <t>643</t>
        </is>
      </c>
      <c r="J758" s="4"/>
      <c r="K758" s="2">
        <v>10</v>
      </c>
      <c r="L758" s="6"/>
      <c r="M758" s="2" t="str">
        <f>IF(J758="",ROUND(I758*(1-IF(ISBLANK(L758),K758,L758)/100),2),ROUND(J758*(1-IF(ISBLANK(L758),K758,L758)/100),2))</f>
      </c>
      <c r="N758" s="7" t="str">
        <f>IF(NOT(AND(J758="",L758="")),IF(OR(AND(L758&lt;&gt;"",NOT(ISNUMBER(L758))),IFERROR(MOD(L758,1),1)&gt;0,AND(ISNUMBER(L758),OR(L758&lt;0,L758&gt;95))),"Введите целое число от 0 до 95",IF(OR(AND(J758&lt;&gt;"",NOT(ISNUMBER(J758))),IFERROR(MOD(J758,1),1)&gt;0,AND(ISNUMBER(J758),OR(J758&lt;50,J758&gt;20000000))),"Введите целое число от 50 до 20000000",IF(NOT(ABS(IFERROR(VALUE(LEFT(M758,FIND("-",M758)-1)),M758)*100-(5000+2000000000)/2)&lt;=ABS(5000-2000000000)/2),"Цена со скидкой должна быть от 50 до 20000000",IF(IFERROR(VALUE(LEFT(M758,FIND("-",M758)-1)),M758)*229&lt;57870,"Вы уменьшили цену в несколько раз, товар попадет в карантин цен","")))),"")</f>
      </c>
    </row>
    <row r="759">
      <c r="A759" s="2" t="inlineStr">
        <is>
          <t>CuteShop</t>
        </is>
      </c>
      <c r="B759" s="2" t="inlineStr">
        <is>
          <t>Держатели для пустышек</t>
        </is>
      </c>
      <c r="C759" s="2">
        <v>172141658</v>
      </c>
      <c r="D759" s="2" t="inlineStr">
        <is>
          <t>KameliyaZay</t>
        </is>
      </c>
      <c r="E759" s="2" t="inlineStr">
        <is>
          <t>2038300575063</t>
        </is>
      </c>
      <c r="F759" s="2">
        <v>0</v>
      </c>
      <c r="G759" s="2">
        <v>0</v>
      </c>
      <c r="H759" s="2" t="inlineStr">
        <is>
          <t/>
        </is>
      </c>
      <c r="I759" s="2" t="inlineStr">
        <is>
          <t>1030</t>
        </is>
      </c>
      <c r="J759" s="4"/>
      <c r="K759" s="2">
        <v>10</v>
      </c>
      <c r="L759" s="6"/>
      <c r="M759" s="2" t="str">
        <f>IF(J759="",ROUND(I759*(1-IF(ISBLANK(L759),K759,L759)/100),2),ROUND(J759*(1-IF(ISBLANK(L759),K759,L759)/100),2))</f>
      </c>
      <c r="N759" s="7" t="str">
        <f>IF(NOT(AND(J759="",L759="")),IF(OR(AND(L759&lt;&gt;"",NOT(ISNUMBER(L759))),IFERROR(MOD(L759,1),1)&gt;0,AND(ISNUMBER(L759),OR(L759&lt;0,L759&gt;95))),"Введите целое число от 0 до 95",IF(OR(AND(J759&lt;&gt;"",NOT(ISNUMBER(J759))),IFERROR(MOD(J759,1),1)&gt;0,AND(ISNUMBER(J759),OR(J759&lt;50,J759&gt;20000000))),"Введите целое число от 50 до 20000000",IF(NOT(ABS(IFERROR(VALUE(LEFT(M759,FIND("-",M759)-1)),M759)*100-(5000+2000000000)/2)&lt;=ABS(5000-2000000000)/2),"Цена со скидкой должна быть от 50 до 20000000",IF(IFERROR(VALUE(LEFT(M759,FIND("-",M759)-1)),M759)*229&lt;92700,"Вы уменьшили цену в несколько раз, товар попадет в карантин цен","")))),"")</f>
      </c>
    </row>
    <row r="760">
      <c r="A760" s="2" t="inlineStr">
        <is>
          <t>CuteShop</t>
        </is>
      </c>
      <c r="B760" s="2" t="inlineStr">
        <is>
          <t>Держатели для пустышек</t>
        </is>
      </c>
      <c r="C760" s="2">
        <v>172141659</v>
      </c>
      <c r="D760" s="2" t="inlineStr">
        <is>
          <t>KameliyaEdin2</t>
        </is>
      </c>
      <c r="E760" s="2" t="inlineStr">
        <is>
          <t>2038300583129</t>
        </is>
      </c>
      <c r="F760" s="2">
        <v>0</v>
      </c>
      <c r="G760" s="2">
        <v>0</v>
      </c>
      <c r="H760" s="2" t="inlineStr">
        <is>
          <t/>
        </is>
      </c>
      <c r="I760" s="2" t="inlineStr">
        <is>
          <t>1030</t>
        </is>
      </c>
      <c r="J760" s="4"/>
      <c r="K760" s="2">
        <v>10</v>
      </c>
      <c r="L760" s="6"/>
      <c r="M760" s="2" t="str">
        <f>IF(J760="",ROUND(I760*(1-IF(ISBLANK(L760),K760,L760)/100),2),ROUND(J760*(1-IF(ISBLANK(L760),K760,L760)/100),2))</f>
      </c>
      <c r="N760" s="7" t="str">
        <f>IF(NOT(AND(J760="",L760="")),IF(OR(AND(L760&lt;&gt;"",NOT(ISNUMBER(L760))),IFERROR(MOD(L760,1),1)&gt;0,AND(ISNUMBER(L760),OR(L760&lt;0,L760&gt;95))),"Введите целое число от 0 до 95",IF(OR(AND(J760&lt;&gt;"",NOT(ISNUMBER(J760))),IFERROR(MOD(J760,1),1)&gt;0,AND(ISNUMBER(J760),OR(J760&lt;50,J760&gt;20000000))),"Введите целое число от 50 до 20000000",IF(NOT(ABS(IFERROR(VALUE(LEFT(M760,FIND("-",M760)-1)),M760)*100-(5000+2000000000)/2)&lt;=ABS(5000-2000000000)/2),"Цена со скидкой должна быть от 50 до 20000000",IF(IFERROR(VALUE(LEFT(M760,FIND("-",M760)-1)),M760)*229&lt;92700,"Вы уменьшили цену в несколько раз, товар попадет в карантин цен","")))),"")</f>
      </c>
    </row>
    <row r="761">
      <c r="A761" s="2" t="inlineStr">
        <is>
          <t>CuteShop</t>
        </is>
      </c>
      <c r="B761" s="2" t="inlineStr">
        <is>
          <t>Держатели для пустышек</t>
        </is>
      </c>
      <c r="C761" s="2">
        <v>111032211</v>
      </c>
      <c r="D761" s="2" t="inlineStr">
        <is>
          <t>ZaharBG</t>
        </is>
      </c>
      <c r="E761" s="2" t="inlineStr">
        <is>
          <t>2037465747629</t>
        </is>
      </c>
      <c r="F761" s="2">
        <v>0</v>
      </c>
      <c r="G761" s="2">
        <v>1</v>
      </c>
      <c r="H761" s="2">
        <v>0</v>
      </c>
      <c r="I761" s="2" t="inlineStr">
        <is>
          <t>790</t>
        </is>
      </c>
      <c r="J761" s="4"/>
      <c r="K761" s="2">
        <v>10</v>
      </c>
      <c r="L761" s="6"/>
      <c r="M761" s="2" t="str">
        <f>IF(J761="",ROUND(I761*(1-IF(ISBLANK(L761),K761,L761)/100),2),ROUND(J761*(1-IF(ISBLANK(L761),K761,L761)/100),2))</f>
      </c>
      <c r="N761" s="7" t="str">
        <f>IF(NOT(AND(J761="",L761="")),IF(OR(AND(L761&lt;&gt;"",NOT(ISNUMBER(L761))),IFERROR(MOD(L761,1),1)&gt;0,AND(ISNUMBER(L761),OR(L761&lt;0,L761&gt;95))),"Введите целое число от 0 до 95",IF(OR(AND(J761&lt;&gt;"",NOT(ISNUMBER(J761))),IFERROR(MOD(J761,1),1)&gt;0,AND(ISNUMBER(J761),OR(J761&lt;50,J761&gt;20000000))),"Введите целое число от 50 до 20000000",IF(NOT(ABS(IFERROR(VALUE(LEFT(M761,FIND("-",M761)-1)),M761)*100-(5000+2000000000)/2)&lt;=ABS(5000-2000000000)/2),"Цена со скидкой должна быть от 50 до 20000000",IF(IFERROR(VALUE(LEFT(M761,FIND("-",M761)-1)),M761)*229&lt;71100,"Вы уменьшили цену в несколько раз, товар попадет в карантин цен","")))),"")</f>
      </c>
    </row>
    <row r="762">
      <c r="A762" s="2" t="inlineStr">
        <is>
          <t>CuteShop</t>
        </is>
      </c>
      <c r="B762" s="2" t="inlineStr">
        <is>
          <t>Держатели для пустышек</t>
        </is>
      </c>
      <c r="C762" s="2">
        <v>111034484</v>
      </c>
      <c r="D762" s="2" t="inlineStr">
        <is>
          <t>AlekseyMishGol</t>
        </is>
      </c>
      <c r="E762" s="2" t="inlineStr">
        <is>
          <t>2037469863622</t>
        </is>
      </c>
      <c r="F762" s="2">
        <v>0</v>
      </c>
      <c r="G762" s="2">
        <v>1</v>
      </c>
      <c r="H762" s="2">
        <v>0</v>
      </c>
      <c r="I762" s="2" t="inlineStr">
        <is>
          <t>1030</t>
        </is>
      </c>
      <c r="J762" s="4"/>
      <c r="K762" s="2">
        <v>10</v>
      </c>
      <c r="L762" s="6"/>
      <c r="M762" s="2" t="str">
        <f>IF(J762="",ROUND(I762*(1-IF(ISBLANK(L762),K762,L762)/100),2),ROUND(J762*(1-IF(ISBLANK(L762),K762,L762)/100),2))</f>
      </c>
      <c r="N762" s="7" t="str">
        <f>IF(NOT(AND(J762="",L762="")),IF(OR(AND(L762&lt;&gt;"",NOT(ISNUMBER(L762))),IFERROR(MOD(L762,1),1)&gt;0,AND(ISNUMBER(L762),OR(L762&lt;0,L762&gt;95))),"Введите целое число от 0 до 95",IF(OR(AND(J762&lt;&gt;"",NOT(ISNUMBER(J762))),IFERROR(MOD(J762,1),1)&gt;0,AND(ISNUMBER(J762),OR(J762&lt;50,J762&gt;20000000))),"Введите целое число от 50 до 20000000",IF(NOT(ABS(IFERROR(VALUE(LEFT(M762,FIND("-",M762)-1)),M762)*100-(5000+2000000000)/2)&lt;=ABS(5000-2000000000)/2),"Цена со скидкой должна быть от 50 до 20000000",IF(IFERROR(VALUE(LEFT(M762,FIND("-",M762)-1)),M762)*229&lt;92700,"Вы уменьшили цену в несколько раз, товар попадет в карантин цен","")))),"")</f>
      </c>
    </row>
    <row r="763">
      <c r="A763" s="2" t="inlineStr">
        <is>
          <t>CuteShop</t>
        </is>
      </c>
      <c r="B763" s="2" t="inlineStr">
        <is>
          <t>Держатели для пустышек</t>
        </is>
      </c>
      <c r="C763" s="2">
        <v>172165865</v>
      </c>
      <c r="D763" s="2" t="inlineStr">
        <is>
          <t>ArianaMish</t>
        </is>
      </c>
      <c r="E763" s="2" t="inlineStr">
        <is>
          <t>2038301581025</t>
        </is>
      </c>
      <c r="F763" s="2">
        <v>0</v>
      </c>
      <c r="G763" s="2">
        <v>1</v>
      </c>
      <c r="H763" s="2">
        <v>0</v>
      </c>
      <c r="I763" s="2" t="inlineStr">
        <is>
          <t>1030</t>
        </is>
      </c>
      <c r="J763" s="4"/>
      <c r="K763" s="2">
        <v>10</v>
      </c>
      <c r="L763" s="6"/>
      <c r="M763" s="2" t="str">
        <f>IF(J763="",ROUND(I763*(1-IF(ISBLANK(L763),K763,L763)/100),2),ROUND(J763*(1-IF(ISBLANK(L763),K763,L763)/100),2))</f>
      </c>
      <c r="N763" s="7" t="str">
        <f>IF(NOT(AND(J763="",L763="")),IF(OR(AND(L763&lt;&gt;"",NOT(ISNUMBER(L763))),IFERROR(MOD(L763,1),1)&gt;0,AND(ISNUMBER(L763),OR(L763&lt;0,L763&gt;95))),"Введите целое число от 0 до 95",IF(OR(AND(J763&lt;&gt;"",NOT(ISNUMBER(J763))),IFERROR(MOD(J763,1),1)&gt;0,AND(ISNUMBER(J763),OR(J763&lt;50,J763&gt;20000000))),"Введите целое число от 50 до 20000000",IF(NOT(ABS(IFERROR(VALUE(LEFT(M763,FIND("-",M763)-1)),M763)*100-(5000+2000000000)/2)&lt;=ABS(5000-2000000000)/2),"Цена со скидкой должна быть от 50 до 20000000",IF(IFERROR(VALUE(LEFT(M763,FIND("-",M763)-1)),M763)*229&lt;92700,"Вы уменьшили цену в несколько раз, товар попадет в карантин цен","")))),"")</f>
      </c>
    </row>
    <row r="764">
      <c r="A764" s="2" t="inlineStr">
        <is>
          <t>CuteShop</t>
        </is>
      </c>
      <c r="B764" s="2" t="inlineStr">
        <is>
          <t>Держатели для пустышек</t>
        </is>
      </c>
      <c r="C764" s="2">
        <v>111020755</v>
      </c>
      <c r="D764" s="2" t="inlineStr">
        <is>
          <t>EseniyaBel</t>
        </is>
      </c>
      <c r="E764" s="2" t="inlineStr">
        <is>
          <t>2037436527625</t>
        </is>
      </c>
      <c r="F764" s="2">
        <v>0</v>
      </c>
      <c r="G764" s="2">
        <v>1</v>
      </c>
      <c r="H764" s="2">
        <v>15</v>
      </c>
      <c r="I764" s="2" t="inlineStr">
        <is>
          <t>1030</t>
        </is>
      </c>
      <c r="J764" s="4"/>
      <c r="K764" s="2">
        <v>10</v>
      </c>
      <c r="L764" s="6"/>
      <c r="M764" s="2" t="str">
        <f>IF(J764="",ROUND(I764*(1-IF(ISBLANK(L764),K764,L764)/100),2),ROUND(J764*(1-IF(ISBLANK(L764),K764,L764)/100),2))</f>
      </c>
      <c r="N764" s="7" t="str">
        <f>IF(NOT(AND(J764="",L764="")),IF(OR(AND(L764&lt;&gt;"",NOT(ISNUMBER(L764))),IFERROR(MOD(L764,1),1)&gt;0,AND(ISNUMBER(L764),OR(L764&lt;0,L764&gt;95))),"Введите целое число от 0 до 95",IF(OR(AND(J764&lt;&gt;"",NOT(ISNUMBER(J764))),IFERROR(MOD(J764,1),1)&gt;0,AND(ISNUMBER(J764),OR(J764&lt;50,J764&gt;20000000))),"Введите целое число от 50 до 20000000",IF(NOT(ABS(IFERROR(VALUE(LEFT(M764,FIND("-",M764)-1)),M764)*100-(5000+2000000000)/2)&lt;=ABS(5000-2000000000)/2),"Цена со скидкой должна быть от 50 до 20000000",IF(IFERROR(VALUE(LEFT(M764,FIND("-",M764)-1)),M764)*229&lt;92700,"Вы уменьшили цену в несколько раз, товар попадет в карантин цен","")))),"")</f>
      </c>
    </row>
    <row r="765">
      <c r="A765" s="2" t="inlineStr">
        <is>
          <t>CuteShop</t>
        </is>
      </c>
      <c r="B765" s="2" t="inlineStr">
        <is>
          <t>Держатели для пустышек</t>
        </is>
      </c>
      <c r="C765" s="2">
        <v>111031944</v>
      </c>
      <c r="D765" s="2" t="inlineStr">
        <is>
          <t>IlyaBG</t>
        </is>
      </c>
      <c r="E765" s="2" t="inlineStr">
        <is>
          <t>2037464769622</t>
        </is>
      </c>
      <c r="F765" s="2">
        <v>0</v>
      </c>
      <c r="G765" s="2">
        <v>0</v>
      </c>
      <c r="H765" s="2">
        <v>1</v>
      </c>
      <c r="I765" s="2" t="inlineStr">
        <is>
          <t>790</t>
        </is>
      </c>
      <c r="J765" s="4"/>
      <c r="K765" s="2">
        <v>10</v>
      </c>
      <c r="L765" s="6"/>
      <c r="M765" s="2" t="str">
        <f>IF(J765="",ROUND(I765*(1-IF(ISBLANK(L765),K765,L765)/100),2),ROUND(J765*(1-IF(ISBLANK(L765),K765,L765)/100),2))</f>
      </c>
      <c r="N765" s="7" t="str">
        <f>IF(NOT(AND(J765="",L765="")),IF(OR(AND(L765&lt;&gt;"",NOT(ISNUMBER(L765))),IFERROR(MOD(L765,1),1)&gt;0,AND(ISNUMBER(L765),OR(L765&lt;0,L765&gt;95))),"Введите целое число от 0 до 95",IF(OR(AND(J765&lt;&gt;"",NOT(ISNUMBER(J765))),IFERROR(MOD(J765,1),1)&gt;0,AND(ISNUMBER(J765),OR(J765&lt;50,J765&gt;20000000))),"Введите целое число от 50 до 20000000",IF(NOT(ABS(IFERROR(VALUE(LEFT(M765,FIND("-",M765)-1)),M765)*100-(5000+2000000000)/2)&lt;=ABS(5000-2000000000)/2),"Цена со скидкой должна быть от 50 до 20000000",IF(IFERROR(VALUE(LEFT(M765,FIND("-",M765)-1)),M765)*229&lt;71100,"Вы уменьшили цену в несколько раз, товар попадет в карантин цен","")))),"")</f>
      </c>
    </row>
    <row r="766">
      <c r="A766" s="2" t="inlineStr">
        <is>
          <t>CuteShop</t>
        </is>
      </c>
      <c r="B766" s="2" t="inlineStr">
        <is>
          <t>Держатели для пустышек</t>
        </is>
      </c>
      <c r="C766" s="2">
        <v>111020757</v>
      </c>
      <c r="D766" s="2" t="inlineStr">
        <is>
          <t>EseniyaLis</t>
        </is>
      </c>
      <c r="E766" s="2" t="inlineStr">
        <is>
          <t>2037436231621</t>
        </is>
      </c>
      <c r="F766" s="2">
        <v>0</v>
      </c>
      <c r="G766" s="2">
        <v>0</v>
      </c>
      <c r="H766" s="2">
        <v>0</v>
      </c>
      <c r="I766" s="2" t="inlineStr">
        <is>
          <t>1030</t>
        </is>
      </c>
      <c r="J766" s="4"/>
      <c r="K766" s="2">
        <v>10</v>
      </c>
      <c r="L766" s="6"/>
      <c r="M766" s="2" t="str">
        <f>IF(J766="",ROUND(I766*(1-IF(ISBLANK(L766),K766,L766)/100),2),ROUND(J766*(1-IF(ISBLANK(L766),K766,L766)/100),2))</f>
      </c>
      <c r="N766" s="7" t="str">
        <f>IF(NOT(AND(J766="",L766="")),IF(OR(AND(L766&lt;&gt;"",NOT(ISNUMBER(L766))),IFERROR(MOD(L766,1),1)&gt;0,AND(ISNUMBER(L766),OR(L766&lt;0,L766&gt;95))),"Введите целое число от 0 до 95",IF(OR(AND(J766&lt;&gt;"",NOT(ISNUMBER(J766))),IFERROR(MOD(J766,1),1)&gt;0,AND(ISNUMBER(J766),OR(J766&lt;50,J766&gt;20000000))),"Введите целое число от 50 до 20000000",IF(NOT(ABS(IFERROR(VALUE(LEFT(M766,FIND("-",M766)-1)),M766)*100-(5000+2000000000)/2)&lt;=ABS(5000-2000000000)/2),"Цена со скидкой должна быть от 50 до 20000000",IF(IFERROR(VALUE(LEFT(M766,FIND("-",M766)-1)),M766)*229&lt;92700,"Вы уменьшили цену в несколько раз, товар попадет в карантин цен","")))),"")</f>
      </c>
    </row>
    <row r="767">
      <c r="A767" s="2" t="inlineStr">
        <is>
          <t>CuteShop</t>
        </is>
      </c>
      <c r="B767" s="2" t="inlineStr">
        <is>
          <t>Держатели для пустышек</t>
        </is>
      </c>
      <c r="C767" s="2">
        <v>110387478</v>
      </c>
      <c r="D767" s="2" t="inlineStr">
        <is>
          <t>MilanaBel</t>
        </is>
      </c>
      <c r="E767" s="2" t="inlineStr">
        <is>
          <t>2036540382625</t>
        </is>
      </c>
      <c r="F767" s="2">
        <v>0</v>
      </c>
      <c r="G767" s="2">
        <v>0</v>
      </c>
      <c r="H767" s="2">
        <v>0</v>
      </c>
      <c r="I767" s="2" t="inlineStr">
        <is>
          <t>1030</t>
        </is>
      </c>
      <c r="J767" s="4"/>
      <c r="K767" s="2">
        <v>10</v>
      </c>
      <c r="L767" s="6"/>
      <c r="M767" s="2" t="str">
        <f>IF(J767="",ROUND(I767*(1-IF(ISBLANK(L767),K767,L767)/100),2),ROUND(J767*(1-IF(ISBLANK(L767),K767,L767)/100),2))</f>
      </c>
      <c r="N767" s="7" t="str">
        <f>IF(NOT(AND(J767="",L767="")),IF(OR(AND(L767&lt;&gt;"",NOT(ISNUMBER(L767))),IFERROR(MOD(L767,1),1)&gt;0,AND(ISNUMBER(L767),OR(L767&lt;0,L767&gt;95))),"Введите целое число от 0 до 95",IF(OR(AND(J767&lt;&gt;"",NOT(ISNUMBER(J767))),IFERROR(MOD(J767,1),1)&gt;0,AND(ISNUMBER(J767),OR(J767&lt;50,J767&gt;20000000))),"Введите целое число от 50 до 20000000",IF(NOT(ABS(IFERROR(VALUE(LEFT(M767,FIND("-",M767)-1)),M767)*100-(5000+2000000000)/2)&lt;=ABS(5000-2000000000)/2),"Цена со скидкой должна быть от 50 до 20000000",IF(IFERROR(VALUE(LEFT(M767,FIND("-",M767)-1)),M767)*229&lt;92700,"Вы уменьшили цену в несколько раз, товар попадет в карантин цен","")))),"")</f>
      </c>
    </row>
    <row r="768">
      <c r="A768" s="2" t="inlineStr">
        <is>
          <t>CuteShop</t>
        </is>
      </c>
      <c r="B768" s="2" t="inlineStr">
        <is>
          <t>Держатели для пустышек</t>
        </is>
      </c>
      <c r="C768" s="2">
        <v>193664819</v>
      </c>
      <c r="D768" s="2" t="inlineStr">
        <is>
          <t>MaksimKot</t>
        </is>
      </c>
      <c r="E768" s="2" t="inlineStr">
        <is>
          <t>2039109604756</t>
        </is>
      </c>
      <c r="F768" s="2">
        <v>0</v>
      </c>
      <c r="G768" s="2">
        <v>0</v>
      </c>
      <c r="H768" s="2" t="inlineStr">
        <is>
          <t/>
        </is>
      </c>
      <c r="I768" s="2" t="inlineStr">
        <is>
          <t>1030</t>
        </is>
      </c>
      <c r="J768" s="4"/>
      <c r="K768" s="2">
        <v>10</v>
      </c>
      <c r="L768" s="6"/>
      <c r="M768" s="2" t="str">
        <f>IF(J768="",ROUND(I768*(1-IF(ISBLANK(L768),K768,L768)/100),2),ROUND(J768*(1-IF(ISBLANK(L768),K768,L768)/100),2))</f>
      </c>
      <c r="N768" s="7" t="str">
        <f>IF(NOT(AND(J768="",L768="")),IF(OR(AND(L768&lt;&gt;"",NOT(ISNUMBER(L768))),IFERROR(MOD(L768,1),1)&gt;0,AND(ISNUMBER(L768),OR(L768&lt;0,L768&gt;95))),"Введите целое число от 0 до 95",IF(OR(AND(J768&lt;&gt;"",NOT(ISNUMBER(J768))),IFERROR(MOD(J768,1),1)&gt;0,AND(ISNUMBER(J768),OR(J768&lt;50,J768&gt;20000000))),"Введите целое число от 50 до 20000000",IF(NOT(ABS(IFERROR(VALUE(LEFT(M768,FIND("-",M768)-1)),M768)*100-(5000+2000000000)/2)&lt;=ABS(5000-2000000000)/2),"Цена со скидкой должна быть от 50 до 20000000",IF(IFERROR(VALUE(LEFT(M768,FIND("-",M768)-1)),M768)*229&lt;92700,"Вы уменьшили цену в несколько раз, товар попадет в карантин цен","")))),"")</f>
      </c>
    </row>
    <row r="769">
      <c r="A769" s="2" t="inlineStr">
        <is>
          <t>CuteShop</t>
        </is>
      </c>
      <c r="B769" s="2" t="inlineStr">
        <is>
          <t>Держатели для пустышек</t>
        </is>
      </c>
      <c r="C769" s="2">
        <v>173344924</v>
      </c>
      <c r="D769" s="2" t="inlineStr">
        <is>
          <t>AdelZay</t>
        </is>
      </c>
      <c r="E769" s="2" t="inlineStr">
        <is>
          <t>2038381439353</t>
        </is>
      </c>
      <c r="F769" s="2">
        <v>0</v>
      </c>
      <c r="G769" s="2">
        <v>0</v>
      </c>
      <c r="H769" s="2">
        <v>0</v>
      </c>
      <c r="I769" s="2" t="inlineStr">
        <is>
          <t>1030</t>
        </is>
      </c>
      <c r="J769" s="4"/>
      <c r="K769" s="2">
        <v>10</v>
      </c>
      <c r="L769" s="6"/>
      <c r="M769" s="2" t="str">
        <f>IF(J769="",ROUND(I769*(1-IF(ISBLANK(L769),K769,L769)/100),2),ROUND(J769*(1-IF(ISBLANK(L769),K769,L769)/100),2))</f>
      </c>
      <c r="N769" s="7" t="str">
        <f>IF(NOT(AND(J769="",L769="")),IF(OR(AND(L769&lt;&gt;"",NOT(ISNUMBER(L769))),IFERROR(MOD(L769,1),1)&gt;0,AND(ISNUMBER(L769),OR(L769&lt;0,L769&gt;95))),"Введите целое число от 0 до 95",IF(OR(AND(J769&lt;&gt;"",NOT(ISNUMBER(J769))),IFERROR(MOD(J769,1),1)&gt;0,AND(ISNUMBER(J769),OR(J769&lt;50,J769&gt;20000000))),"Введите целое число от 50 до 20000000",IF(NOT(ABS(IFERROR(VALUE(LEFT(M769,FIND("-",M769)-1)),M769)*100-(5000+2000000000)/2)&lt;=ABS(5000-2000000000)/2),"Цена со скидкой должна быть от 50 до 20000000",IF(IFERROR(VALUE(LEFT(M769,FIND("-",M769)-1)),M769)*229&lt;92700,"Вы уменьшили цену в несколько раз, товар попадет в карантин цен","")))),"")</f>
      </c>
    </row>
    <row r="770">
      <c r="A770" s="2" t="inlineStr">
        <is>
          <t>CuteShop</t>
        </is>
      </c>
      <c r="B770" s="2" t="inlineStr">
        <is>
          <t>Держатели для пустышек</t>
        </is>
      </c>
      <c r="C770" s="2">
        <v>153128431</v>
      </c>
      <c r="D770" s="2" t="inlineStr">
        <is>
          <t>RenatKoala</t>
        </is>
      </c>
      <c r="E770" s="2" t="inlineStr">
        <is>
          <t>2037628421168</t>
        </is>
      </c>
      <c r="F770" s="2">
        <v>0</v>
      </c>
      <c r="G770" s="2">
        <v>1</v>
      </c>
      <c r="H770" s="2" t="inlineStr">
        <is>
          <t/>
        </is>
      </c>
      <c r="I770" s="2" t="inlineStr">
        <is>
          <t>1030</t>
        </is>
      </c>
      <c r="J770" s="4"/>
      <c r="K770" s="2">
        <v>10</v>
      </c>
      <c r="L770" s="6"/>
      <c r="M770" s="2" t="str">
        <f>IF(J770="",ROUND(I770*(1-IF(ISBLANK(L770),K770,L770)/100),2),ROUND(J770*(1-IF(ISBLANK(L770),K770,L770)/100),2))</f>
      </c>
      <c r="N770" s="7" t="str">
        <f>IF(NOT(AND(J770="",L770="")),IF(OR(AND(L770&lt;&gt;"",NOT(ISNUMBER(L770))),IFERROR(MOD(L770,1),1)&gt;0,AND(ISNUMBER(L770),OR(L770&lt;0,L770&gt;95))),"Введите целое число от 0 до 95",IF(OR(AND(J770&lt;&gt;"",NOT(ISNUMBER(J770))),IFERROR(MOD(J770,1),1)&gt;0,AND(ISNUMBER(J770),OR(J770&lt;50,J770&gt;20000000))),"Введите целое число от 50 до 20000000",IF(NOT(ABS(IFERROR(VALUE(LEFT(M770,FIND("-",M770)-1)),M770)*100-(5000+2000000000)/2)&lt;=ABS(5000-2000000000)/2),"Цена со скидкой должна быть от 50 до 20000000",IF(IFERROR(VALUE(LEFT(M770,FIND("-",M770)-1)),M770)*229&lt;92700,"Вы уменьшили цену в несколько раз, товар попадет в карантин цен","")))),"")</f>
      </c>
    </row>
    <row r="771">
      <c r="A771" s="2" t="inlineStr">
        <is>
          <t>CuteShop</t>
        </is>
      </c>
      <c r="B771" s="2" t="inlineStr">
        <is>
          <t>Держатели для пустышек</t>
        </is>
      </c>
      <c r="C771" s="2">
        <v>111024636</v>
      </c>
      <c r="D771" s="2" t="inlineStr">
        <is>
          <t>KamillaBel</t>
        </is>
      </c>
      <c r="E771" s="2" t="inlineStr">
        <is>
          <t>2037458719626</t>
        </is>
      </c>
      <c r="F771" s="2">
        <v>0</v>
      </c>
      <c r="G771" s="2">
        <v>1</v>
      </c>
      <c r="H771" s="2">
        <v>0</v>
      </c>
      <c r="I771" s="2" t="inlineStr">
        <is>
          <t>1030</t>
        </is>
      </c>
      <c r="J771" s="4"/>
      <c r="K771" s="2">
        <v>10</v>
      </c>
      <c r="L771" s="6"/>
      <c r="M771" s="2" t="str">
        <f>IF(J771="",ROUND(I771*(1-IF(ISBLANK(L771),K771,L771)/100),2),ROUND(J771*(1-IF(ISBLANK(L771),K771,L771)/100),2))</f>
      </c>
      <c r="N771" s="7" t="str">
        <f>IF(NOT(AND(J771="",L771="")),IF(OR(AND(L771&lt;&gt;"",NOT(ISNUMBER(L771))),IFERROR(MOD(L771,1),1)&gt;0,AND(ISNUMBER(L771),OR(L771&lt;0,L771&gt;95))),"Введите целое число от 0 до 95",IF(OR(AND(J771&lt;&gt;"",NOT(ISNUMBER(J771))),IFERROR(MOD(J771,1),1)&gt;0,AND(ISNUMBER(J771),OR(J771&lt;50,J771&gt;20000000))),"Введите целое число от 50 до 20000000",IF(NOT(ABS(IFERROR(VALUE(LEFT(M771,FIND("-",M771)-1)),M771)*100-(5000+2000000000)/2)&lt;=ABS(5000-2000000000)/2),"Цена со скидкой должна быть от 50 до 20000000",IF(IFERROR(VALUE(LEFT(M771,FIND("-",M771)-1)),M771)*229&lt;92700,"Вы уменьшили цену в несколько раз, товар попадет в карантин цен","")))),"")</f>
      </c>
    </row>
    <row r="772">
      <c r="A772" s="2" t="inlineStr">
        <is>
          <t>CuteShop</t>
        </is>
      </c>
      <c r="B772" s="2" t="inlineStr">
        <is>
          <t>Держатели для пустышек</t>
        </is>
      </c>
      <c r="C772" s="2">
        <v>111024835</v>
      </c>
      <c r="D772" s="2" t="inlineStr">
        <is>
          <t>EliseyLev</t>
        </is>
      </c>
      <c r="E772" s="2" t="inlineStr">
        <is>
          <t>2037458857625</t>
        </is>
      </c>
      <c r="F772" s="2">
        <v>0</v>
      </c>
      <c r="G772" s="2">
        <v>0</v>
      </c>
      <c r="H772" s="2">
        <v>0</v>
      </c>
      <c r="I772" s="2" t="inlineStr">
        <is>
          <t>1030</t>
        </is>
      </c>
      <c r="J772" s="4"/>
      <c r="K772" s="2">
        <v>10</v>
      </c>
      <c r="L772" s="6"/>
      <c r="M772" s="2" t="str">
        <f>IF(J772="",ROUND(I772*(1-IF(ISBLANK(L772),K772,L772)/100),2),ROUND(J772*(1-IF(ISBLANK(L772),K772,L772)/100),2))</f>
      </c>
      <c r="N772" s="7" t="str">
        <f>IF(NOT(AND(J772="",L772="")),IF(OR(AND(L772&lt;&gt;"",NOT(ISNUMBER(L772))),IFERROR(MOD(L772,1),1)&gt;0,AND(ISNUMBER(L772),OR(L772&lt;0,L772&gt;95))),"Введите целое число от 0 до 95",IF(OR(AND(J772&lt;&gt;"",NOT(ISNUMBER(J772))),IFERROR(MOD(J772,1),1)&gt;0,AND(ISNUMBER(J772),OR(J772&lt;50,J772&gt;20000000))),"Введите целое число от 50 до 20000000",IF(NOT(ABS(IFERROR(VALUE(LEFT(M772,FIND("-",M772)-1)),M772)*100-(5000+2000000000)/2)&lt;=ABS(5000-2000000000)/2),"Цена со скидкой должна быть от 50 до 20000000",IF(IFERROR(VALUE(LEFT(M772,FIND("-",M772)-1)),M772)*229&lt;92700,"Вы уменьшили цену в несколько раз, товар попадет в карантин цен","")))),"")</f>
      </c>
    </row>
    <row r="773">
      <c r="A773" s="2" t="inlineStr">
        <is>
          <t>CuteShop</t>
        </is>
      </c>
      <c r="B773" s="2" t="inlineStr">
        <is>
          <t>Держатели для пустышек</t>
        </is>
      </c>
      <c r="C773" s="2">
        <v>111034077</v>
      </c>
      <c r="D773" s="2" t="inlineStr">
        <is>
          <t>VaryaBG</t>
        </is>
      </c>
      <c r="E773" s="2" t="inlineStr">
        <is>
          <t>2037469159626</t>
        </is>
      </c>
      <c r="F773" s="2">
        <v>0</v>
      </c>
      <c r="G773" s="2">
        <v>1</v>
      </c>
      <c r="H773" s="2">
        <v>0</v>
      </c>
      <c r="I773" s="2" t="inlineStr">
        <is>
          <t>790</t>
        </is>
      </c>
      <c r="J773" s="4"/>
      <c r="K773" s="2">
        <v>10</v>
      </c>
      <c r="L773" s="6"/>
      <c r="M773" s="2" t="str">
        <f>IF(J773="",ROUND(I773*(1-IF(ISBLANK(L773),K773,L773)/100),2),ROUND(J773*(1-IF(ISBLANK(L773),K773,L773)/100),2))</f>
      </c>
      <c r="N773" s="7" t="str">
        <f>IF(NOT(AND(J773="",L773="")),IF(OR(AND(L773&lt;&gt;"",NOT(ISNUMBER(L773))),IFERROR(MOD(L773,1),1)&gt;0,AND(ISNUMBER(L773),OR(L773&lt;0,L773&gt;95))),"Введите целое число от 0 до 95",IF(OR(AND(J773&lt;&gt;"",NOT(ISNUMBER(J773))),IFERROR(MOD(J773,1),1)&gt;0,AND(ISNUMBER(J773),OR(J773&lt;50,J773&gt;20000000))),"Введите целое число от 50 до 20000000",IF(NOT(ABS(IFERROR(VALUE(LEFT(M773,FIND("-",M773)-1)),M773)*100-(5000+2000000000)/2)&lt;=ABS(5000-2000000000)/2),"Цена со скидкой должна быть от 50 до 20000000",IF(IFERROR(VALUE(LEFT(M773,FIND("-",M773)-1)),M773)*229&lt;71100,"Вы уменьшили цену в несколько раз, товар попадет в карантин цен","")))),"")</f>
      </c>
    </row>
    <row r="774">
      <c r="A774" s="2" t="inlineStr">
        <is>
          <t>CuteShop</t>
        </is>
      </c>
      <c r="B774" s="2" t="inlineStr">
        <is>
          <t>Держатели для пустышек</t>
        </is>
      </c>
      <c r="C774" s="2">
        <v>99808216</v>
      </c>
      <c r="D774" s="2" t="inlineStr">
        <is>
          <t>MaratKorab</t>
        </is>
      </c>
      <c r="E774" s="2" t="inlineStr">
        <is>
          <t>2036804113415</t>
        </is>
      </c>
      <c r="F774" s="2">
        <v>0</v>
      </c>
      <c r="G774" s="2">
        <v>0</v>
      </c>
      <c r="H774" s="2">
        <v>1</v>
      </c>
      <c r="I774" s="2" t="inlineStr">
        <is>
          <t>1030</t>
        </is>
      </c>
      <c r="J774" s="4"/>
      <c r="K774" s="2">
        <v>10</v>
      </c>
      <c r="L774" s="6"/>
      <c r="M774" s="2" t="str">
        <f>IF(J774="",ROUND(I774*(1-IF(ISBLANK(L774),K774,L774)/100),2),ROUND(J774*(1-IF(ISBLANK(L774),K774,L774)/100),2))</f>
      </c>
      <c r="N774" s="7" t="str">
        <f>IF(NOT(AND(J774="",L774="")),IF(OR(AND(L774&lt;&gt;"",NOT(ISNUMBER(L774))),IFERROR(MOD(L774,1),1)&gt;0,AND(ISNUMBER(L774),OR(L774&lt;0,L774&gt;95))),"Введите целое число от 0 до 95",IF(OR(AND(J774&lt;&gt;"",NOT(ISNUMBER(J774))),IFERROR(MOD(J774,1),1)&gt;0,AND(ISNUMBER(J774),OR(J774&lt;50,J774&gt;20000000))),"Введите целое число от 50 до 20000000",IF(NOT(ABS(IFERROR(VALUE(LEFT(M774,FIND("-",M774)-1)),M774)*100-(5000+2000000000)/2)&lt;=ABS(5000-2000000000)/2),"Цена со скидкой должна быть от 50 до 20000000",IF(IFERROR(VALUE(LEFT(M774,FIND("-",M774)-1)),M774)*229&lt;92700,"Вы уменьшили цену в несколько раз, товар попадет в карантин цен","")))),"")</f>
      </c>
    </row>
    <row r="775">
      <c r="A775" s="2" t="inlineStr">
        <is>
          <t>CuteShop</t>
        </is>
      </c>
      <c r="B775" s="2" t="inlineStr">
        <is>
          <t>Держатели для пустышек</t>
        </is>
      </c>
      <c r="C775" s="2">
        <v>111034080</v>
      </c>
      <c r="D775" s="2" t="inlineStr">
        <is>
          <t>VaryaMish2</t>
        </is>
      </c>
      <c r="E775" s="2" t="inlineStr">
        <is>
          <t>2037469282621</t>
        </is>
      </c>
      <c r="F775" s="2">
        <v>0</v>
      </c>
      <c r="G775" s="2">
        <v>0</v>
      </c>
      <c r="H775" s="2">
        <v>0</v>
      </c>
      <c r="I775" s="2" t="inlineStr">
        <is>
          <t>1030</t>
        </is>
      </c>
      <c r="J775" s="4"/>
      <c r="K775" s="2">
        <v>10</v>
      </c>
      <c r="L775" s="6"/>
      <c r="M775" s="2" t="str">
        <f>IF(J775="",ROUND(I775*(1-IF(ISBLANK(L775),K775,L775)/100),2),ROUND(J775*(1-IF(ISBLANK(L775),K775,L775)/100),2))</f>
      </c>
      <c r="N775" s="7" t="str">
        <f>IF(NOT(AND(J775="",L775="")),IF(OR(AND(L775&lt;&gt;"",NOT(ISNUMBER(L775))),IFERROR(MOD(L775,1),1)&gt;0,AND(ISNUMBER(L775),OR(L775&lt;0,L775&gt;95))),"Введите целое число от 0 до 95",IF(OR(AND(J775&lt;&gt;"",NOT(ISNUMBER(J775))),IFERROR(MOD(J775,1),1)&gt;0,AND(ISNUMBER(J775),OR(J775&lt;50,J775&gt;20000000))),"Введите целое число от 50 до 20000000",IF(NOT(ABS(IFERROR(VALUE(LEFT(M775,FIND("-",M775)-1)),M775)*100-(5000+2000000000)/2)&lt;=ABS(5000-2000000000)/2),"Цена со скидкой должна быть от 50 до 20000000",IF(IFERROR(VALUE(LEFT(M775,FIND("-",M775)-1)),M775)*229&lt;92700,"Вы уменьшили цену в несколько раз, товар попадет в карантин цен","")))),"")</f>
      </c>
    </row>
    <row r="776">
      <c r="A776" s="2" t="inlineStr">
        <is>
          <t>CuteShop</t>
        </is>
      </c>
      <c r="B776" s="2" t="inlineStr">
        <is>
          <t>Держатели для пустышек</t>
        </is>
      </c>
      <c r="C776" s="2">
        <v>172165880</v>
      </c>
      <c r="D776" s="2" t="inlineStr">
        <is>
          <t>ArianaBG2</t>
        </is>
      </c>
      <c r="E776" s="2" t="inlineStr">
        <is>
          <t>2038301594827</t>
        </is>
      </c>
      <c r="F776" s="2">
        <v>0</v>
      </c>
      <c r="G776" s="2">
        <v>1</v>
      </c>
      <c r="H776" s="2" t="inlineStr">
        <is>
          <t/>
        </is>
      </c>
      <c r="I776" s="2" t="inlineStr">
        <is>
          <t>790</t>
        </is>
      </c>
      <c r="J776" s="4"/>
      <c r="K776" s="2">
        <v>10</v>
      </c>
      <c r="L776" s="6"/>
      <c r="M776" s="2" t="str">
        <f>IF(J776="",ROUND(I776*(1-IF(ISBLANK(L776),K776,L776)/100),2),ROUND(J776*(1-IF(ISBLANK(L776),K776,L776)/100),2))</f>
      </c>
      <c r="N776" s="7" t="str">
        <f>IF(NOT(AND(J776="",L776="")),IF(OR(AND(L776&lt;&gt;"",NOT(ISNUMBER(L776))),IFERROR(MOD(L776,1),1)&gt;0,AND(ISNUMBER(L776),OR(L776&lt;0,L776&gt;95))),"Введите целое число от 0 до 95",IF(OR(AND(J776&lt;&gt;"",NOT(ISNUMBER(J776))),IFERROR(MOD(J776,1),1)&gt;0,AND(ISNUMBER(J776),OR(J776&lt;50,J776&gt;20000000))),"Введите целое число от 50 до 20000000",IF(NOT(ABS(IFERROR(VALUE(LEFT(M776,FIND("-",M776)-1)),M776)*100-(5000+2000000000)/2)&lt;=ABS(5000-2000000000)/2),"Цена со скидкой должна быть от 50 до 20000000",IF(IFERROR(VALUE(LEFT(M776,FIND("-",M776)-1)),M776)*229&lt;71100,"Вы уменьшили цену в несколько раз, товар попадет в карантин цен","")))),"")</f>
      </c>
    </row>
    <row r="777">
      <c r="A777" s="2" t="inlineStr">
        <is>
          <t>CuteShop</t>
        </is>
      </c>
      <c r="B777" s="2" t="inlineStr">
        <is>
          <t>Держатели для пустышек</t>
        </is>
      </c>
      <c r="C777" s="2">
        <v>99297676</v>
      </c>
      <c r="D777" s="2" t="inlineStr">
        <is>
          <t>AnyutaLis</t>
        </is>
      </c>
      <c r="E777" s="2" t="inlineStr">
        <is>
          <t>2036797073802</t>
        </is>
      </c>
      <c r="F777" s="2">
        <v>0</v>
      </c>
      <c r="G777" s="2">
        <v>0</v>
      </c>
      <c r="H777" s="2">
        <v>0</v>
      </c>
      <c r="I777" s="2" t="inlineStr">
        <is>
          <t>1030</t>
        </is>
      </c>
      <c r="J777" s="4"/>
      <c r="K777" s="2">
        <v>10</v>
      </c>
      <c r="L777" s="6"/>
      <c r="M777" s="2" t="str">
        <f>IF(J777="",ROUND(I777*(1-IF(ISBLANK(L777),K777,L777)/100),2),ROUND(J777*(1-IF(ISBLANK(L777),K777,L777)/100),2))</f>
      </c>
      <c r="N777" s="7" t="str">
        <f>IF(NOT(AND(J777="",L777="")),IF(OR(AND(L777&lt;&gt;"",NOT(ISNUMBER(L777))),IFERROR(MOD(L777,1),1)&gt;0,AND(ISNUMBER(L777),OR(L777&lt;0,L777&gt;95))),"Введите целое число от 0 до 95",IF(OR(AND(J777&lt;&gt;"",NOT(ISNUMBER(J777))),IFERROR(MOD(J777,1),1)&gt;0,AND(ISNUMBER(J777),OR(J777&lt;50,J777&gt;20000000))),"Введите целое число от 50 до 20000000",IF(NOT(ABS(IFERROR(VALUE(LEFT(M777,FIND("-",M777)-1)),M777)*100-(5000+2000000000)/2)&lt;=ABS(5000-2000000000)/2),"Цена со скидкой должна быть от 50 до 20000000",IF(IFERROR(VALUE(LEFT(M777,FIND("-",M777)-1)),M777)*229&lt;92700,"Вы уменьшили цену в несколько раз, товар попадет в карантин цен","")))),"")</f>
      </c>
    </row>
    <row r="778">
      <c r="A778" s="2" t="inlineStr">
        <is>
          <t>CuteShop</t>
        </is>
      </c>
      <c r="B778" s="2" t="inlineStr">
        <is>
          <t>Держатели для пустышек</t>
        </is>
      </c>
      <c r="C778" s="2">
        <v>179069540</v>
      </c>
      <c r="D778" s="2" t="inlineStr">
        <is>
          <t>KatyaBG</t>
        </is>
      </c>
      <c r="E778" s="2" t="inlineStr">
        <is>
          <t>2038691484654</t>
        </is>
      </c>
      <c r="F778" s="2">
        <v>0</v>
      </c>
      <c r="G778" s="2">
        <v>1</v>
      </c>
      <c r="H778" s="2" t="inlineStr">
        <is>
          <t/>
        </is>
      </c>
      <c r="I778" s="2" t="inlineStr">
        <is>
          <t>790</t>
        </is>
      </c>
      <c r="J778" s="4"/>
      <c r="K778" s="2">
        <v>10</v>
      </c>
      <c r="L778" s="6"/>
      <c r="M778" s="2" t="str">
        <f>IF(J778="",ROUND(I778*(1-IF(ISBLANK(L778),K778,L778)/100),2),ROUND(J778*(1-IF(ISBLANK(L778),K778,L778)/100),2))</f>
      </c>
      <c r="N778" s="7" t="str">
        <f>IF(NOT(AND(J778="",L778="")),IF(OR(AND(L778&lt;&gt;"",NOT(ISNUMBER(L778))),IFERROR(MOD(L778,1),1)&gt;0,AND(ISNUMBER(L778),OR(L778&lt;0,L778&gt;95))),"Введите целое число от 0 до 95",IF(OR(AND(J778&lt;&gt;"",NOT(ISNUMBER(J778))),IFERROR(MOD(J778,1),1)&gt;0,AND(ISNUMBER(J778),OR(J778&lt;50,J778&gt;20000000))),"Введите целое число от 50 до 20000000",IF(NOT(ABS(IFERROR(VALUE(LEFT(M778,FIND("-",M778)-1)),M778)*100-(5000+2000000000)/2)&lt;=ABS(5000-2000000000)/2),"Цена со скидкой должна быть от 50 до 20000000",IF(IFERROR(VALUE(LEFT(M778,FIND("-",M778)-1)),M778)*229&lt;71100,"Вы уменьшили цену в несколько раз, товар попадет в карантин цен","")))),"")</f>
      </c>
    </row>
    <row r="779">
      <c r="A779" s="2" t="inlineStr">
        <is>
          <t>CuteShop</t>
        </is>
      </c>
      <c r="B779" s="2" t="inlineStr">
        <is>
          <t>Держатели для пустышек</t>
        </is>
      </c>
      <c r="C779" s="2">
        <v>88997968</v>
      </c>
      <c r="D779" s="2" t="inlineStr">
        <is>
          <t>YanaMish</t>
        </is>
      </c>
      <c r="E779" s="2" t="inlineStr">
        <is>
          <t>2035643963625</t>
        </is>
      </c>
      <c r="F779" s="2">
        <v>0</v>
      </c>
      <c r="G779" s="2">
        <v>0</v>
      </c>
      <c r="H779" s="2">
        <v>0</v>
      </c>
      <c r="I779" s="2" t="inlineStr">
        <is>
          <t>1030</t>
        </is>
      </c>
      <c r="J779" s="4"/>
      <c r="K779" s="2">
        <v>10</v>
      </c>
      <c r="L779" s="6"/>
      <c r="M779" s="2" t="str">
        <f>IF(J779="",ROUND(I779*(1-IF(ISBLANK(L779),K779,L779)/100),2),ROUND(J779*(1-IF(ISBLANK(L779),K779,L779)/100),2))</f>
      </c>
      <c r="N779" s="7" t="str">
        <f>IF(NOT(AND(J779="",L779="")),IF(OR(AND(L779&lt;&gt;"",NOT(ISNUMBER(L779))),IFERROR(MOD(L779,1),1)&gt;0,AND(ISNUMBER(L779),OR(L779&lt;0,L779&gt;95))),"Введите целое число от 0 до 95",IF(OR(AND(J779&lt;&gt;"",NOT(ISNUMBER(J779))),IFERROR(MOD(J779,1),1)&gt;0,AND(ISNUMBER(J779),OR(J779&lt;50,J779&gt;20000000))),"Введите целое число от 50 до 20000000",IF(NOT(ABS(IFERROR(VALUE(LEFT(M779,FIND("-",M779)-1)),M779)*100-(5000+2000000000)/2)&lt;=ABS(5000-2000000000)/2),"Цена со скидкой должна быть от 50 до 20000000",IF(IFERROR(VALUE(LEFT(M779,FIND("-",M779)-1)),M779)*229&lt;92700,"Вы уменьшили цену в несколько раз, товар попадет в карантин цен","")))),"")</f>
      </c>
    </row>
    <row r="780">
      <c r="A780" s="2" t="inlineStr">
        <is>
          <t>CuteShop</t>
        </is>
      </c>
      <c r="B780" s="2" t="inlineStr">
        <is>
          <t>Держатели для пустышек</t>
        </is>
      </c>
      <c r="C780" s="2">
        <v>179851866</v>
      </c>
      <c r="D780" s="2" t="inlineStr">
        <is>
          <t>AmirchikBG</t>
        </is>
      </c>
      <c r="E780" s="2" t="inlineStr">
        <is>
          <t>2038716194780</t>
        </is>
      </c>
      <c r="F780" s="2">
        <v>0</v>
      </c>
      <c r="G780" s="2">
        <v>1</v>
      </c>
      <c r="H780" s="2">
        <v>1</v>
      </c>
      <c r="I780" s="2" t="inlineStr">
        <is>
          <t>790</t>
        </is>
      </c>
      <c r="J780" s="4"/>
      <c r="K780" s="2">
        <v>10</v>
      </c>
      <c r="L780" s="6"/>
      <c r="M780" s="2" t="str">
        <f>IF(J780="",ROUND(I780*(1-IF(ISBLANK(L780),K780,L780)/100),2),ROUND(J780*(1-IF(ISBLANK(L780),K780,L780)/100),2))</f>
      </c>
      <c r="N780" s="7" t="str">
        <f>IF(NOT(AND(J780="",L780="")),IF(OR(AND(L780&lt;&gt;"",NOT(ISNUMBER(L780))),IFERROR(MOD(L780,1),1)&gt;0,AND(ISNUMBER(L780),OR(L780&lt;0,L780&gt;95))),"Введите целое число от 0 до 95",IF(OR(AND(J780&lt;&gt;"",NOT(ISNUMBER(J780))),IFERROR(MOD(J780,1),1)&gt;0,AND(ISNUMBER(J780),OR(J780&lt;50,J780&gt;20000000))),"Введите целое число от 50 до 20000000",IF(NOT(ABS(IFERROR(VALUE(LEFT(M780,FIND("-",M780)-1)),M780)*100-(5000+2000000000)/2)&lt;=ABS(5000-2000000000)/2),"Цена со скидкой должна быть от 50 до 20000000",IF(IFERROR(VALUE(LEFT(M780,FIND("-",M780)-1)),M780)*229&lt;71100,"Вы уменьшили цену в несколько раз, товар попадет в карантин цен","")))),"")</f>
      </c>
    </row>
    <row r="781">
      <c r="A781" s="2" t="inlineStr">
        <is>
          <t>CuteShop</t>
        </is>
      </c>
      <c r="B781" s="2" t="inlineStr">
        <is>
          <t>Держатели для пустышек</t>
        </is>
      </c>
      <c r="C781" s="2">
        <v>111025792</v>
      </c>
      <c r="D781" s="2" t="inlineStr">
        <is>
          <t>DemidMishBlue</t>
        </is>
      </c>
      <c r="E781" s="2" t="inlineStr">
        <is>
          <t>2037459619628</t>
        </is>
      </c>
      <c r="F781" s="2">
        <v>0</v>
      </c>
      <c r="G781" s="2">
        <v>1</v>
      </c>
      <c r="H781" s="2">
        <v>0</v>
      </c>
      <c r="I781" s="2" t="inlineStr">
        <is>
          <t>1030</t>
        </is>
      </c>
      <c r="J781" s="4"/>
      <c r="K781" s="2">
        <v>10</v>
      </c>
      <c r="L781" s="6"/>
      <c r="M781" s="2" t="str">
        <f>IF(J781="",ROUND(I781*(1-IF(ISBLANK(L781),K781,L781)/100),2),ROUND(J781*(1-IF(ISBLANK(L781),K781,L781)/100),2))</f>
      </c>
      <c r="N781" s="7" t="str">
        <f>IF(NOT(AND(J781="",L781="")),IF(OR(AND(L781&lt;&gt;"",NOT(ISNUMBER(L781))),IFERROR(MOD(L781,1),1)&gt;0,AND(ISNUMBER(L781),OR(L781&lt;0,L781&gt;95))),"Введите целое число от 0 до 95",IF(OR(AND(J781&lt;&gt;"",NOT(ISNUMBER(J781))),IFERROR(MOD(J781,1),1)&gt;0,AND(ISNUMBER(J781),OR(J781&lt;50,J781&gt;20000000))),"Введите целое число от 50 до 20000000",IF(NOT(ABS(IFERROR(VALUE(LEFT(M781,FIND("-",M781)-1)),M781)*100-(5000+2000000000)/2)&lt;=ABS(5000-2000000000)/2),"Цена со скидкой должна быть от 50 до 20000000",IF(IFERROR(VALUE(LEFT(M781,FIND("-",M781)-1)),M781)*229&lt;92700,"Вы уменьшили цену в несколько раз, товар попадет в карантин цен","")))),"")</f>
      </c>
    </row>
    <row r="782">
      <c r="A782" s="2" t="inlineStr">
        <is>
          <t>CuteShop</t>
        </is>
      </c>
      <c r="B782" s="2" t="inlineStr">
        <is>
          <t>Держатели для пустышек</t>
        </is>
      </c>
      <c r="C782" s="2">
        <v>112947171</v>
      </c>
      <c r="D782" s="2" t="inlineStr">
        <is>
          <t>UlyanaMish</t>
        </is>
      </c>
      <c r="E782" s="2" t="inlineStr">
        <is>
          <t>2038996498622</t>
        </is>
      </c>
      <c r="F782" s="2">
        <v>0</v>
      </c>
      <c r="G782" s="2">
        <v>1</v>
      </c>
      <c r="H782" s="2">
        <v>1</v>
      </c>
      <c r="I782" s="2" t="inlineStr">
        <is>
          <t>1030</t>
        </is>
      </c>
      <c r="J782" s="4"/>
      <c r="K782" s="2">
        <v>10</v>
      </c>
      <c r="L782" s="6"/>
      <c r="M782" s="2" t="str">
        <f>IF(J782="",ROUND(I782*(1-IF(ISBLANK(L782),K782,L782)/100),2),ROUND(J782*(1-IF(ISBLANK(L782),K782,L782)/100),2))</f>
      </c>
      <c r="N782" s="7" t="str">
        <f>IF(NOT(AND(J782="",L782="")),IF(OR(AND(L782&lt;&gt;"",NOT(ISNUMBER(L782))),IFERROR(MOD(L782,1),1)&gt;0,AND(ISNUMBER(L782),OR(L782&lt;0,L782&gt;95))),"Введите целое число от 0 до 95",IF(OR(AND(J782&lt;&gt;"",NOT(ISNUMBER(J782))),IFERROR(MOD(J782,1),1)&gt;0,AND(ISNUMBER(J782),OR(J782&lt;50,J782&gt;20000000))),"Введите целое число от 50 до 20000000",IF(NOT(ABS(IFERROR(VALUE(LEFT(M782,FIND("-",M782)-1)),M782)*100-(5000+2000000000)/2)&lt;=ABS(5000-2000000000)/2),"Цена со скидкой должна быть от 50 до 20000000",IF(IFERROR(VALUE(LEFT(M782,FIND("-",M782)-1)),M782)*229&lt;92700,"Вы уменьшили цену в несколько раз, товар попадет в карантин цен","")))),"")</f>
      </c>
    </row>
    <row r="783">
      <c r="A783" s="2" t="inlineStr">
        <is>
          <t>CuteShop</t>
        </is>
      </c>
      <c r="B783" s="2" t="inlineStr">
        <is>
          <t>Держатели для пустышек</t>
        </is>
      </c>
      <c r="C783" s="2">
        <v>253914213</v>
      </c>
      <c r="D783" s="2" t="inlineStr">
        <is>
          <t>KarolinaEdin</t>
        </is>
      </c>
      <c r="E783" s="2" t="inlineStr">
        <is>
          <t>2040963630232</t>
        </is>
      </c>
      <c r="F783" s="2">
        <v>0</v>
      </c>
      <c r="G783" s="2">
        <v>1</v>
      </c>
      <c r="H783" s="2" t="inlineStr">
        <is>
          <t/>
        </is>
      </c>
      <c r="I783" s="2" t="inlineStr">
        <is>
          <t>1030</t>
        </is>
      </c>
      <c r="J783" s="4"/>
      <c r="K783" s="2">
        <v>10</v>
      </c>
      <c r="L783" s="6"/>
      <c r="M783" s="2" t="str">
        <f>IF(J783="",ROUND(I783*(1-IF(ISBLANK(L783),K783,L783)/100),2),ROUND(J783*(1-IF(ISBLANK(L783),K783,L783)/100),2))</f>
      </c>
      <c r="N783" s="7" t="str">
        <f>IF(NOT(AND(J783="",L783="")),IF(OR(AND(L783&lt;&gt;"",NOT(ISNUMBER(L783))),IFERROR(MOD(L783,1),1)&gt;0,AND(ISNUMBER(L783),OR(L783&lt;0,L783&gt;95))),"Введите целое число от 0 до 95",IF(OR(AND(J783&lt;&gt;"",NOT(ISNUMBER(J783))),IFERROR(MOD(J783,1),1)&gt;0,AND(ISNUMBER(J783),OR(J783&lt;50,J783&gt;20000000))),"Введите целое число от 50 до 20000000",IF(NOT(ABS(IFERROR(VALUE(LEFT(M783,FIND("-",M783)-1)),M783)*100-(5000+2000000000)/2)&lt;=ABS(5000-2000000000)/2),"Цена со скидкой должна быть от 50 до 20000000",IF(IFERROR(VALUE(LEFT(M783,FIND("-",M783)-1)),M783)*229&lt;92700,"Вы уменьшили цену в несколько раз, товар попадет в карантин цен","")))),"")</f>
      </c>
    </row>
    <row r="784">
      <c r="A784" s="2" t="inlineStr">
        <is>
          <t>CuteShop</t>
        </is>
      </c>
      <c r="B784" s="2" t="inlineStr">
        <is>
          <t>Держатели для пустышек</t>
        </is>
      </c>
      <c r="C784" s="2">
        <v>314667854</v>
      </c>
      <c r="D784" s="2" t="inlineStr">
        <is>
          <t>EgorBG2</t>
        </is>
      </c>
      <c r="E784" s="2" t="inlineStr">
        <is>
          <t>2042539116607</t>
        </is>
      </c>
      <c r="F784" s="2">
        <v>0</v>
      </c>
      <c r="G784" s="2">
        <v>1</v>
      </c>
      <c r="H784" s="2" t="inlineStr">
        <is>
          <t/>
        </is>
      </c>
      <c r="I784" s="2" t="inlineStr">
        <is>
          <t>790</t>
        </is>
      </c>
      <c r="J784" s="4"/>
      <c r="K784" s="2">
        <v>10</v>
      </c>
      <c r="L784" s="6"/>
      <c r="M784" s="2" t="str">
        <f>IF(J784="",ROUND(I784*(1-IF(ISBLANK(L784),K784,L784)/100),2),ROUND(J784*(1-IF(ISBLANK(L784),K784,L784)/100),2))</f>
      </c>
      <c r="N784" s="7" t="str">
        <f>IF(NOT(AND(J784="",L784="")),IF(OR(AND(L784&lt;&gt;"",NOT(ISNUMBER(L784))),IFERROR(MOD(L784,1),1)&gt;0,AND(ISNUMBER(L784),OR(L784&lt;0,L784&gt;95))),"Введите целое число от 0 до 95",IF(OR(AND(J784&lt;&gt;"",NOT(ISNUMBER(J784))),IFERROR(MOD(J784,1),1)&gt;0,AND(ISNUMBER(J784),OR(J784&lt;50,J784&gt;20000000))),"Введите целое число от 50 до 20000000",IF(NOT(ABS(IFERROR(VALUE(LEFT(M784,FIND("-",M784)-1)),M784)*100-(5000+2000000000)/2)&lt;=ABS(5000-2000000000)/2),"Цена со скидкой должна быть от 50 до 20000000",IF(IFERROR(VALUE(LEFT(M784,FIND("-",M784)-1)),M784)*229&lt;71100,"Вы уменьшили цену в несколько раз, товар попадет в карантин цен","")))),"")</f>
      </c>
    </row>
    <row r="785">
      <c r="A785" s="2" t="inlineStr">
        <is>
          <t>CuteShop</t>
        </is>
      </c>
      <c r="B785" s="2" t="inlineStr">
        <is>
          <t>Держатели для пустышек</t>
        </is>
      </c>
      <c r="C785" s="2">
        <v>110884106</v>
      </c>
      <c r="D785" s="2" t="inlineStr">
        <is>
          <t>Sofiya1BG</t>
        </is>
      </c>
      <c r="E785" s="2" t="inlineStr">
        <is>
          <t>2037217561626</t>
        </is>
      </c>
      <c r="F785" s="2">
        <v>0</v>
      </c>
      <c r="G785" s="2">
        <v>0</v>
      </c>
      <c r="H785" s="2">
        <v>1</v>
      </c>
      <c r="I785" s="2" t="inlineStr">
        <is>
          <t>790</t>
        </is>
      </c>
      <c r="J785" s="4"/>
      <c r="K785" s="2">
        <v>10</v>
      </c>
      <c r="L785" s="6"/>
      <c r="M785" s="2" t="str">
        <f>IF(J785="",ROUND(I785*(1-IF(ISBLANK(L785),K785,L785)/100),2),ROUND(J785*(1-IF(ISBLANK(L785),K785,L785)/100),2))</f>
      </c>
      <c r="N785" s="7" t="str">
        <f>IF(NOT(AND(J785="",L785="")),IF(OR(AND(L785&lt;&gt;"",NOT(ISNUMBER(L785))),IFERROR(MOD(L785,1),1)&gt;0,AND(ISNUMBER(L785),OR(L785&lt;0,L785&gt;95))),"Введите целое число от 0 до 95",IF(OR(AND(J785&lt;&gt;"",NOT(ISNUMBER(J785))),IFERROR(MOD(J785,1),1)&gt;0,AND(ISNUMBER(J785),OR(J785&lt;50,J785&gt;20000000))),"Введите целое число от 50 до 20000000",IF(NOT(ABS(IFERROR(VALUE(LEFT(M785,FIND("-",M785)-1)),M785)*100-(5000+2000000000)/2)&lt;=ABS(5000-2000000000)/2),"Цена со скидкой должна быть от 50 до 20000000",IF(IFERROR(VALUE(LEFT(M785,FIND("-",M785)-1)),M785)*229&lt;71100,"Вы уменьшили цену в несколько раз, товар попадет в карантин цен","")))),"")</f>
      </c>
    </row>
    <row r="786">
      <c r="A786" s="2" t="inlineStr">
        <is>
          <t>CuteShop</t>
        </is>
      </c>
      <c r="B786" s="2" t="inlineStr">
        <is>
          <t>Держатели для пустышек</t>
        </is>
      </c>
      <c r="C786" s="2">
        <v>314688665</v>
      </c>
      <c r="D786" s="2" t="inlineStr">
        <is>
          <t>EgorOlen</t>
        </is>
      </c>
      <c r="E786" s="2" t="inlineStr">
        <is>
          <t>2042539374663</t>
        </is>
      </c>
      <c r="F786" s="2">
        <v>0</v>
      </c>
      <c r="G786" s="2">
        <v>0</v>
      </c>
      <c r="H786" s="2" t="inlineStr">
        <is>
          <t/>
        </is>
      </c>
      <c r="I786" s="2" t="inlineStr">
        <is>
          <t>1030</t>
        </is>
      </c>
      <c r="J786" s="4"/>
      <c r="K786" s="2">
        <v>10</v>
      </c>
      <c r="L786" s="6"/>
      <c r="M786" s="2" t="str">
        <f>IF(J786="",ROUND(I786*(1-IF(ISBLANK(L786),K786,L786)/100),2),ROUND(J786*(1-IF(ISBLANK(L786),K786,L786)/100),2))</f>
      </c>
      <c r="N786" s="7" t="str">
        <f>IF(NOT(AND(J786="",L786="")),IF(OR(AND(L786&lt;&gt;"",NOT(ISNUMBER(L786))),IFERROR(MOD(L786,1),1)&gt;0,AND(ISNUMBER(L786),OR(L786&lt;0,L786&gt;95))),"Введите целое число от 0 до 95",IF(OR(AND(J786&lt;&gt;"",NOT(ISNUMBER(J786))),IFERROR(MOD(J786,1),1)&gt;0,AND(ISNUMBER(J786),OR(J786&lt;50,J786&gt;20000000))),"Введите целое число от 50 до 20000000",IF(NOT(ABS(IFERROR(VALUE(LEFT(M786,FIND("-",M786)-1)),M786)*100-(5000+2000000000)/2)&lt;=ABS(5000-2000000000)/2),"Цена со скидкой должна быть от 50 до 20000000",IF(IFERROR(VALUE(LEFT(M786,FIND("-",M786)-1)),M786)*229&lt;92700,"Вы уменьшили цену в несколько раз, товар попадет в карантин цен","")))),"")</f>
      </c>
    </row>
    <row r="787">
      <c r="A787" s="2" t="inlineStr">
        <is>
          <t>CuteShop</t>
        </is>
      </c>
      <c r="B787" s="2" t="inlineStr">
        <is>
          <t>Держатели для пустышек</t>
        </is>
      </c>
      <c r="C787" s="2">
        <v>314739699</v>
      </c>
      <c r="D787" s="2" t="inlineStr">
        <is>
          <t>DemidLisGol</t>
        </is>
      </c>
      <c r="E787" s="2" t="inlineStr">
        <is>
          <t>2042540601055</t>
        </is>
      </c>
      <c r="F787" s="2">
        <v>0</v>
      </c>
      <c r="G787" s="2">
        <v>1</v>
      </c>
      <c r="H787" s="2" t="inlineStr">
        <is>
          <t/>
        </is>
      </c>
      <c r="I787" s="2" t="inlineStr">
        <is>
          <t>1030</t>
        </is>
      </c>
      <c r="J787" s="4"/>
      <c r="K787" s="2">
        <v>10</v>
      </c>
      <c r="L787" s="6"/>
      <c r="M787" s="2" t="str">
        <f>IF(J787="",ROUND(I787*(1-IF(ISBLANK(L787),K787,L787)/100),2),ROUND(J787*(1-IF(ISBLANK(L787),K787,L787)/100),2))</f>
      </c>
      <c r="N787" s="7" t="str">
        <f>IF(NOT(AND(J787="",L787="")),IF(OR(AND(L787&lt;&gt;"",NOT(ISNUMBER(L787))),IFERROR(MOD(L787,1),1)&gt;0,AND(ISNUMBER(L787),OR(L787&lt;0,L787&gt;95))),"Введите целое число от 0 до 95",IF(OR(AND(J787&lt;&gt;"",NOT(ISNUMBER(J787))),IFERROR(MOD(J787,1),1)&gt;0,AND(ISNUMBER(J787),OR(J787&lt;50,J787&gt;20000000))),"Введите целое число от 50 до 20000000",IF(NOT(ABS(IFERROR(VALUE(LEFT(M787,FIND("-",M787)-1)),M787)*100-(5000+2000000000)/2)&lt;=ABS(5000-2000000000)/2),"Цена со скидкой должна быть от 50 до 20000000",IF(IFERROR(VALUE(LEFT(M787,FIND("-",M787)-1)),M787)*229&lt;92700,"Вы уменьшили цену в несколько раз, товар попадет в карантин цен","")))),"")</f>
      </c>
    </row>
    <row r="788">
      <c r="A788" s="2" t="inlineStr">
        <is>
          <t>CuteShop</t>
        </is>
      </c>
      <c r="B788" s="2" t="inlineStr">
        <is>
          <t>Держатели для пустышек</t>
        </is>
      </c>
      <c r="C788" s="2">
        <v>183412010</v>
      </c>
      <c r="D788" s="2" t="inlineStr">
        <is>
          <t>TaisiyaZay</t>
        </is>
      </c>
      <c r="E788" s="2" t="inlineStr">
        <is>
          <t>2038823701093</t>
        </is>
      </c>
      <c r="F788" s="2">
        <v>0</v>
      </c>
      <c r="G788" s="2">
        <v>1</v>
      </c>
      <c r="H788" s="2">
        <v>1</v>
      </c>
      <c r="I788" s="2" t="inlineStr">
        <is>
          <t>1030</t>
        </is>
      </c>
      <c r="J788" s="4"/>
      <c r="K788" s="2">
        <v>10</v>
      </c>
      <c r="L788" s="6"/>
      <c r="M788" s="2" t="str">
        <f>IF(J788="",ROUND(I788*(1-IF(ISBLANK(L788),K788,L788)/100),2),ROUND(J788*(1-IF(ISBLANK(L788),K788,L788)/100),2))</f>
      </c>
      <c r="N788" s="7" t="str">
        <f>IF(NOT(AND(J788="",L788="")),IF(OR(AND(L788&lt;&gt;"",NOT(ISNUMBER(L788))),IFERROR(MOD(L788,1),1)&gt;0,AND(ISNUMBER(L788),OR(L788&lt;0,L788&gt;95))),"Введите целое число от 0 до 95",IF(OR(AND(J788&lt;&gt;"",NOT(ISNUMBER(J788))),IFERROR(MOD(J788,1),1)&gt;0,AND(ISNUMBER(J788),OR(J788&lt;50,J788&gt;20000000))),"Введите целое число от 50 до 20000000",IF(NOT(ABS(IFERROR(VALUE(LEFT(M788,FIND("-",M788)-1)),M788)*100-(5000+2000000000)/2)&lt;=ABS(5000-2000000000)/2),"Цена со скидкой должна быть от 50 до 20000000",IF(IFERROR(VALUE(LEFT(M788,FIND("-",M788)-1)),M788)*229&lt;92700,"Вы уменьшили цену в несколько раз, товар попадет в карантин цен","")))),"")</f>
      </c>
    </row>
    <row r="789">
      <c r="A789" s="2" t="inlineStr">
        <is>
          <t>CuteShop</t>
        </is>
      </c>
      <c r="B789" s="2" t="inlineStr">
        <is>
          <t>Держатели для пустышек</t>
        </is>
      </c>
      <c r="C789" s="2">
        <v>112949847</v>
      </c>
      <c r="D789" s="2" t="inlineStr">
        <is>
          <t>AndreyMMishM</t>
        </is>
      </c>
      <c r="E789" s="2" t="inlineStr">
        <is>
          <t>2038998167625</t>
        </is>
      </c>
      <c r="F789" s="2">
        <v>0</v>
      </c>
      <c r="G789" s="2">
        <v>1</v>
      </c>
      <c r="H789" s="2">
        <v>0</v>
      </c>
      <c r="I789" s="2" t="inlineStr">
        <is>
          <t>1030</t>
        </is>
      </c>
      <c r="J789" s="4"/>
      <c r="K789" s="2">
        <v>10</v>
      </c>
      <c r="L789" s="6"/>
      <c r="M789" s="2" t="str">
        <f>IF(J789="",ROUND(I789*(1-IF(ISBLANK(L789),K789,L789)/100),2),ROUND(J789*(1-IF(ISBLANK(L789),K789,L789)/100),2))</f>
      </c>
      <c r="N789" s="7" t="str">
        <f>IF(NOT(AND(J789="",L789="")),IF(OR(AND(L789&lt;&gt;"",NOT(ISNUMBER(L789))),IFERROR(MOD(L789,1),1)&gt;0,AND(ISNUMBER(L789),OR(L789&lt;0,L789&gt;95))),"Введите целое число от 0 до 95",IF(OR(AND(J789&lt;&gt;"",NOT(ISNUMBER(J789))),IFERROR(MOD(J789,1),1)&gt;0,AND(ISNUMBER(J789),OR(J789&lt;50,J789&gt;20000000))),"Введите целое число от 50 до 20000000",IF(NOT(ABS(IFERROR(VALUE(LEFT(M789,FIND("-",M789)-1)),M789)*100-(5000+2000000000)/2)&lt;=ABS(5000-2000000000)/2),"Цена со скидкой должна быть от 50 до 20000000",IF(IFERROR(VALUE(LEFT(M789,FIND("-",M789)-1)),M789)*229&lt;92700,"Вы уменьшили цену в несколько раз, товар попадет в карантин цен","")))),"")</f>
      </c>
    </row>
    <row r="790">
      <c r="A790" s="2" t="inlineStr">
        <is>
          <t>CuteShop</t>
        </is>
      </c>
      <c r="B790" s="2" t="inlineStr">
        <is>
          <t>Держатели для пустышек</t>
        </is>
      </c>
      <c r="C790" s="2">
        <v>140341941</v>
      </c>
      <c r="D790" s="2" t="inlineStr">
        <is>
          <t>StefaSlon</t>
        </is>
      </c>
      <c r="E790" s="2" t="inlineStr">
        <is>
          <t>2037296851168</t>
        </is>
      </c>
      <c r="F790" s="2">
        <v>0</v>
      </c>
      <c r="G790" s="2">
        <v>1</v>
      </c>
      <c r="H790" s="2" t="inlineStr">
        <is>
          <t/>
        </is>
      </c>
      <c r="I790" s="2" t="inlineStr">
        <is>
          <t>1030</t>
        </is>
      </c>
      <c r="J790" s="4"/>
      <c r="K790" s="2">
        <v>10</v>
      </c>
      <c r="L790" s="6"/>
      <c r="M790" s="2" t="str">
        <f>IF(J790="",ROUND(I790*(1-IF(ISBLANK(L790),K790,L790)/100),2),ROUND(J790*(1-IF(ISBLANK(L790),K790,L790)/100),2))</f>
      </c>
      <c r="N790" s="7" t="str">
        <f>IF(NOT(AND(J790="",L790="")),IF(OR(AND(L790&lt;&gt;"",NOT(ISNUMBER(L790))),IFERROR(MOD(L790,1),1)&gt;0,AND(ISNUMBER(L790),OR(L790&lt;0,L790&gt;95))),"Введите целое число от 0 до 95",IF(OR(AND(J790&lt;&gt;"",NOT(ISNUMBER(J790))),IFERROR(MOD(J790,1),1)&gt;0,AND(ISNUMBER(J790),OR(J790&lt;50,J790&gt;20000000))),"Введите целое число от 50 до 20000000",IF(NOT(ABS(IFERROR(VALUE(LEFT(M790,FIND("-",M790)-1)),M790)*100-(5000+2000000000)/2)&lt;=ABS(5000-2000000000)/2),"Цена со скидкой должна быть от 50 до 20000000",IF(IFERROR(VALUE(LEFT(M790,FIND("-",M790)-1)),M790)*229&lt;92700,"Вы уменьшили цену в несколько раз, товар попадет в карантин цен","")))),"")</f>
      </c>
    </row>
    <row r="791">
      <c r="A791" s="2" t="inlineStr">
        <is>
          <t>CuteShop</t>
        </is>
      </c>
      <c r="B791" s="2" t="inlineStr">
        <is>
          <t>Держатели для пустышек</t>
        </is>
      </c>
      <c r="C791" s="2">
        <v>110884108</v>
      </c>
      <c r="D791" s="2" t="inlineStr">
        <is>
          <t>Sofiya1Slon</t>
        </is>
      </c>
      <c r="E791" s="2" t="inlineStr">
        <is>
          <t>2037217801623</t>
        </is>
      </c>
      <c r="F791" s="2">
        <v>0</v>
      </c>
      <c r="G791" s="2">
        <v>0</v>
      </c>
      <c r="H791" s="2">
        <v>0</v>
      </c>
      <c r="I791" s="2" t="inlineStr">
        <is>
          <t>1030</t>
        </is>
      </c>
      <c r="J791" s="4"/>
      <c r="K791" s="2">
        <v>10</v>
      </c>
      <c r="L791" s="6"/>
      <c r="M791" s="2" t="str">
        <f>IF(J791="",ROUND(I791*(1-IF(ISBLANK(L791),K791,L791)/100),2),ROUND(J791*(1-IF(ISBLANK(L791),K791,L791)/100),2))</f>
      </c>
      <c r="N791" s="7" t="str">
        <f>IF(NOT(AND(J791="",L791="")),IF(OR(AND(L791&lt;&gt;"",NOT(ISNUMBER(L791))),IFERROR(MOD(L791,1),1)&gt;0,AND(ISNUMBER(L791),OR(L791&lt;0,L791&gt;95))),"Введите целое число от 0 до 95",IF(OR(AND(J791&lt;&gt;"",NOT(ISNUMBER(J791))),IFERROR(MOD(J791,1),1)&gt;0,AND(ISNUMBER(J791),OR(J791&lt;50,J791&gt;20000000))),"Введите целое число от 50 до 20000000",IF(NOT(ABS(IFERROR(VALUE(LEFT(M791,FIND("-",M791)-1)),M791)*100-(5000+2000000000)/2)&lt;=ABS(5000-2000000000)/2),"Цена со скидкой должна быть от 50 до 20000000",IF(IFERROR(VALUE(LEFT(M791,FIND("-",M791)-1)),M791)*229&lt;92700,"Вы уменьшили цену в несколько раз, товар попадет в карантин цен","")))),"")</f>
      </c>
    </row>
    <row r="792">
      <c r="A792" s="2" t="inlineStr">
        <is>
          <t>CuteShop</t>
        </is>
      </c>
      <c r="B792" s="2" t="inlineStr">
        <is>
          <t>Держатели для пустышек</t>
        </is>
      </c>
      <c r="C792" s="2">
        <v>111018809</v>
      </c>
      <c r="D792" s="2" t="inlineStr">
        <is>
          <t>DashulyaKot</t>
        </is>
      </c>
      <c r="E792" s="2" t="inlineStr">
        <is>
          <t>2037426829623</t>
        </is>
      </c>
      <c r="F792" s="2">
        <v>0</v>
      </c>
      <c r="G792" s="2">
        <v>0</v>
      </c>
      <c r="H792" s="2">
        <v>0</v>
      </c>
      <c r="I792" s="2" t="inlineStr">
        <is>
          <t>1030</t>
        </is>
      </c>
      <c r="J792" s="4"/>
      <c r="K792" s="2">
        <v>10</v>
      </c>
      <c r="L792" s="6"/>
      <c r="M792" s="2" t="str">
        <f>IF(J792="",ROUND(I792*(1-IF(ISBLANK(L792),K792,L792)/100),2),ROUND(J792*(1-IF(ISBLANK(L792),K792,L792)/100),2))</f>
      </c>
      <c r="N792" s="7" t="str">
        <f>IF(NOT(AND(J792="",L792="")),IF(OR(AND(L792&lt;&gt;"",NOT(ISNUMBER(L792))),IFERROR(MOD(L792,1),1)&gt;0,AND(ISNUMBER(L792),OR(L792&lt;0,L792&gt;95))),"Введите целое число от 0 до 95",IF(OR(AND(J792&lt;&gt;"",NOT(ISNUMBER(J792))),IFERROR(MOD(J792,1),1)&gt;0,AND(ISNUMBER(J792),OR(J792&lt;50,J792&gt;20000000))),"Введите целое число от 50 до 20000000",IF(NOT(ABS(IFERROR(VALUE(LEFT(M792,FIND("-",M792)-1)),M792)*100-(5000+2000000000)/2)&lt;=ABS(5000-2000000000)/2),"Цена со скидкой должна быть от 50 до 20000000",IF(IFERROR(VALUE(LEFT(M792,FIND("-",M792)-1)),M792)*229&lt;92700,"Вы уменьшили цену в несколько раз, товар попадет в карантин цен","")))),"")</f>
      </c>
    </row>
    <row r="793">
      <c r="A793" s="2" t="inlineStr">
        <is>
          <t>CuteShop</t>
        </is>
      </c>
      <c r="B793" s="2" t="inlineStr">
        <is>
          <t>Держатели для пустышек</t>
        </is>
      </c>
      <c r="C793" s="2">
        <v>111017432</v>
      </c>
      <c r="D793" s="2" t="inlineStr">
        <is>
          <t>MarkBG</t>
        </is>
      </c>
      <c r="E793" s="2" t="inlineStr">
        <is>
          <t>2037418815627</t>
        </is>
      </c>
      <c r="F793" s="2">
        <v>0</v>
      </c>
      <c r="G793" s="2">
        <v>1</v>
      </c>
      <c r="H793" s="2">
        <v>0</v>
      </c>
      <c r="I793" s="2" t="inlineStr">
        <is>
          <t>790</t>
        </is>
      </c>
      <c r="J793" s="4"/>
      <c r="K793" s="2">
        <v>10</v>
      </c>
      <c r="L793" s="6"/>
      <c r="M793" s="2" t="str">
        <f>IF(J793="",ROUND(I793*(1-IF(ISBLANK(L793),K793,L793)/100),2),ROUND(J793*(1-IF(ISBLANK(L793),K793,L793)/100),2))</f>
      </c>
      <c r="N793" s="7" t="str">
        <f>IF(NOT(AND(J793="",L793="")),IF(OR(AND(L793&lt;&gt;"",NOT(ISNUMBER(L793))),IFERROR(MOD(L793,1),1)&gt;0,AND(ISNUMBER(L793),OR(L793&lt;0,L793&gt;95))),"Введите целое число от 0 до 95",IF(OR(AND(J793&lt;&gt;"",NOT(ISNUMBER(J793))),IFERROR(MOD(J793,1),1)&gt;0,AND(ISNUMBER(J793),OR(J793&lt;50,J793&gt;20000000))),"Введите целое число от 50 до 20000000",IF(NOT(ABS(IFERROR(VALUE(LEFT(M793,FIND("-",M793)-1)),M793)*100-(5000+2000000000)/2)&lt;=ABS(5000-2000000000)/2),"Цена со скидкой должна быть от 50 до 20000000",IF(IFERROR(VALUE(LEFT(M793,FIND("-",M793)-1)),M793)*229&lt;71100,"Вы уменьшили цену в несколько раз, товар попадет в карантин цен","")))),"")</f>
      </c>
    </row>
    <row r="794">
      <c r="A794" s="2" t="inlineStr">
        <is>
          <t>CuteShop</t>
        </is>
      </c>
      <c r="B794" s="2" t="inlineStr">
        <is>
          <t>Держатели для пустышек</t>
        </is>
      </c>
      <c r="C794" s="2">
        <v>172165872</v>
      </c>
      <c r="D794" s="2" t="inlineStr">
        <is>
          <t>ArianaEdin</t>
        </is>
      </c>
      <c r="E794" s="2" t="inlineStr">
        <is>
          <t>2038301583104</t>
        </is>
      </c>
      <c r="F794" s="2">
        <v>0</v>
      </c>
      <c r="G794" s="2">
        <v>0</v>
      </c>
      <c r="H794" s="2">
        <v>0</v>
      </c>
      <c r="I794" s="2" t="inlineStr">
        <is>
          <t>1030</t>
        </is>
      </c>
      <c r="J794" s="4"/>
      <c r="K794" s="2">
        <v>10</v>
      </c>
      <c r="L794" s="6"/>
      <c r="M794" s="2" t="str">
        <f>IF(J794="",ROUND(I794*(1-IF(ISBLANK(L794),K794,L794)/100),2),ROUND(J794*(1-IF(ISBLANK(L794),K794,L794)/100),2))</f>
      </c>
      <c r="N794" s="7" t="str">
        <f>IF(NOT(AND(J794="",L794="")),IF(OR(AND(L794&lt;&gt;"",NOT(ISNUMBER(L794))),IFERROR(MOD(L794,1),1)&gt;0,AND(ISNUMBER(L794),OR(L794&lt;0,L794&gt;95))),"Введите целое число от 0 до 95",IF(OR(AND(J794&lt;&gt;"",NOT(ISNUMBER(J794))),IFERROR(MOD(J794,1),1)&gt;0,AND(ISNUMBER(J794),OR(J794&lt;50,J794&gt;20000000))),"Введите целое число от 50 до 20000000",IF(NOT(ABS(IFERROR(VALUE(LEFT(M794,FIND("-",M794)-1)),M794)*100-(5000+2000000000)/2)&lt;=ABS(5000-2000000000)/2),"Цена со скидкой должна быть от 50 до 20000000",IF(IFERROR(VALUE(LEFT(M794,FIND("-",M794)-1)),M794)*229&lt;92700,"Вы уменьшили цену в несколько раз, товар попадет в карантин цен","")))),"")</f>
      </c>
    </row>
    <row r="795">
      <c r="A795" s="2" t="inlineStr">
        <is>
          <t>CuteShop</t>
        </is>
      </c>
      <c r="B795" s="2" t="inlineStr">
        <is>
          <t>Держатели для пустышек</t>
        </is>
      </c>
      <c r="C795" s="2">
        <v>111024336</v>
      </c>
      <c r="D795" s="2" t="inlineStr">
        <is>
          <t>KamilaBG</t>
        </is>
      </c>
      <c r="E795" s="2" t="inlineStr">
        <is>
          <t>2037458362624</t>
        </is>
      </c>
      <c r="F795" s="2">
        <v>0</v>
      </c>
      <c r="G795" s="2">
        <v>1</v>
      </c>
      <c r="H795" s="2">
        <v>0</v>
      </c>
      <c r="I795" s="2" t="inlineStr">
        <is>
          <t>790</t>
        </is>
      </c>
      <c r="J795" s="4"/>
      <c r="K795" s="2">
        <v>10</v>
      </c>
      <c r="L795" s="6"/>
      <c r="M795" s="2" t="str">
        <f>IF(J795="",ROUND(I795*(1-IF(ISBLANK(L795),K795,L795)/100),2),ROUND(J795*(1-IF(ISBLANK(L795),K795,L795)/100),2))</f>
      </c>
      <c r="N795" s="7" t="str">
        <f>IF(NOT(AND(J795="",L795="")),IF(OR(AND(L795&lt;&gt;"",NOT(ISNUMBER(L795))),IFERROR(MOD(L795,1),1)&gt;0,AND(ISNUMBER(L795),OR(L795&lt;0,L795&gt;95))),"Введите целое число от 0 до 95",IF(OR(AND(J795&lt;&gt;"",NOT(ISNUMBER(J795))),IFERROR(MOD(J795,1),1)&gt;0,AND(ISNUMBER(J795),OR(J795&lt;50,J795&gt;20000000))),"Введите целое число от 50 до 20000000",IF(NOT(ABS(IFERROR(VALUE(LEFT(M795,FIND("-",M795)-1)),M795)*100-(5000+2000000000)/2)&lt;=ABS(5000-2000000000)/2),"Цена со скидкой должна быть от 50 до 20000000",IF(IFERROR(VALUE(LEFT(M795,FIND("-",M795)-1)),M795)*229&lt;71100,"Вы уменьшили цену в несколько раз, товар попадет в карантин цен","")))),"")</f>
      </c>
    </row>
    <row r="796">
      <c r="A796" s="2" t="inlineStr">
        <is>
          <t>CuteShop</t>
        </is>
      </c>
      <c r="B796" s="2" t="inlineStr">
        <is>
          <t>Держатели для пустышек</t>
        </is>
      </c>
      <c r="C796" s="2">
        <v>111031948</v>
      </c>
      <c r="D796" s="2" t="inlineStr">
        <is>
          <t>IlyaMish2</t>
        </is>
      </c>
      <c r="E796" s="2" t="inlineStr">
        <is>
          <t>2037465049624</t>
        </is>
      </c>
      <c r="F796" s="2">
        <v>0</v>
      </c>
      <c r="G796" s="2">
        <v>0</v>
      </c>
      <c r="H796" s="2">
        <v>0</v>
      </c>
      <c r="I796" s="2" t="inlineStr">
        <is>
          <t>1030</t>
        </is>
      </c>
      <c r="J796" s="4"/>
      <c r="K796" s="2">
        <v>10</v>
      </c>
      <c r="L796" s="6"/>
      <c r="M796" s="2" t="str">
        <f>IF(J796="",ROUND(I796*(1-IF(ISBLANK(L796),K796,L796)/100),2),ROUND(J796*(1-IF(ISBLANK(L796),K796,L796)/100),2))</f>
      </c>
      <c r="N796" s="7" t="str">
        <f>IF(NOT(AND(J796="",L796="")),IF(OR(AND(L796&lt;&gt;"",NOT(ISNUMBER(L796))),IFERROR(MOD(L796,1),1)&gt;0,AND(ISNUMBER(L796),OR(L796&lt;0,L796&gt;95))),"Введите целое число от 0 до 95",IF(OR(AND(J796&lt;&gt;"",NOT(ISNUMBER(J796))),IFERROR(MOD(J796,1),1)&gt;0,AND(ISNUMBER(J796),OR(J796&lt;50,J796&gt;20000000))),"Введите целое число от 50 до 20000000",IF(NOT(ABS(IFERROR(VALUE(LEFT(M796,FIND("-",M796)-1)),M796)*100-(5000+2000000000)/2)&lt;=ABS(5000-2000000000)/2),"Цена со скидкой должна быть от 50 до 20000000",IF(IFERROR(VALUE(LEFT(M796,FIND("-",M796)-1)),M796)*229&lt;92700,"Вы уменьшили цену в несколько раз, товар попадет в карантин цен","")))),"")</f>
      </c>
    </row>
    <row r="797">
      <c r="A797" s="2" t="inlineStr">
        <is>
          <t>CuteShop</t>
        </is>
      </c>
      <c r="B797" s="2" t="inlineStr">
        <is>
          <t>Держатели для пустышек</t>
        </is>
      </c>
      <c r="C797" s="2">
        <v>170797098</v>
      </c>
      <c r="D797" s="2" t="inlineStr">
        <is>
          <t>AmeliyaLev2</t>
        </is>
      </c>
      <c r="E797" s="2" t="inlineStr">
        <is>
          <t>2038218927534</t>
        </is>
      </c>
      <c r="F797" s="2">
        <v>0</v>
      </c>
      <c r="G797" s="2">
        <v>1</v>
      </c>
      <c r="H797" s="2" t="inlineStr">
        <is>
          <t/>
        </is>
      </c>
      <c r="I797" s="2" t="inlineStr">
        <is>
          <t>1030</t>
        </is>
      </c>
      <c r="J797" s="4"/>
      <c r="K797" s="2">
        <v>10</v>
      </c>
      <c r="L797" s="6"/>
      <c r="M797" s="2" t="str">
        <f>IF(J797="",ROUND(I797*(1-IF(ISBLANK(L797),K797,L797)/100),2),ROUND(J797*(1-IF(ISBLANK(L797),K797,L797)/100),2))</f>
      </c>
      <c r="N797" s="7" t="str">
        <f>IF(NOT(AND(J797="",L797="")),IF(OR(AND(L797&lt;&gt;"",NOT(ISNUMBER(L797))),IFERROR(MOD(L797,1),1)&gt;0,AND(ISNUMBER(L797),OR(L797&lt;0,L797&gt;95))),"Введите целое число от 0 до 95",IF(OR(AND(J797&lt;&gt;"",NOT(ISNUMBER(J797))),IFERROR(MOD(J797,1),1)&gt;0,AND(ISNUMBER(J797),OR(J797&lt;50,J797&gt;20000000))),"Введите целое число от 50 до 20000000",IF(NOT(ABS(IFERROR(VALUE(LEFT(M797,FIND("-",M797)-1)),M797)*100-(5000+2000000000)/2)&lt;=ABS(5000-2000000000)/2),"Цена со скидкой должна быть от 50 до 20000000",IF(IFERROR(VALUE(LEFT(M797,FIND("-",M797)-1)),M797)*229&lt;92700,"Вы уменьшили цену в несколько раз, товар попадет в карантин цен","")))),"")</f>
      </c>
    </row>
    <row r="798">
      <c r="A798" s="2" t="inlineStr">
        <is>
          <t>CuteShop</t>
        </is>
      </c>
      <c r="B798" s="2" t="inlineStr">
        <is>
          <t>Держатели для пустышек</t>
        </is>
      </c>
      <c r="C798" s="2">
        <v>140341940</v>
      </c>
      <c r="D798" s="2" t="inlineStr">
        <is>
          <t>SteshaMish</t>
        </is>
      </c>
      <c r="E798" s="2" t="inlineStr">
        <is>
          <t>2037296855975</t>
        </is>
      </c>
      <c r="F798" s="2">
        <v>0</v>
      </c>
      <c r="G798" s="2">
        <v>0</v>
      </c>
      <c r="H798" s="2" t="inlineStr">
        <is>
          <t/>
        </is>
      </c>
      <c r="I798" s="2" t="inlineStr">
        <is>
          <t>1030</t>
        </is>
      </c>
      <c r="J798" s="4"/>
      <c r="K798" s="2">
        <v>10</v>
      </c>
      <c r="L798" s="6"/>
      <c r="M798" s="2" t="str">
        <f>IF(J798="",ROUND(I798*(1-IF(ISBLANK(L798),K798,L798)/100),2),ROUND(J798*(1-IF(ISBLANK(L798),K798,L798)/100),2))</f>
      </c>
      <c r="N798" s="7" t="str">
        <f>IF(NOT(AND(J798="",L798="")),IF(OR(AND(L798&lt;&gt;"",NOT(ISNUMBER(L798))),IFERROR(MOD(L798,1),1)&gt;0,AND(ISNUMBER(L798),OR(L798&lt;0,L798&gt;95))),"Введите целое число от 0 до 95",IF(OR(AND(J798&lt;&gt;"",NOT(ISNUMBER(J798))),IFERROR(MOD(J798,1),1)&gt;0,AND(ISNUMBER(J798),OR(J798&lt;50,J798&gt;20000000))),"Введите целое число от 50 до 20000000",IF(NOT(ABS(IFERROR(VALUE(LEFT(M798,FIND("-",M798)-1)),M798)*100-(5000+2000000000)/2)&lt;=ABS(5000-2000000000)/2),"Цена со скидкой должна быть от 50 до 20000000",IF(IFERROR(VALUE(LEFT(M798,FIND("-",M798)-1)),M798)*229&lt;92700,"Вы уменьшили цену в несколько раз, товар попадет в карантин цен","")))),"")</f>
      </c>
    </row>
    <row r="799">
      <c r="A799" s="2" t="inlineStr">
        <is>
          <t>CuteShop</t>
        </is>
      </c>
      <c r="B799" s="2" t="inlineStr">
        <is>
          <t>Держатели для пустышек</t>
        </is>
      </c>
      <c r="C799" s="2">
        <v>117637850</v>
      </c>
      <c r="D799" s="2" t="inlineStr">
        <is>
          <t>KsyushaKsenKot</t>
        </is>
      </c>
      <c r="E799" s="2" t="inlineStr">
        <is>
          <t>2042164263622</t>
        </is>
      </c>
      <c r="F799" s="2">
        <v>0</v>
      </c>
      <c r="G799" s="2">
        <v>0</v>
      </c>
      <c r="H799" s="2">
        <v>0</v>
      </c>
      <c r="I799" s="2" t="inlineStr">
        <is>
          <t>1030</t>
        </is>
      </c>
      <c r="J799" s="4"/>
      <c r="K799" s="2">
        <v>10</v>
      </c>
      <c r="L799" s="6"/>
      <c r="M799" s="2" t="str">
        <f>IF(J799="",ROUND(I799*(1-IF(ISBLANK(L799),K799,L799)/100),2),ROUND(J799*(1-IF(ISBLANK(L799),K799,L799)/100),2))</f>
      </c>
      <c r="N799" s="7" t="str">
        <f>IF(NOT(AND(J799="",L799="")),IF(OR(AND(L799&lt;&gt;"",NOT(ISNUMBER(L799))),IFERROR(MOD(L799,1),1)&gt;0,AND(ISNUMBER(L799),OR(L799&lt;0,L799&gt;95))),"Введите целое число от 0 до 95",IF(OR(AND(J799&lt;&gt;"",NOT(ISNUMBER(J799))),IFERROR(MOD(J799,1),1)&gt;0,AND(ISNUMBER(J799),OR(J799&lt;50,J799&gt;20000000))),"Введите целое число от 50 до 20000000",IF(NOT(ABS(IFERROR(VALUE(LEFT(M799,FIND("-",M799)-1)),M799)*100-(5000+2000000000)/2)&lt;=ABS(5000-2000000000)/2),"Цена со скидкой должна быть от 50 до 20000000",IF(IFERROR(VALUE(LEFT(M799,FIND("-",M799)-1)),M799)*229&lt;92700,"Вы уменьшили цену в несколько раз, товар попадет в карантин цен","")))),"")</f>
      </c>
    </row>
    <row r="800">
      <c r="A800" s="2" t="inlineStr">
        <is>
          <t>CuteShop</t>
        </is>
      </c>
      <c r="B800" s="2" t="inlineStr">
        <is>
          <t>Держатели для пустышек</t>
        </is>
      </c>
      <c r="C800" s="2">
        <v>87670306</v>
      </c>
      <c r="D800" s="2" t="inlineStr">
        <is>
          <t>TaisiyaBG2</t>
        </is>
      </c>
      <c r="E800" s="2" t="inlineStr">
        <is>
          <t>2034872057624</t>
        </is>
      </c>
      <c r="F800" s="2">
        <v>0</v>
      </c>
      <c r="G800" s="2">
        <v>1</v>
      </c>
      <c r="H800" s="2">
        <v>18</v>
      </c>
      <c r="I800" s="2" t="inlineStr">
        <is>
          <t>790</t>
        </is>
      </c>
      <c r="J800" s="4"/>
      <c r="K800" s="2">
        <v>10</v>
      </c>
      <c r="L800" s="6"/>
      <c r="M800" s="2" t="str">
        <f>IF(J800="",ROUND(I800*(1-IF(ISBLANK(L800),K800,L800)/100),2),ROUND(J800*(1-IF(ISBLANK(L800),K800,L800)/100),2))</f>
      </c>
      <c r="N800" s="7" t="str">
        <f>IF(NOT(AND(J800="",L800="")),IF(OR(AND(L800&lt;&gt;"",NOT(ISNUMBER(L800))),IFERROR(MOD(L800,1),1)&gt;0,AND(ISNUMBER(L800),OR(L800&lt;0,L800&gt;95))),"Введите целое число от 0 до 95",IF(OR(AND(J800&lt;&gt;"",NOT(ISNUMBER(J800))),IFERROR(MOD(J800,1),1)&gt;0,AND(ISNUMBER(J800),OR(J800&lt;50,J800&gt;20000000))),"Введите целое число от 50 до 20000000",IF(NOT(ABS(IFERROR(VALUE(LEFT(M800,FIND("-",M800)-1)),M800)*100-(5000+2000000000)/2)&lt;=ABS(5000-2000000000)/2),"Цена со скидкой должна быть от 50 до 20000000",IF(IFERROR(VALUE(LEFT(M800,FIND("-",M800)-1)),M800)*229&lt;71100,"Вы уменьшили цену в несколько раз, товар попадет в карантин цен","")))),"")</f>
      </c>
    </row>
    <row r="801">
      <c r="A801" s="2" t="inlineStr">
        <is>
          <t>CuteShop</t>
        </is>
      </c>
      <c r="B801" s="2" t="inlineStr">
        <is>
          <t>Держатели для пустышек</t>
        </is>
      </c>
      <c r="C801" s="2">
        <v>99968228</v>
      </c>
      <c r="D801" s="2" t="inlineStr">
        <is>
          <t>AgataEdin2</t>
        </is>
      </c>
      <c r="E801" s="2" t="inlineStr">
        <is>
          <t>2036806383533</t>
        </is>
      </c>
      <c r="F801" s="2">
        <v>0</v>
      </c>
      <c r="G801" s="2">
        <v>0</v>
      </c>
      <c r="H801" s="2">
        <v>1</v>
      </c>
      <c r="I801" s="2" t="inlineStr">
        <is>
          <t>1030</t>
        </is>
      </c>
      <c r="J801" s="4"/>
      <c r="K801" s="2">
        <v>10</v>
      </c>
      <c r="L801" s="6"/>
      <c r="M801" s="2" t="str">
        <f>IF(J801="",ROUND(I801*(1-IF(ISBLANK(L801),K801,L801)/100),2),ROUND(J801*(1-IF(ISBLANK(L801),K801,L801)/100),2))</f>
      </c>
      <c r="N801" s="7" t="str">
        <f>IF(NOT(AND(J801="",L801="")),IF(OR(AND(L801&lt;&gt;"",NOT(ISNUMBER(L801))),IFERROR(MOD(L801,1),1)&gt;0,AND(ISNUMBER(L801),OR(L801&lt;0,L801&gt;95))),"Введите целое число от 0 до 95",IF(OR(AND(J801&lt;&gt;"",NOT(ISNUMBER(J801))),IFERROR(MOD(J801,1),1)&gt;0,AND(ISNUMBER(J801),OR(J801&lt;50,J801&gt;20000000))),"Введите целое число от 50 до 20000000",IF(NOT(ABS(IFERROR(VALUE(LEFT(M801,FIND("-",M801)-1)),M801)*100-(5000+2000000000)/2)&lt;=ABS(5000-2000000000)/2),"Цена со скидкой должна быть от 50 до 20000000",IF(IFERROR(VALUE(LEFT(M801,FIND("-",M801)-1)),M801)*229&lt;92700,"Вы уменьшили цену в несколько раз, товар попадет в карантин цен","")))),"")</f>
      </c>
    </row>
    <row r="802">
      <c r="A802" s="2" t="inlineStr">
        <is>
          <t>CuteShop</t>
        </is>
      </c>
      <c r="B802" s="2" t="inlineStr">
        <is>
          <t>Держатели для пустышек</t>
        </is>
      </c>
      <c r="C802" s="2">
        <v>99297674</v>
      </c>
      <c r="D802" s="2" t="inlineStr">
        <is>
          <t>AnyutaLis2</t>
        </is>
      </c>
      <c r="E802" s="2" t="inlineStr">
        <is>
          <t>2036797073611</t>
        </is>
      </c>
      <c r="F802" s="2">
        <v>0</v>
      </c>
      <c r="G802" s="2">
        <v>0</v>
      </c>
      <c r="H802" s="2">
        <v>1</v>
      </c>
      <c r="I802" s="2" t="inlineStr">
        <is>
          <t>1030</t>
        </is>
      </c>
      <c r="J802" s="4"/>
      <c r="K802" s="2">
        <v>10</v>
      </c>
      <c r="L802" s="6"/>
      <c r="M802" s="2" t="str">
        <f>IF(J802="",ROUND(I802*(1-IF(ISBLANK(L802),K802,L802)/100),2),ROUND(J802*(1-IF(ISBLANK(L802),K802,L802)/100),2))</f>
      </c>
      <c r="N802" s="7" t="str">
        <f>IF(NOT(AND(J802="",L802="")),IF(OR(AND(L802&lt;&gt;"",NOT(ISNUMBER(L802))),IFERROR(MOD(L802,1),1)&gt;0,AND(ISNUMBER(L802),OR(L802&lt;0,L802&gt;95))),"Введите целое число от 0 до 95",IF(OR(AND(J802&lt;&gt;"",NOT(ISNUMBER(J802))),IFERROR(MOD(J802,1),1)&gt;0,AND(ISNUMBER(J802),OR(J802&lt;50,J802&gt;20000000))),"Введите целое число от 50 до 20000000",IF(NOT(ABS(IFERROR(VALUE(LEFT(M802,FIND("-",M802)-1)),M802)*100-(5000+2000000000)/2)&lt;=ABS(5000-2000000000)/2),"Цена со скидкой должна быть от 50 до 20000000",IF(IFERROR(VALUE(LEFT(M802,FIND("-",M802)-1)),M802)*229&lt;92700,"Вы уменьшили цену в несколько раз, товар попадет в карантин цен","")))),"")</f>
      </c>
    </row>
    <row r="803">
      <c r="A803" s="2" t="inlineStr">
        <is>
          <t>CuteShop</t>
        </is>
      </c>
      <c r="B803" s="2" t="inlineStr">
        <is>
          <t>Держатели для пустышек</t>
        </is>
      </c>
      <c r="C803" s="2">
        <v>132195811</v>
      </c>
      <c r="D803" s="2" t="inlineStr">
        <is>
          <t>ArinaBG</t>
        </is>
      </c>
      <c r="E803" s="2" t="inlineStr">
        <is>
          <t>2037042219044</t>
        </is>
      </c>
      <c r="F803" s="2">
        <v>0</v>
      </c>
      <c r="G803" s="2">
        <v>1</v>
      </c>
      <c r="H803" s="2" t="inlineStr">
        <is>
          <t/>
        </is>
      </c>
      <c r="I803" s="2" t="inlineStr">
        <is>
          <t>790</t>
        </is>
      </c>
      <c r="J803" s="4"/>
      <c r="K803" s="2">
        <v>10</v>
      </c>
      <c r="L803" s="6"/>
      <c r="M803" s="2" t="str">
        <f>IF(J803="",ROUND(I803*(1-IF(ISBLANK(L803),K803,L803)/100),2),ROUND(J803*(1-IF(ISBLANK(L803),K803,L803)/100),2))</f>
      </c>
      <c r="N803" s="7" t="str">
        <f>IF(NOT(AND(J803="",L803="")),IF(OR(AND(L803&lt;&gt;"",NOT(ISNUMBER(L803))),IFERROR(MOD(L803,1),1)&gt;0,AND(ISNUMBER(L803),OR(L803&lt;0,L803&gt;95))),"Введите целое число от 0 до 95",IF(OR(AND(J803&lt;&gt;"",NOT(ISNUMBER(J803))),IFERROR(MOD(J803,1),1)&gt;0,AND(ISNUMBER(J803),OR(J803&lt;50,J803&gt;20000000))),"Введите целое число от 50 до 20000000",IF(NOT(ABS(IFERROR(VALUE(LEFT(M803,FIND("-",M803)-1)),M803)*100-(5000+2000000000)/2)&lt;=ABS(5000-2000000000)/2),"Цена со скидкой должна быть от 50 до 20000000",IF(IFERROR(VALUE(LEFT(M803,FIND("-",M803)-1)),M803)*229&lt;71100,"Вы уменьшили цену в несколько раз, товар попадет в карантин цен","")))),"")</f>
      </c>
    </row>
    <row r="804">
      <c r="A804" s="2" t="inlineStr">
        <is>
          <t>CuteShop</t>
        </is>
      </c>
      <c r="B804" s="2" t="inlineStr">
        <is>
          <t>Держатели для пустышек</t>
        </is>
      </c>
      <c r="C804" s="2">
        <v>116671800</v>
      </c>
      <c r="D804" s="2" t="inlineStr">
        <is>
          <t>ZlataEdinBol</t>
        </is>
      </c>
      <c r="E804" s="2" t="inlineStr">
        <is>
          <t>2041785544622</t>
        </is>
      </c>
      <c r="F804" s="2">
        <v>0</v>
      </c>
      <c r="G804" s="2">
        <v>0</v>
      </c>
      <c r="H804" s="2">
        <v>0</v>
      </c>
      <c r="I804" s="2" t="inlineStr">
        <is>
          <t>1030</t>
        </is>
      </c>
      <c r="J804" s="4"/>
      <c r="K804" s="2">
        <v>10</v>
      </c>
      <c r="L804" s="6"/>
      <c r="M804" s="2" t="str">
        <f>IF(J804="",ROUND(I804*(1-IF(ISBLANK(L804),K804,L804)/100),2),ROUND(J804*(1-IF(ISBLANK(L804),K804,L804)/100),2))</f>
      </c>
      <c r="N804" s="7" t="str">
        <f>IF(NOT(AND(J804="",L804="")),IF(OR(AND(L804&lt;&gt;"",NOT(ISNUMBER(L804))),IFERROR(MOD(L804,1),1)&gt;0,AND(ISNUMBER(L804),OR(L804&lt;0,L804&gt;95))),"Введите целое число от 0 до 95",IF(OR(AND(J804&lt;&gt;"",NOT(ISNUMBER(J804))),IFERROR(MOD(J804,1),1)&gt;0,AND(ISNUMBER(J804),OR(J804&lt;50,J804&gt;20000000))),"Введите целое число от 50 до 20000000",IF(NOT(ABS(IFERROR(VALUE(LEFT(M804,FIND("-",M804)-1)),M804)*100-(5000+2000000000)/2)&lt;=ABS(5000-2000000000)/2),"Цена со скидкой должна быть от 50 до 20000000",IF(IFERROR(VALUE(LEFT(M804,FIND("-",M804)-1)),M804)*229&lt;92700,"Вы уменьшили цену в несколько раз, товар попадет в карантин цен","")))),"")</f>
      </c>
    </row>
    <row r="805">
      <c r="A805" s="2" t="inlineStr">
        <is>
          <t>CuteShop</t>
        </is>
      </c>
      <c r="B805" s="2" t="inlineStr">
        <is>
          <t>Держатели для пустышек</t>
        </is>
      </c>
      <c r="C805" s="2">
        <v>112371116</v>
      </c>
      <c r="D805" s="2" t="inlineStr">
        <is>
          <t>SenyaArsBG</t>
        </is>
      </c>
      <c r="E805" s="2" t="inlineStr">
        <is>
          <t>2038782758626</t>
        </is>
      </c>
      <c r="F805" s="2">
        <v>0</v>
      </c>
      <c r="G805" s="2">
        <v>1</v>
      </c>
      <c r="H805" s="2">
        <v>0</v>
      </c>
      <c r="I805" s="2" t="inlineStr">
        <is>
          <t>790</t>
        </is>
      </c>
      <c r="J805" s="4"/>
      <c r="K805" s="2">
        <v>10</v>
      </c>
      <c r="L805" s="6"/>
      <c r="M805" s="2" t="str">
        <f>IF(J805="",ROUND(I805*(1-IF(ISBLANK(L805),K805,L805)/100),2),ROUND(J805*(1-IF(ISBLANK(L805),K805,L805)/100),2))</f>
      </c>
      <c r="N805" s="7" t="str">
        <f>IF(NOT(AND(J805="",L805="")),IF(OR(AND(L805&lt;&gt;"",NOT(ISNUMBER(L805))),IFERROR(MOD(L805,1),1)&gt;0,AND(ISNUMBER(L805),OR(L805&lt;0,L805&gt;95))),"Введите целое число от 0 до 95",IF(OR(AND(J805&lt;&gt;"",NOT(ISNUMBER(J805))),IFERROR(MOD(J805,1),1)&gt;0,AND(ISNUMBER(J805),OR(J805&lt;50,J805&gt;20000000))),"Введите целое число от 50 до 20000000",IF(NOT(ABS(IFERROR(VALUE(LEFT(M805,FIND("-",M805)-1)),M805)*100-(5000+2000000000)/2)&lt;=ABS(5000-2000000000)/2),"Цена со скидкой должна быть от 50 до 20000000",IF(IFERROR(VALUE(LEFT(M805,FIND("-",M805)-1)),M805)*229&lt;71100,"Вы уменьшили цену в несколько раз, товар попадет в карантин цен","")))),"")</f>
      </c>
    </row>
    <row r="806">
      <c r="A806" s="2" t="inlineStr">
        <is>
          <t>CuteShop</t>
        </is>
      </c>
      <c r="B806" s="2" t="inlineStr">
        <is>
          <t>Держатели для пустышек</t>
        </is>
      </c>
      <c r="C806" s="2">
        <v>110868689</v>
      </c>
      <c r="D806" s="2" t="inlineStr">
        <is>
          <t>SonyaMish</t>
        </is>
      </c>
      <c r="E806" s="2" t="inlineStr">
        <is>
          <t>2037164645622</t>
        </is>
      </c>
      <c r="F806" s="2">
        <v>0</v>
      </c>
      <c r="G806" s="2">
        <v>1</v>
      </c>
      <c r="H806" s="2">
        <v>0</v>
      </c>
      <c r="I806" s="2" t="inlineStr">
        <is>
          <t>1030</t>
        </is>
      </c>
      <c r="J806" s="4"/>
      <c r="K806" s="2">
        <v>10</v>
      </c>
      <c r="L806" s="6"/>
      <c r="M806" s="2" t="str">
        <f>IF(J806="",ROUND(I806*(1-IF(ISBLANK(L806),K806,L806)/100),2),ROUND(J806*(1-IF(ISBLANK(L806),K806,L806)/100),2))</f>
      </c>
      <c r="N806" s="7" t="str">
        <f>IF(NOT(AND(J806="",L806="")),IF(OR(AND(L806&lt;&gt;"",NOT(ISNUMBER(L806))),IFERROR(MOD(L806,1),1)&gt;0,AND(ISNUMBER(L806),OR(L806&lt;0,L806&gt;95))),"Введите целое число от 0 до 95",IF(OR(AND(J806&lt;&gt;"",NOT(ISNUMBER(J806))),IFERROR(MOD(J806,1),1)&gt;0,AND(ISNUMBER(J806),OR(J806&lt;50,J806&gt;20000000))),"Введите целое число от 50 до 20000000",IF(NOT(ABS(IFERROR(VALUE(LEFT(M806,FIND("-",M806)-1)),M806)*100-(5000+2000000000)/2)&lt;=ABS(5000-2000000000)/2),"Цена со скидкой должна быть от 50 до 20000000",IF(IFERROR(VALUE(LEFT(M806,FIND("-",M806)-1)),M806)*229&lt;92700,"Вы уменьшили цену в несколько раз, товар попадет в карантин цен","")))),"")</f>
      </c>
    </row>
    <row r="807">
      <c r="A807" s="2" t="inlineStr">
        <is>
          <t>CuteShop</t>
        </is>
      </c>
      <c r="B807" s="2" t="inlineStr">
        <is>
          <t>Держатели для пустышек</t>
        </is>
      </c>
      <c r="C807" s="2">
        <v>132220671</v>
      </c>
      <c r="D807" s="2" t="inlineStr">
        <is>
          <t>MariyaKot</t>
        </is>
      </c>
      <c r="E807" s="2" t="inlineStr">
        <is>
          <t>2037042557962</t>
        </is>
      </c>
      <c r="F807" s="2">
        <v>0</v>
      </c>
      <c r="G807" s="2">
        <v>0</v>
      </c>
      <c r="H807" s="2">
        <v>1</v>
      </c>
      <c r="I807" s="2" t="inlineStr">
        <is>
          <t>1030</t>
        </is>
      </c>
      <c r="J807" s="4"/>
      <c r="K807" s="2">
        <v>10</v>
      </c>
      <c r="L807" s="6"/>
      <c r="M807" s="2" t="str">
        <f>IF(J807="",ROUND(I807*(1-IF(ISBLANK(L807),K807,L807)/100),2),ROUND(J807*(1-IF(ISBLANK(L807),K807,L807)/100),2))</f>
      </c>
      <c r="N807" s="7" t="str">
        <f>IF(NOT(AND(J807="",L807="")),IF(OR(AND(L807&lt;&gt;"",NOT(ISNUMBER(L807))),IFERROR(MOD(L807,1),1)&gt;0,AND(ISNUMBER(L807),OR(L807&lt;0,L807&gt;95))),"Введите целое число от 0 до 95",IF(OR(AND(J807&lt;&gt;"",NOT(ISNUMBER(J807))),IFERROR(MOD(J807,1),1)&gt;0,AND(ISNUMBER(J807),OR(J807&lt;50,J807&gt;20000000))),"Введите целое число от 50 до 20000000",IF(NOT(ABS(IFERROR(VALUE(LEFT(M807,FIND("-",M807)-1)),M807)*100-(5000+2000000000)/2)&lt;=ABS(5000-2000000000)/2),"Цена со скидкой должна быть от 50 до 20000000",IF(IFERROR(VALUE(LEFT(M807,FIND("-",M807)-1)),M807)*229&lt;92700,"Вы уменьшили цену в несколько раз, товар попадет в карантин цен","")))),"")</f>
      </c>
    </row>
    <row r="808">
      <c r="A808" s="2" t="inlineStr">
        <is>
          <t>CuteShop</t>
        </is>
      </c>
      <c r="B808" s="2" t="inlineStr">
        <is>
          <t>Держатели для пустышек</t>
        </is>
      </c>
      <c r="C808" s="2">
        <v>110884107</v>
      </c>
      <c r="D808" s="2" t="inlineStr">
        <is>
          <t>Sofiya1Lama</t>
        </is>
      </c>
      <c r="E808" s="2" t="inlineStr">
        <is>
          <t>2037218135628</t>
        </is>
      </c>
      <c r="F808" s="2">
        <v>0</v>
      </c>
      <c r="G808" s="2">
        <v>0</v>
      </c>
      <c r="H808" s="2" t="inlineStr">
        <is>
          <t/>
        </is>
      </c>
      <c r="I808" s="2" t="inlineStr">
        <is>
          <t>1030</t>
        </is>
      </c>
      <c r="J808" s="4"/>
      <c r="K808" s="2">
        <v>10</v>
      </c>
      <c r="L808" s="6"/>
      <c r="M808" s="2" t="str">
        <f>IF(J808="",ROUND(I808*(1-IF(ISBLANK(L808),K808,L808)/100),2),ROUND(J808*(1-IF(ISBLANK(L808),K808,L808)/100),2))</f>
      </c>
      <c r="N808" s="7" t="str">
        <f>IF(NOT(AND(J808="",L808="")),IF(OR(AND(L808&lt;&gt;"",NOT(ISNUMBER(L808))),IFERROR(MOD(L808,1),1)&gt;0,AND(ISNUMBER(L808),OR(L808&lt;0,L808&gt;95))),"Введите целое число от 0 до 95",IF(OR(AND(J808&lt;&gt;"",NOT(ISNUMBER(J808))),IFERROR(MOD(J808,1),1)&gt;0,AND(ISNUMBER(J808),OR(J808&lt;50,J808&gt;20000000))),"Введите целое число от 50 до 20000000",IF(NOT(ABS(IFERROR(VALUE(LEFT(M808,FIND("-",M808)-1)),M808)*100-(5000+2000000000)/2)&lt;=ABS(5000-2000000000)/2),"Цена со скидкой должна быть от 50 до 20000000",IF(IFERROR(VALUE(LEFT(M808,FIND("-",M808)-1)),M808)*229&lt;92700,"Вы уменьшили цену в несколько раз, товар попадет в карантин цен","")))),"")</f>
      </c>
    </row>
    <row r="809">
      <c r="A809" s="2" t="inlineStr">
        <is>
          <t>CuteShop</t>
        </is>
      </c>
      <c r="B809" s="2" t="inlineStr">
        <is>
          <t>Держатели для пустышек</t>
        </is>
      </c>
      <c r="C809" s="2">
        <v>111034482</v>
      </c>
      <c r="D809" s="2" t="inlineStr">
        <is>
          <t>AlekseyBG</t>
        </is>
      </c>
      <c r="E809" s="2" t="inlineStr">
        <is>
          <t>2037469822629</t>
        </is>
      </c>
      <c r="F809" s="2">
        <v>0</v>
      </c>
      <c r="G809" s="2">
        <v>1</v>
      </c>
      <c r="H809" s="2">
        <v>0</v>
      </c>
      <c r="I809" s="2" t="inlineStr">
        <is>
          <t>790</t>
        </is>
      </c>
      <c r="J809" s="4"/>
      <c r="K809" s="2">
        <v>10</v>
      </c>
      <c r="L809" s="6"/>
      <c r="M809" s="2" t="str">
        <f>IF(J809="",ROUND(I809*(1-IF(ISBLANK(L809),K809,L809)/100),2),ROUND(J809*(1-IF(ISBLANK(L809),K809,L809)/100),2))</f>
      </c>
      <c r="N809" s="7" t="str">
        <f>IF(NOT(AND(J809="",L809="")),IF(OR(AND(L809&lt;&gt;"",NOT(ISNUMBER(L809))),IFERROR(MOD(L809,1),1)&gt;0,AND(ISNUMBER(L809),OR(L809&lt;0,L809&gt;95))),"Введите целое число от 0 до 95",IF(OR(AND(J809&lt;&gt;"",NOT(ISNUMBER(J809))),IFERROR(MOD(J809,1),1)&gt;0,AND(ISNUMBER(J809),OR(J809&lt;50,J809&gt;20000000))),"Введите целое число от 50 до 20000000",IF(NOT(ABS(IFERROR(VALUE(LEFT(M809,FIND("-",M809)-1)),M809)*100-(5000+2000000000)/2)&lt;=ABS(5000-2000000000)/2),"Цена со скидкой должна быть от 50 до 20000000",IF(IFERROR(VALUE(LEFT(M809,FIND("-",M809)-1)),M809)*229&lt;71100,"Вы уменьшили цену в несколько раз, товар попадет в карантин цен","")))),"")</f>
      </c>
    </row>
    <row r="810">
      <c r="A810" s="2" t="inlineStr">
        <is>
          <t>CuteShop</t>
        </is>
      </c>
      <c r="B810" s="2" t="inlineStr">
        <is>
          <t>Держатели для пустышек</t>
        </is>
      </c>
      <c r="C810" s="2">
        <v>112940594</v>
      </c>
      <c r="D810" s="2" t="inlineStr">
        <is>
          <t>PolinaKoala</t>
        </is>
      </c>
      <c r="E810" s="2" t="inlineStr">
        <is>
          <t>2038995260626</t>
        </is>
      </c>
      <c r="F810" s="2">
        <v>0</v>
      </c>
      <c r="G810" s="2">
        <v>1</v>
      </c>
      <c r="H810" s="2">
        <v>0</v>
      </c>
      <c r="I810" s="2" t="inlineStr">
        <is>
          <t>1030</t>
        </is>
      </c>
      <c r="J810" s="4"/>
      <c r="K810" s="2">
        <v>10</v>
      </c>
      <c r="L810" s="6"/>
      <c r="M810" s="2" t="str">
        <f>IF(J810="",ROUND(I810*(1-IF(ISBLANK(L810),K810,L810)/100),2),ROUND(J810*(1-IF(ISBLANK(L810),K810,L810)/100),2))</f>
      </c>
      <c r="N810" s="7" t="str">
        <f>IF(NOT(AND(J810="",L810="")),IF(OR(AND(L810&lt;&gt;"",NOT(ISNUMBER(L810))),IFERROR(MOD(L810,1),1)&gt;0,AND(ISNUMBER(L810),OR(L810&lt;0,L810&gt;95))),"Введите целое число от 0 до 95",IF(OR(AND(J810&lt;&gt;"",NOT(ISNUMBER(J810))),IFERROR(MOD(J810,1),1)&gt;0,AND(ISNUMBER(J810),OR(J810&lt;50,J810&gt;20000000))),"Введите целое число от 50 до 20000000",IF(NOT(ABS(IFERROR(VALUE(LEFT(M810,FIND("-",M810)-1)),M810)*100-(5000+2000000000)/2)&lt;=ABS(5000-2000000000)/2),"Цена со скидкой должна быть от 50 до 20000000",IF(IFERROR(VALUE(LEFT(M810,FIND("-",M810)-1)),M810)*229&lt;92700,"Вы уменьшили цену в несколько раз, товар попадет в карантин цен","")))),"")</f>
      </c>
    </row>
    <row r="811">
      <c r="A811" s="2" t="inlineStr">
        <is>
          <t>CuteShop</t>
        </is>
      </c>
      <c r="B811" s="2" t="inlineStr">
        <is>
          <t>Держатели для пустышек</t>
        </is>
      </c>
      <c r="C811" s="2">
        <v>88835041</v>
      </c>
      <c r="D811" s="2" t="inlineStr">
        <is>
          <t>MiraZay</t>
        </is>
      </c>
      <c r="E811" s="2" t="inlineStr">
        <is>
          <t>2035429212626</t>
        </is>
      </c>
      <c r="F811" s="2">
        <v>0</v>
      </c>
      <c r="G811" s="2">
        <v>1</v>
      </c>
      <c r="H811" s="2" t="inlineStr">
        <is>
          <t/>
        </is>
      </c>
      <c r="I811" s="2" t="inlineStr">
        <is>
          <t>1030</t>
        </is>
      </c>
      <c r="J811" s="4"/>
      <c r="K811" s="2">
        <v>10</v>
      </c>
      <c r="L811" s="6"/>
      <c r="M811" s="2" t="str">
        <f>IF(J811="",ROUND(I811*(1-IF(ISBLANK(L811),K811,L811)/100),2),ROUND(J811*(1-IF(ISBLANK(L811),K811,L811)/100),2))</f>
      </c>
      <c r="N811" s="7" t="str">
        <f>IF(NOT(AND(J811="",L811="")),IF(OR(AND(L811&lt;&gt;"",NOT(ISNUMBER(L811))),IFERROR(MOD(L811,1),1)&gt;0,AND(ISNUMBER(L811),OR(L811&lt;0,L811&gt;95))),"Введите целое число от 0 до 95",IF(OR(AND(J811&lt;&gt;"",NOT(ISNUMBER(J811))),IFERROR(MOD(J811,1),1)&gt;0,AND(ISNUMBER(J811),OR(J811&lt;50,J811&gt;20000000))),"Введите целое число от 50 до 20000000",IF(NOT(ABS(IFERROR(VALUE(LEFT(M811,FIND("-",M811)-1)),M811)*100-(5000+2000000000)/2)&lt;=ABS(5000-2000000000)/2),"Цена со скидкой должна быть от 50 до 20000000",IF(IFERROR(VALUE(LEFT(M811,FIND("-",M811)-1)),M811)*229&lt;92700,"Вы уменьшили цену в несколько раз, товар попадет в карантин цен","")))),"")</f>
      </c>
    </row>
    <row r="812">
      <c r="A812" s="2" t="inlineStr">
        <is>
          <t>CuteShop</t>
        </is>
      </c>
      <c r="B812" s="2" t="inlineStr">
        <is>
          <t>Держатели для пустышек</t>
        </is>
      </c>
      <c r="C812" s="2">
        <v>110533881</v>
      </c>
      <c r="D812" s="2" t="inlineStr">
        <is>
          <t>KiraBGYellow</t>
        </is>
      </c>
      <c r="E812" s="2" t="inlineStr">
        <is>
          <t>2036787563627</t>
        </is>
      </c>
      <c r="F812" s="2">
        <v>0</v>
      </c>
      <c r="G812" s="2">
        <v>0</v>
      </c>
      <c r="H812" s="2">
        <v>1</v>
      </c>
      <c r="I812" s="2" t="inlineStr">
        <is>
          <t>790</t>
        </is>
      </c>
      <c r="J812" s="4"/>
      <c r="K812" s="2">
        <v>10</v>
      </c>
      <c r="L812" s="6"/>
      <c r="M812" s="2" t="str">
        <f>IF(J812="",ROUND(I812*(1-IF(ISBLANK(L812),K812,L812)/100),2),ROUND(J812*(1-IF(ISBLANK(L812),K812,L812)/100),2))</f>
      </c>
      <c r="N812" s="7" t="str">
        <f>IF(NOT(AND(J812="",L812="")),IF(OR(AND(L812&lt;&gt;"",NOT(ISNUMBER(L812))),IFERROR(MOD(L812,1),1)&gt;0,AND(ISNUMBER(L812),OR(L812&lt;0,L812&gt;95))),"Введите целое число от 0 до 95",IF(OR(AND(J812&lt;&gt;"",NOT(ISNUMBER(J812))),IFERROR(MOD(J812,1),1)&gt;0,AND(ISNUMBER(J812),OR(J812&lt;50,J812&gt;20000000))),"Введите целое число от 50 до 20000000",IF(NOT(ABS(IFERROR(VALUE(LEFT(M812,FIND("-",M812)-1)),M812)*100-(5000+2000000000)/2)&lt;=ABS(5000-2000000000)/2),"Цена со скидкой должна быть от 50 до 20000000",IF(IFERROR(VALUE(LEFT(M812,FIND("-",M812)-1)),M812)*229&lt;71100,"Вы уменьшили цену в несколько раз, товар попадет в карантин цен","")))),"")</f>
      </c>
    </row>
    <row r="813">
      <c r="A813" s="2" t="inlineStr">
        <is>
          <t>CuteShop</t>
        </is>
      </c>
      <c r="B813" s="2" t="inlineStr">
        <is>
          <t>Держатели для пустышек</t>
        </is>
      </c>
      <c r="C813" s="2">
        <v>179851860</v>
      </c>
      <c r="D813" s="2" t="inlineStr">
        <is>
          <t>AmirSob</t>
        </is>
      </c>
      <c r="E813" s="2" t="inlineStr">
        <is>
          <t>2038716191376</t>
        </is>
      </c>
      <c r="F813" s="2">
        <v>0</v>
      </c>
      <c r="G813" s="2">
        <v>0</v>
      </c>
      <c r="H813" s="2" t="inlineStr">
        <is>
          <t/>
        </is>
      </c>
      <c r="I813" s="2" t="inlineStr">
        <is>
          <t>1030</t>
        </is>
      </c>
      <c r="J813" s="4"/>
      <c r="K813" s="2">
        <v>10</v>
      </c>
      <c r="L813" s="6"/>
      <c r="M813" s="2" t="str">
        <f>IF(J813="",ROUND(I813*(1-IF(ISBLANK(L813),K813,L813)/100),2),ROUND(J813*(1-IF(ISBLANK(L813),K813,L813)/100),2))</f>
      </c>
      <c r="N813" s="7" t="str">
        <f>IF(NOT(AND(J813="",L813="")),IF(OR(AND(L813&lt;&gt;"",NOT(ISNUMBER(L813))),IFERROR(MOD(L813,1),1)&gt;0,AND(ISNUMBER(L813),OR(L813&lt;0,L813&gt;95))),"Введите целое число от 0 до 95",IF(OR(AND(J813&lt;&gt;"",NOT(ISNUMBER(J813))),IFERROR(MOD(J813,1),1)&gt;0,AND(ISNUMBER(J813),OR(J813&lt;50,J813&gt;20000000))),"Введите целое число от 50 до 20000000",IF(NOT(ABS(IFERROR(VALUE(LEFT(M813,FIND("-",M813)-1)),M813)*100-(5000+2000000000)/2)&lt;=ABS(5000-2000000000)/2),"Цена со скидкой должна быть от 50 до 20000000",IF(IFERROR(VALUE(LEFT(M813,FIND("-",M813)-1)),M813)*229&lt;92700,"Вы уменьшили цену в несколько раз, товар попадет в карантин цен","")))),"")</f>
      </c>
    </row>
    <row r="814">
      <c r="A814" s="2" t="inlineStr">
        <is>
          <t>CuteShop</t>
        </is>
      </c>
      <c r="B814" s="2" t="inlineStr">
        <is>
          <t>Держатели для пустышек</t>
        </is>
      </c>
      <c r="C814" s="2">
        <v>88845697</v>
      </c>
      <c r="D814" s="2" t="inlineStr">
        <is>
          <t>AmaliyaBG</t>
        </is>
      </c>
      <c r="E814" s="2" t="inlineStr">
        <is>
          <t>2035437443623</t>
        </is>
      </c>
      <c r="F814" s="2">
        <v>0</v>
      </c>
      <c r="G814" s="2">
        <v>1</v>
      </c>
      <c r="H814" s="2">
        <v>0</v>
      </c>
      <c r="I814" s="2" t="inlineStr">
        <is>
          <t>790</t>
        </is>
      </c>
      <c r="J814" s="4"/>
      <c r="K814" s="2">
        <v>10</v>
      </c>
      <c r="L814" s="6"/>
      <c r="M814" s="2" t="str">
        <f>IF(J814="",ROUND(I814*(1-IF(ISBLANK(L814),K814,L814)/100),2),ROUND(J814*(1-IF(ISBLANK(L814),K814,L814)/100),2))</f>
      </c>
      <c r="N814" s="7" t="str">
        <f>IF(NOT(AND(J814="",L814="")),IF(OR(AND(L814&lt;&gt;"",NOT(ISNUMBER(L814))),IFERROR(MOD(L814,1),1)&gt;0,AND(ISNUMBER(L814),OR(L814&lt;0,L814&gt;95))),"Введите целое число от 0 до 95",IF(OR(AND(J814&lt;&gt;"",NOT(ISNUMBER(J814))),IFERROR(MOD(J814,1),1)&gt;0,AND(ISNUMBER(J814),OR(J814&lt;50,J814&gt;20000000))),"Введите целое число от 50 до 20000000",IF(NOT(ABS(IFERROR(VALUE(LEFT(M814,FIND("-",M814)-1)),M814)*100-(5000+2000000000)/2)&lt;=ABS(5000-2000000000)/2),"Цена со скидкой должна быть от 50 до 20000000",IF(IFERROR(VALUE(LEFT(M814,FIND("-",M814)-1)),M814)*229&lt;71100,"Вы уменьшили цену в несколько раз, товар попадет в карантин цен","")))),"")</f>
      </c>
    </row>
    <row r="815">
      <c r="A815" s="2" t="inlineStr">
        <is>
          <t>CuteShop</t>
        </is>
      </c>
      <c r="B815" s="2" t="inlineStr">
        <is>
          <t>Держатели для пустышек</t>
        </is>
      </c>
      <c r="C815" s="2">
        <v>201099267</v>
      </c>
      <c r="D815" s="2" t="inlineStr">
        <is>
          <t>Derzh-Dev3</t>
        </is>
      </c>
      <c r="E815" s="2" t="inlineStr">
        <is>
          <t>2039326254512</t>
        </is>
      </c>
      <c r="F815" s="2">
        <v>0</v>
      </c>
      <c r="G815" s="2">
        <v>0</v>
      </c>
      <c r="H815" s="2">
        <v>1</v>
      </c>
      <c r="I815" s="2" t="inlineStr">
        <is>
          <t>550</t>
        </is>
      </c>
      <c r="J815" s="4"/>
      <c r="K815" s="2">
        <v>5</v>
      </c>
      <c r="L815" s="6"/>
      <c r="M815" s="2" t="str">
        <f>IF(J815="",ROUND(I815*(1-IF(ISBLANK(L815),K815,L815)/100),2),ROUND(J815*(1-IF(ISBLANK(L815),K815,L815)/100),2))</f>
      </c>
      <c r="N815" s="7" t="str">
        <f>IF(NOT(AND(J815="",L815="")),IF(OR(AND(L815&lt;&gt;"",NOT(ISNUMBER(L815))),IFERROR(MOD(L815,1),1)&gt;0,AND(ISNUMBER(L815),OR(L815&lt;0,L815&gt;95))),"Введите целое число от 0 до 95",IF(OR(AND(J815&lt;&gt;"",NOT(ISNUMBER(J815))),IFERROR(MOD(J815,1),1)&gt;0,AND(ISNUMBER(J815),OR(J815&lt;50,J815&gt;20000000))),"Введите целое число от 50 до 20000000",IF(NOT(ABS(IFERROR(VALUE(LEFT(M815,FIND("-",M815)-1)),M815)*100-(5000+2000000000)/2)&lt;=ABS(5000-2000000000)/2),"Цена со скидкой должна быть от 50 до 20000000",IF(IFERROR(VALUE(LEFT(M815,FIND("-",M815)-1)),M815)*229&lt;52250,"Вы уменьшили цену в несколько раз, товар попадет в карантин цен","")))),"")</f>
      </c>
    </row>
    <row r="816">
      <c r="A816" s="2" t="inlineStr">
        <is>
          <t>CuteShop</t>
        </is>
      </c>
      <c r="B816" s="2" t="inlineStr">
        <is>
          <t>Держатели для пустышек</t>
        </is>
      </c>
      <c r="C816" s="2">
        <v>132235568</v>
      </c>
      <c r="D816" s="2" t="inlineStr">
        <is>
          <t>SashaDevBel</t>
        </is>
      </c>
      <c r="E816" s="2" t="inlineStr">
        <is>
          <t>2037042720069</t>
        </is>
      </c>
      <c r="F816" s="2">
        <v>0</v>
      </c>
      <c r="G816" s="2">
        <v>1</v>
      </c>
      <c r="H816" s="2" t="inlineStr">
        <is>
          <t/>
        </is>
      </c>
      <c r="I816" s="2" t="inlineStr">
        <is>
          <t>1030</t>
        </is>
      </c>
      <c r="J816" s="4"/>
      <c r="K816" s="2">
        <v>10</v>
      </c>
      <c r="L816" s="6"/>
      <c r="M816" s="2" t="str">
        <f>IF(J816="",ROUND(I816*(1-IF(ISBLANK(L816),K816,L816)/100),2),ROUND(J816*(1-IF(ISBLANK(L816),K816,L816)/100),2))</f>
      </c>
      <c r="N816" s="7" t="str">
        <f>IF(NOT(AND(J816="",L816="")),IF(OR(AND(L816&lt;&gt;"",NOT(ISNUMBER(L816))),IFERROR(MOD(L816,1),1)&gt;0,AND(ISNUMBER(L816),OR(L816&lt;0,L816&gt;95))),"Введите целое число от 0 до 95",IF(OR(AND(J816&lt;&gt;"",NOT(ISNUMBER(J816))),IFERROR(MOD(J816,1),1)&gt;0,AND(ISNUMBER(J816),OR(J816&lt;50,J816&gt;20000000))),"Введите целое число от 50 до 20000000",IF(NOT(ABS(IFERROR(VALUE(LEFT(M816,FIND("-",M816)-1)),M816)*100-(5000+2000000000)/2)&lt;=ABS(5000-2000000000)/2),"Цена со скидкой должна быть от 50 до 20000000",IF(IFERROR(VALUE(LEFT(M816,FIND("-",M816)-1)),M816)*229&lt;92700,"Вы уменьшили цену в несколько раз, товар попадет в карантин цен","")))),"")</f>
      </c>
    </row>
    <row r="817">
      <c r="A817" s="2" t="inlineStr">
        <is>
          <t>CuteShop</t>
        </is>
      </c>
      <c r="B817" s="2" t="inlineStr">
        <is>
          <t>Держатели для пустышек</t>
        </is>
      </c>
      <c r="C817" s="2">
        <v>145492934</v>
      </c>
      <c r="D817" s="2" t="inlineStr">
        <is>
          <t>OliviyaEdin</t>
        </is>
      </c>
      <c r="E817" s="2" t="inlineStr">
        <is>
          <t>2037441669518</t>
        </is>
      </c>
      <c r="F817" s="2">
        <v>0</v>
      </c>
      <c r="G817" s="2">
        <v>0</v>
      </c>
      <c r="H817" s="2">
        <v>15</v>
      </c>
      <c r="I817" s="2" t="inlineStr">
        <is>
          <t>1030</t>
        </is>
      </c>
      <c r="J817" s="4"/>
      <c r="K817" s="2">
        <v>10</v>
      </c>
      <c r="L817" s="6"/>
      <c r="M817" s="2" t="str">
        <f>IF(J817="",ROUND(I817*(1-IF(ISBLANK(L817),K817,L817)/100),2),ROUND(J817*(1-IF(ISBLANK(L817),K817,L817)/100),2))</f>
      </c>
      <c r="N817" s="7" t="str">
        <f>IF(NOT(AND(J817="",L817="")),IF(OR(AND(L817&lt;&gt;"",NOT(ISNUMBER(L817))),IFERROR(MOD(L817,1),1)&gt;0,AND(ISNUMBER(L817),OR(L817&lt;0,L817&gt;95))),"Введите целое число от 0 до 95",IF(OR(AND(J817&lt;&gt;"",NOT(ISNUMBER(J817))),IFERROR(MOD(J817,1),1)&gt;0,AND(ISNUMBER(J817),OR(J817&lt;50,J817&gt;20000000))),"Введите целое число от 50 до 20000000",IF(NOT(ABS(IFERROR(VALUE(LEFT(M817,FIND("-",M817)-1)),M817)*100-(5000+2000000000)/2)&lt;=ABS(5000-2000000000)/2),"Цена со скидкой должна быть от 50 до 20000000",IF(IFERROR(VALUE(LEFT(M817,FIND("-",M817)-1)),M817)*229&lt;92700,"Вы уменьшили цену в несколько раз, товар попадет в карантин цен","")))),"")</f>
      </c>
    </row>
    <row r="818">
      <c r="A818" s="2" t="inlineStr">
        <is>
          <t>CuteShop</t>
        </is>
      </c>
      <c r="B818" s="2" t="inlineStr">
        <is>
          <t>Держатели для пустышек</t>
        </is>
      </c>
      <c r="C818" s="2">
        <v>145491901</v>
      </c>
      <c r="D818" s="2" t="inlineStr">
        <is>
          <t>OliviyaBG3</t>
        </is>
      </c>
      <c r="E818" s="2" t="inlineStr">
        <is>
          <t>2037441641163</t>
        </is>
      </c>
      <c r="F818" s="2">
        <v>0</v>
      </c>
      <c r="G818" s="2">
        <v>1</v>
      </c>
      <c r="H818" s="2" t="inlineStr">
        <is>
          <t/>
        </is>
      </c>
      <c r="I818" s="2" t="inlineStr">
        <is>
          <t>790</t>
        </is>
      </c>
      <c r="J818" s="4"/>
      <c r="K818" s="2">
        <v>10</v>
      </c>
      <c r="L818" s="6"/>
      <c r="M818" s="2" t="str">
        <f>IF(J818="",ROUND(I818*(1-IF(ISBLANK(L818),K818,L818)/100),2),ROUND(J818*(1-IF(ISBLANK(L818),K818,L818)/100),2))</f>
      </c>
      <c r="N818" s="7" t="str">
        <f>IF(NOT(AND(J818="",L818="")),IF(OR(AND(L818&lt;&gt;"",NOT(ISNUMBER(L818))),IFERROR(MOD(L818,1),1)&gt;0,AND(ISNUMBER(L818),OR(L818&lt;0,L818&gt;95))),"Введите целое число от 0 до 95",IF(OR(AND(J818&lt;&gt;"",NOT(ISNUMBER(J818))),IFERROR(MOD(J818,1),1)&gt;0,AND(ISNUMBER(J818),OR(J818&lt;50,J818&gt;20000000))),"Введите целое число от 50 до 20000000",IF(NOT(ABS(IFERROR(VALUE(LEFT(M818,FIND("-",M818)-1)),M818)*100-(5000+2000000000)/2)&lt;=ABS(5000-2000000000)/2),"Цена со скидкой должна быть от 50 до 20000000",IF(IFERROR(VALUE(LEFT(M818,FIND("-",M818)-1)),M818)*229&lt;71100,"Вы уменьшили цену в несколько раз, товар попадет в карантин цен","")))),"")</f>
      </c>
    </row>
    <row r="819">
      <c r="A819" s="2" t="inlineStr">
        <is>
          <t>CuteShop</t>
        </is>
      </c>
      <c r="B819" s="2" t="inlineStr">
        <is>
          <t>Держатели для пустышек</t>
        </is>
      </c>
      <c r="C819" s="2">
        <v>217977344</v>
      </c>
      <c r="D819" s="2" t="inlineStr">
        <is>
          <t>MayaBel</t>
        </is>
      </c>
      <c r="E819" s="2" t="inlineStr">
        <is>
          <t>2039673976785</t>
        </is>
      </c>
      <c r="F819" s="2">
        <v>0</v>
      </c>
      <c r="G819" s="2">
        <v>0</v>
      </c>
      <c r="H819" s="2" t="inlineStr">
        <is>
          <t/>
        </is>
      </c>
      <c r="I819" s="2" t="inlineStr">
        <is>
          <t>1030</t>
        </is>
      </c>
      <c r="J819" s="4"/>
      <c r="K819" s="2">
        <v>10</v>
      </c>
      <c r="L819" s="6"/>
      <c r="M819" s="2" t="str">
        <f>IF(J819="",ROUND(I819*(1-IF(ISBLANK(L819),K819,L819)/100),2),ROUND(J819*(1-IF(ISBLANK(L819),K819,L819)/100),2))</f>
      </c>
      <c r="N819" s="7" t="str">
        <f>IF(NOT(AND(J819="",L819="")),IF(OR(AND(L819&lt;&gt;"",NOT(ISNUMBER(L819))),IFERROR(MOD(L819,1),1)&gt;0,AND(ISNUMBER(L819),OR(L819&lt;0,L819&gt;95))),"Введите целое число от 0 до 95",IF(OR(AND(J819&lt;&gt;"",NOT(ISNUMBER(J819))),IFERROR(MOD(J819,1),1)&gt;0,AND(ISNUMBER(J819),OR(J819&lt;50,J819&gt;20000000))),"Введите целое число от 50 до 20000000",IF(NOT(ABS(IFERROR(VALUE(LEFT(M819,FIND("-",M819)-1)),M819)*100-(5000+2000000000)/2)&lt;=ABS(5000-2000000000)/2),"Цена со скидкой должна быть от 50 до 20000000",IF(IFERROR(VALUE(LEFT(M819,FIND("-",M819)-1)),M819)*229&lt;92700,"Вы уменьшили цену в несколько раз, товар попадет в карантин цен","")))),"")</f>
      </c>
    </row>
    <row r="820">
      <c r="A820" s="2" t="inlineStr">
        <is>
          <t>CuteShop</t>
        </is>
      </c>
      <c r="B820" s="2" t="inlineStr">
        <is>
          <t>Держатели для пустышек</t>
        </is>
      </c>
      <c r="C820" s="2">
        <v>145491898</v>
      </c>
      <c r="D820" s="2" t="inlineStr">
        <is>
          <t>OliviyaBG1</t>
        </is>
      </c>
      <c r="E820" s="2" t="inlineStr">
        <is>
          <t>2037441638354</t>
        </is>
      </c>
      <c r="F820" s="2">
        <v>0</v>
      </c>
      <c r="G820" s="2">
        <v>1</v>
      </c>
      <c r="H820" s="2">
        <v>0</v>
      </c>
      <c r="I820" s="2" t="inlineStr">
        <is>
          <t>790</t>
        </is>
      </c>
      <c r="J820" s="4"/>
      <c r="K820" s="2">
        <v>10</v>
      </c>
      <c r="L820" s="6"/>
      <c r="M820" s="2" t="str">
        <f>IF(J820="",ROUND(I820*(1-IF(ISBLANK(L820),K820,L820)/100),2),ROUND(J820*(1-IF(ISBLANK(L820),K820,L820)/100),2))</f>
      </c>
      <c r="N820" s="7" t="str">
        <f>IF(NOT(AND(J820="",L820="")),IF(OR(AND(L820&lt;&gt;"",NOT(ISNUMBER(L820))),IFERROR(MOD(L820,1),1)&gt;0,AND(ISNUMBER(L820),OR(L820&lt;0,L820&gt;95))),"Введите целое число от 0 до 95",IF(OR(AND(J820&lt;&gt;"",NOT(ISNUMBER(J820))),IFERROR(MOD(J820,1),1)&gt;0,AND(ISNUMBER(J820),OR(J820&lt;50,J820&gt;20000000))),"Введите целое число от 50 до 20000000",IF(NOT(ABS(IFERROR(VALUE(LEFT(M820,FIND("-",M820)-1)),M820)*100-(5000+2000000000)/2)&lt;=ABS(5000-2000000000)/2),"Цена со скидкой должна быть от 50 до 20000000",IF(IFERROR(VALUE(LEFT(M820,FIND("-",M820)-1)),M820)*229&lt;71100,"Вы уменьшили цену в несколько раз, товар попадет в карантин цен","")))),"")</f>
      </c>
    </row>
    <row r="821">
      <c r="A821" s="2" t="inlineStr">
        <is>
          <t>CuteShop</t>
        </is>
      </c>
      <c r="B821" s="2" t="inlineStr">
        <is>
          <t>Держатели для пустышек</t>
        </is>
      </c>
      <c r="C821" s="2">
        <v>253490363</v>
      </c>
      <c r="D821" s="2" t="inlineStr">
        <is>
          <t>NikitaMash</t>
        </is>
      </c>
      <c r="E821" s="2" t="inlineStr">
        <is>
          <t>2040954321248</t>
        </is>
      </c>
      <c r="F821" s="2">
        <v>0</v>
      </c>
      <c r="G821" s="2">
        <v>1</v>
      </c>
      <c r="H821" s="2" t="inlineStr">
        <is>
          <t/>
        </is>
      </c>
      <c r="I821" s="2" t="inlineStr">
        <is>
          <t>1030</t>
        </is>
      </c>
      <c r="J821" s="4"/>
      <c r="K821" s="2">
        <v>10</v>
      </c>
      <c r="L821" s="6"/>
      <c r="M821" s="2" t="str">
        <f>IF(J821="",ROUND(I821*(1-IF(ISBLANK(L821),K821,L821)/100),2),ROUND(J821*(1-IF(ISBLANK(L821),K821,L821)/100),2))</f>
      </c>
      <c r="N821" s="7" t="str">
        <f>IF(NOT(AND(J821="",L821="")),IF(OR(AND(L821&lt;&gt;"",NOT(ISNUMBER(L821))),IFERROR(MOD(L821,1),1)&gt;0,AND(ISNUMBER(L821),OR(L821&lt;0,L821&gt;95))),"Введите целое число от 0 до 95",IF(OR(AND(J821&lt;&gt;"",NOT(ISNUMBER(J821))),IFERROR(MOD(J821,1),1)&gt;0,AND(ISNUMBER(J821),OR(J821&lt;50,J821&gt;20000000))),"Введите целое число от 50 до 20000000",IF(NOT(ABS(IFERROR(VALUE(LEFT(M821,FIND("-",M821)-1)),M821)*100-(5000+2000000000)/2)&lt;=ABS(5000-2000000000)/2),"Цена со скидкой должна быть от 50 до 20000000",IF(IFERROR(VALUE(LEFT(M821,FIND("-",M821)-1)),M821)*229&lt;92700,"Вы уменьшили цену в несколько раз, товар попадет в карантин цен","")))),"")</f>
      </c>
    </row>
    <row r="822">
      <c r="A822" s="2" t="inlineStr">
        <is>
          <t>CuteShop</t>
        </is>
      </c>
      <c r="B822" s="2" t="inlineStr">
        <is>
          <t>Держатели для пустышек</t>
        </is>
      </c>
      <c r="C822" s="2">
        <v>111946406</v>
      </c>
      <c r="D822" s="2" t="inlineStr">
        <is>
          <t>LianaBel</t>
        </is>
      </c>
      <c r="E822" s="2" t="inlineStr">
        <is>
          <t>2038491183627</t>
        </is>
      </c>
      <c r="F822" s="2">
        <v>0</v>
      </c>
      <c r="G822" s="2">
        <v>1</v>
      </c>
      <c r="H822" s="2">
        <v>0</v>
      </c>
      <c r="I822" s="2" t="inlineStr">
        <is>
          <t>1030</t>
        </is>
      </c>
      <c r="J822" s="4"/>
      <c r="K822" s="2">
        <v>10</v>
      </c>
      <c r="L822" s="6"/>
      <c r="M822" s="2" t="str">
        <f>IF(J822="",ROUND(I822*(1-IF(ISBLANK(L822),K822,L822)/100),2),ROUND(J822*(1-IF(ISBLANK(L822),K822,L822)/100),2))</f>
      </c>
      <c r="N822" s="7" t="str">
        <f>IF(NOT(AND(J822="",L822="")),IF(OR(AND(L822&lt;&gt;"",NOT(ISNUMBER(L822))),IFERROR(MOD(L822,1),1)&gt;0,AND(ISNUMBER(L822),OR(L822&lt;0,L822&gt;95))),"Введите целое число от 0 до 95",IF(OR(AND(J822&lt;&gt;"",NOT(ISNUMBER(J822))),IFERROR(MOD(J822,1),1)&gt;0,AND(ISNUMBER(J822),OR(J822&lt;50,J822&gt;20000000))),"Введите целое число от 50 до 20000000",IF(NOT(ABS(IFERROR(VALUE(LEFT(M822,FIND("-",M822)-1)),M822)*100-(5000+2000000000)/2)&lt;=ABS(5000-2000000000)/2),"Цена со скидкой должна быть от 50 до 20000000",IF(IFERROR(VALUE(LEFT(M822,FIND("-",M822)-1)),M822)*229&lt;92700,"Вы уменьшили цену в несколько раз, товар попадет в карантин цен","")))),"")</f>
      </c>
    </row>
    <row r="823">
      <c r="A823" s="2" t="inlineStr">
        <is>
          <t>CuteShop</t>
        </is>
      </c>
      <c r="B823" s="2" t="inlineStr">
        <is>
          <t>Держатели для пустышек</t>
        </is>
      </c>
      <c r="C823" s="2">
        <v>172165876</v>
      </c>
      <c r="D823" s="2" t="inlineStr">
        <is>
          <t>ArianaZay</t>
        </is>
      </c>
      <c r="E823" s="2" t="inlineStr">
        <is>
          <t>2038301584132</t>
        </is>
      </c>
      <c r="F823" s="2">
        <v>0</v>
      </c>
      <c r="G823" s="2">
        <v>0</v>
      </c>
      <c r="H823" s="2">
        <v>0</v>
      </c>
      <c r="I823" s="2" t="inlineStr">
        <is>
          <t>1030</t>
        </is>
      </c>
      <c r="J823" s="4"/>
      <c r="K823" s="2">
        <v>10</v>
      </c>
      <c r="L823" s="6"/>
      <c r="M823" s="2" t="str">
        <f>IF(J823="",ROUND(I823*(1-IF(ISBLANK(L823),K823,L823)/100),2),ROUND(J823*(1-IF(ISBLANK(L823),K823,L823)/100),2))</f>
      </c>
      <c r="N823" s="7" t="str">
        <f>IF(NOT(AND(J823="",L823="")),IF(OR(AND(L823&lt;&gt;"",NOT(ISNUMBER(L823))),IFERROR(MOD(L823,1),1)&gt;0,AND(ISNUMBER(L823),OR(L823&lt;0,L823&gt;95))),"Введите целое число от 0 до 95",IF(OR(AND(J823&lt;&gt;"",NOT(ISNUMBER(J823))),IFERROR(MOD(J823,1),1)&gt;0,AND(ISNUMBER(J823),OR(J823&lt;50,J823&gt;20000000))),"Введите целое число от 50 до 20000000",IF(NOT(ABS(IFERROR(VALUE(LEFT(M823,FIND("-",M823)-1)),M823)*100-(5000+2000000000)/2)&lt;=ABS(5000-2000000000)/2),"Цена со скидкой должна быть от 50 до 20000000",IF(IFERROR(VALUE(LEFT(M823,FIND("-",M823)-1)),M823)*229&lt;92700,"Вы уменьшили цену в несколько раз, товар попадет в карантин цен","")))),"")</f>
      </c>
    </row>
    <row r="824">
      <c r="A824" s="2" t="inlineStr">
        <is>
          <t>CuteShop</t>
        </is>
      </c>
      <c r="B824" s="2" t="inlineStr">
        <is>
          <t>Держатели для пустышек</t>
        </is>
      </c>
      <c r="C824" s="2">
        <v>172171998</v>
      </c>
      <c r="D824" s="2" t="inlineStr">
        <is>
          <t>AglayaEdin</t>
        </is>
      </c>
      <c r="E824" s="2" t="inlineStr">
        <is>
          <t>2038301851593</t>
        </is>
      </c>
      <c r="F824" s="2">
        <v>0</v>
      </c>
      <c r="G824" s="2">
        <v>0</v>
      </c>
      <c r="H824" s="2">
        <v>0</v>
      </c>
      <c r="I824" s="2" t="inlineStr">
        <is>
          <t>1030</t>
        </is>
      </c>
      <c r="J824" s="4"/>
      <c r="K824" s="2">
        <v>10</v>
      </c>
      <c r="L824" s="6"/>
      <c r="M824" s="2" t="str">
        <f>IF(J824="",ROUND(I824*(1-IF(ISBLANK(L824),K824,L824)/100),2),ROUND(J824*(1-IF(ISBLANK(L824),K824,L824)/100),2))</f>
      </c>
      <c r="N824" s="7" t="str">
        <f>IF(NOT(AND(J824="",L824="")),IF(OR(AND(L824&lt;&gt;"",NOT(ISNUMBER(L824))),IFERROR(MOD(L824,1),1)&gt;0,AND(ISNUMBER(L824),OR(L824&lt;0,L824&gt;95))),"Введите целое число от 0 до 95",IF(OR(AND(J824&lt;&gt;"",NOT(ISNUMBER(J824))),IFERROR(MOD(J824,1),1)&gt;0,AND(ISNUMBER(J824),OR(J824&lt;50,J824&gt;20000000))),"Введите целое число от 50 до 20000000",IF(NOT(ABS(IFERROR(VALUE(LEFT(M824,FIND("-",M824)-1)),M824)*100-(5000+2000000000)/2)&lt;=ABS(5000-2000000000)/2),"Цена со скидкой должна быть от 50 до 20000000",IF(IFERROR(VALUE(LEFT(M824,FIND("-",M824)-1)),M824)*229&lt;92700,"Вы уменьшили цену в несколько раз, товар попадет в карантин цен","")))),"")</f>
      </c>
    </row>
    <row r="825">
      <c r="A825" s="2" t="inlineStr">
        <is>
          <t>CuteShop</t>
        </is>
      </c>
      <c r="B825" s="2" t="inlineStr">
        <is>
          <t>Держатели для пустышек</t>
        </is>
      </c>
      <c r="C825" s="2">
        <v>145530100</v>
      </c>
      <c r="D825" s="2" t="inlineStr">
        <is>
          <t>AlinaSob2</t>
        </is>
      </c>
      <c r="E825" s="2" t="inlineStr">
        <is>
          <t>2037442533511</t>
        </is>
      </c>
      <c r="F825" s="2">
        <v>0</v>
      </c>
      <c r="G825" s="2">
        <v>0</v>
      </c>
      <c r="H825" s="2" t="inlineStr">
        <is>
          <t/>
        </is>
      </c>
      <c r="I825" s="2" t="inlineStr">
        <is>
          <t>1030</t>
        </is>
      </c>
      <c r="J825" s="4"/>
      <c r="K825" s="2">
        <v>10</v>
      </c>
      <c r="L825" s="6"/>
      <c r="M825" s="2" t="str">
        <f>IF(J825="",ROUND(I825*(1-IF(ISBLANK(L825),K825,L825)/100),2),ROUND(J825*(1-IF(ISBLANK(L825),K825,L825)/100),2))</f>
      </c>
      <c r="N825" s="7" t="str">
        <f>IF(NOT(AND(J825="",L825="")),IF(OR(AND(L825&lt;&gt;"",NOT(ISNUMBER(L825))),IFERROR(MOD(L825,1),1)&gt;0,AND(ISNUMBER(L825),OR(L825&lt;0,L825&gt;95))),"Введите целое число от 0 до 95",IF(OR(AND(J825&lt;&gt;"",NOT(ISNUMBER(J825))),IFERROR(MOD(J825,1),1)&gt;0,AND(ISNUMBER(J825),OR(J825&lt;50,J825&gt;20000000))),"Введите целое число от 50 до 20000000",IF(NOT(ABS(IFERROR(VALUE(LEFT(M825,FIND("-",M825)-1)),M825)*100-(5000+2000000000)/2)&lt;=ABS(5000-2000000000)/2),"Цена со скидкой должна быть от 50 до 20000000",IF(IFERROR(VALUE(LEFT(M825,FIND("-",M825)-1)),M825)*229&lt;92700,"Вы уменьшили цену в несколько раз, товар попадет в карантин цен","")))),"")</f>
      </c>
    </row>
    <row r="826">
      <c r="A826" s="2" t="inlineStr">
        <is>
          <t>CuteShop</t>
        </is>
      </c>
      <c r="B826" s="2" t="inlineStr">
        <is>
          <t>Держатели для пустышек</t>
        </is>
      </c>
      <c r="C826" s="2">
        <v>254607367</v>
      </c>
      <c r="D826" s="2" t="inlineStr">
        <is>
          <t>Derzh-Dev7</t>
        </is>
      </c>
      <c r="E826" s="2" t="inlineStr">
        <is>
          <t>2040985083658</t>
        </is>
      </c>
      <c r="F826" s="2">
        <v>0</v>
      </c>
      <c r="G826" s="2">
        <v>1</v>
      </c>
      <c r="H826" s="2" t="inlineStr">
        <is>
          <t/>
        </is>
      </c>
      <c r="I826" s="2" t="inlineStr">
        <is>
          <t>760</t>
        </is>
      </c>
      <c r="J826" s="4"/>
      <c r="K826" s="2">
        <v>5</v>
      </c>
      <c r="L826" s="6"/>
      <c r="M826" s="2" t="str">
        <f>IF(J826="",ROUND(I826*(1-IF(ISBLANK(L826),K826,L826)/100),2),ROUND(J826*(1-IF(ISBLANK(L826),K826,L826)/100),2))</f>
      </c>
      <c r="N826" s="7" t="str">
        <f>IF(NOT(AND(J826="",L826="")),IF(OR(AND(L826&lt;&gt;"",NOT(ISNUMBER(L826))),IFERROR(MOD(L826,1),1)&gt;0,AND(ISNUMBER(L826),OR(L826&lt;0,L826&gt;95))),"Введите целое число от 0 до 95",IF(OR(AND(J826&lt;&gt;"",NOT(ISNUMBER(J826))),IFERROR(MOD(J826,1),1)&gt;0,AND(ISNUMBER(J826),OR(J826&lt;50,J826&gt;20000000))),"Введите целое число от 50 до 20000000",IF(NOT(ABS(IFERROR(VALUE(LEFT(M826,FIND("-",M826)-1)),M826)*100-(5000+2000000000)/2)&lt;=ABS(5000-2000000000)/2),"Цена со скидкой должна быть от 50 до 20000000",IF(IFERROR(VALUE(LEFT(M826,FIND("-",M826)-1)),M826)*229&lt;72200,"Вы уменьшили цену в несколько раз, товар попадет в карантин цен","")))),"")</f>
      </c>
    </row>
    <row r="827">
      <c r="A827" s="2" t="inlineStr">
        <is>
          <t>CuteShop</t>
        </is>
      </c>
      <c r="B827" s="2" t="inlineStr">
        <is>
          <t>Держатели для пустышек</t>
        </is>
      </c>
      <c r="C827" s="2">
        <v>145529615</v>
      </c>
      <c r="D827" s="2" t="inlineStr">
        <is>
          <t>AlinaMish</t>
        </is>
      </c>
      <c r="E827" s="2" t="inlineStr">
        <is>
          <t>2037442525219</t>
        </is>
      </c>
      <c r="F827" s="2">
        <v>0</v>
      </c>
      <c r="G827" s="2">
        <v>1</v>
      </c>
      <c r="H827" s="2">
        <v>0</v>
      </c>
      <c r="I827" s="2" t="inlineStr">
        <is>
          <t>1030</t>
        </is>
      </c>
      <c r="J827" s="4"/>
      <c r="K827" s="2">
        <v>10</v>
      </c>
      <c r="L827" s="6"/>
      <c r="M827" s="2" t="str">
        <f>IF(J827="",ROUND(I827*(1-IF(ISBLANK(L827),K827,L827)/100),2),ROUND(J827*(1-IF(ISBLANK(L827),K827,L827)/100),2))</f>
      </c>
      <c r="N827" s="7" t="str">
        <f>IF(NOT(AND(J827="",L827="")),IF(OR(AND(L827&lt;&gt;"",NOT(ISNUMBER(L827))),IFERROR(MOD(L827,1),1)&gt;0,AND(ISNUMBER(L827),OR(L827&lt;0,L827&gt;95))),"Введите целое число от 0 до 95",IF(OR(AND(J827&lt;&gt;"",NOT(ISNUMBER(J827))),IFERROR(MOD(J827,1),1)&gt;0,AND(ISNUMBER(J827),OR(J827&lt;50,J827&gt;20000000))),"Введите целое число от 50 до 20000000",IF(NOT(ABS(IFERROR(VALUE(LEFT(M827,FIND("-",M827)-1)),M827)*100-(5000+2000000000)/2)&lt;=ABS(5000-2000000000)/2),"Цена со скидкой должна быть от 50 до 20000000",IF(IFERROR(VALUE(LEFT(M827,FIND("-",M827)-1)),M827)*229&lt;92700,"Вы уменьшили цену в несколько раз, товар попадет в карантин цен","")))),"")</f>
      </c>
    </row>
    <row r="828">
      <c r="A828" s="2" t="inlineStr">
        <is>
          <t>CuteShop</t>
        </is>
      </c>
      <c r="B828" s="2" t="inlineStr">
        <is>
          <t>Держатели для пустышек</t>
        </is>
      </c>
      <c r="C828" s="2">
        <v>145530003</v>
      </c>
      <c r="D828" s="2" t="inlineStr">
        <is>
          <t>AlinaLev</t>
        </is>
      </c>
      <c r="E828" s="2" t="inlineStr">
        <is>
          <t>2037442532361</t>
        </is>
      </c>
      <c r="F828" s="2">
        <v>0</v>
      </c>
      <c r="G828" s="2">
        <v>1</v>
      </c>
      <c r="H828" s="2" t="inlineStr">
        <is>
          <t/>
        </is>
      </c>
      <c r="I828" s="2" t="inlineStr">
        <is>
          <t>1030</t>
        </is>
      </c>
      <c r="J828" s="4"/>
      <c r="K828" s="2">
        <v>10</v>
      </c>
      <c r="L828" s="6"/>
      <c r="M828" s="2" t="str">
        <f>IF(J828="",ROUND(I828*(1-IF(ISBLANK(L828),K828,L828)/100),2),ROUND(J828*(1-IF(ISBLANK(L828),K828,L828)/100),2))</f>
      </c>
      <c r="N828" s="7" t="str">
        <f>IF(NOT(AND(J828="",L828="")),IF(OR(AND(L828&lt;&gt;"",NOT(ISNUMBER(L828))),IFERROR(MOD(L828,1),1)&gt;0,AND(ISNUMBER(L828),OR(L828&lt;0,L828&gt;95))),"Введите целое число от 0 до 95",IF(OR(AND(J828&lt;&gt;"",NOT(ISNUMBER(J828))),IFERROR(MOD(J828,1),1)&gt;0,AND(ISNUMBER(J828),OR(J828&lt;50,J828&gt;20000000))),"Введите целое число от 50 до 20000000",IF(NOT(ABS(IFERROR(VALUE(LEFT(M828,FIND("-",M828)-1)),M828)*100-(5000+2000000000)/2)&lt;=ABS(5000-2000000000)/2),"Цена со скидкой должна быть от 50 до 20000000",IF(IFERROR(VALUE(LEFT(M828,FIND("-",M828)-1)),M828)*229&lt;92700,"Вы уменьшили цену в несколько раз, товар попадет в карантин цен","")))),"")</f>
      </c>
    </row>
    <row r="829">
      <c r="A829" s="2" t="inlineStr">
        <is>
          <t>CuteShop</t>
        </is>
      </c>
      <c r="B829" s="2" t="inlineStr">
        <is>
          <t>Держатели для пустышек</t>
        </is>
      </c>
      <c r="C829" s="2">
        <v>217870052</v>
      </c>
      <c r="D829" s="2" t="inlineStr">
        <is>
          <t>EvgSlon</t>
        </is>
      </c>
      <c r="E829" s="2" t="inlineStr">
        <is>
          <t>2039672076332</t>
        </is>
      </c>
      <c r="F829" s="2">
        <v>0</v>
      </c>
      <c r="G829" s="2">
        <v>0</v>
      </c>
      <c r="H829" s="2" t="inlineStr">
        <is>
          <t/>
        </is>
      </c>
      <c r="I829" s="2" t="inlineStr">
        <is>
          <t>1030</t>
        </is>
      </c>
      <c r="J829" s="4"/>
      <c r="K829" s="2">
        <v>10</v>
      </c>
      <c r="L829" s="6"/>
      <c r="M829" s="2" t="str">
        <f>IF(J829="",ROUND(I829*(1-IF(ISBLANK(L829),K829,L829)/100),2),ROUND(J829*(1-IF(ISBLANK(L829),K829,L829)/100),2))</f>
      </c>
      <c r="N829" s="7" t="str">
        <f>IF(NOT(AND(J829="",L829="")),IF(OR(AND(L829&lt;&gt;"",NOT(ISNUMBER(L829))),IFERROR(MOD(L829,1),1)&gt;0,AND(ISNUMBER(L829),OR(L829&lt;0,L829&gt;95))),"Введите целое число от 0 до 95",IF(OR(AND(J829&lt;&gt;"",NOT(ISNUMBER(J829))),IFERROR(MOD(J829,1),1)&gt;0,AND(ISNUMBER(J829),OR(J829&lt;50,J829&gt;20000000))),"Введите целое число от 50 до 20000000",IF(NOT(ABS(IFERROR(VALUE(LEFT(M829,FIND("-",M829)-1)),M829)*100-(5000+2000000000)/2)&lt;=ABS(5000-2000000000)/2),"Цена со скидкой должна быть от 50 до 20000000",IF(IFERROR(VALUE(LEFT(M829,FIND("-",M829)-1)),M829)*229&lt;92700,"Вы уменьшили цену в несколько раз, товар попадет в карантин цен","")))),"")</f>
      </c>
    </row>
    <row r="830">
      <c r="A830" s="2" t="inlineStr">
        <is>
          <t>CuteShop</t>
        </is>
      </c>
      <c r="B830" s="2" t="inlineStr">
        <is>
          <t>Держатели для пустышек</t>
        </is>
      </c>
      <c r="C830" s="2">
        <v>100699145</v>
      </c>
      <c r="D830" s="2" t="inlineStr">
        <is>
          <t>NazarMishSer2</t>
        </is>
      </c>
      <c r="E830" s="2" t="inlineStr">
        <is>
          <t>2036814613677</t>
        </is>
      </c>
      <c r="F830" s="2">
        <v>0</v>
      </c>
      <c r="G830" s="2">
        <v>0</v>
      </c>
      <c r="H830" s="2" t="inlineStr">
        <is>
          <t/>
        </is>
      </c>
      <c r="I830" s="2" t="inlineStr">
        <is>
          <t>1030</t>
        </is>
      </c>
      <c r="J830" s="4"/>
      <c r="K830" s="2">
        <v>10</v>
      </c>
      <c r="L830" s="6"/>
      <c r="M830" s="2" t="str">
        <f>IF(J830="",ROUND(I830*(1-IF(ISBLANK(L830),K830,L830)/100),2),ROUND(J830*(1-IF(ISBLANK(L830),K830,L830)/100),2))</f>
      </c>
      <c r="N830" s="7" t="str">
        <f>IF(NOT(AND(J830="",L830="")),IF(OR(AND(L830&lt;&gt;"",NOT(ISNUMBER(L830))),IFERROR(MOD(L830,1),1)&gt;0,AND(ISNUMBER(L830),OR(L830&lt;0,L830&gt;95))),"Введите целое число от 0 до 95",IF(OR(AND(J830&lt;&gt;"",NOT(ISNUMBER(J830))),IFERROR(MOD(J830,1),1)&gt;0,AND(ISNUMBER(J830),OR(J830&lt;50,J830&gt;20000000))),"Введите целое число от 50 до 20000000",IF(NOT(ABS(IFERROR(VALUE(LEFT(M830,FIND("-",M830)-1)),M830)*100-(5000+2000000000)/2)&lt;=ABS(5000-2000000000)/2),"Цена со скидкой должна быть от 50 до 20000000",IF(IFERROR(VALUE(LEFT(M830,FIND("-",M830)-1)),M830)*229&lt;92700,"Вы уменьшили цену в несколько раз, товар попадет в карантин цен","")))),"")</f>
      </c>
    </row>
    <row r="831">
      <c r="A831" s="2" t="inlineStr">
        <is>
          <t>CuteShop</t>
        </is>
      </c>
      <c r="B831" s="2" t="inlineStr">
        <is>
          <t>Держатели для пустышек</t>
        </is>
      </c>
      <c r="C831" s="2">
        <v>116850833</v>
      </c>
      <c r="D831" s="2" t="inlineStr">
        <is>
          <t>DerzhProstLevZhelt</t>
        </is>
      </c>
      <c r="E831" s="2" t="inlineStr">
        <is>
          <t>2041865781626</t>
        </is>
      </c>
      <c r="F831" s="2">
        <v>0</v>
      </c>
      <c r="G831" s="2">
        <v>1</v>
      </c>
      <c r="H831" s="2" t="inlineStr">
        <is>
          <t/>
        </is>
      </c>
      <c r="I831" s="2" t="inlineStr">
        <is>
          <t>643</t>
        </is>
      </c>
      <c r="J831" s="4"/>
      <c r="K831" s="2">
        <v>10</v>
      </c>
      <c r="L831" s="6"/>
      <c r="M831" s="2" t="str">
        <f>IF(J831="",ROUND(I831*(1-IF(ISBLANK(L831),K831,L831)/100),2),ROUND(J831*(1-IF(ISBLANK(L831),K831,L831)/100),2))</f>
      </c>
      <c r="N831" s="7" t="str">
        <f>IF(NOT(AND(J831="",L831="")),IF(OR(AND(L831&lt;&gt;"",NOT(ISNUMBER(L831))),IFERROR(MOD(L831,1),1)&gt;0,AND(ISNUMBER(L831),OR(L831&lt;0,L831&gt;95))),"Введите целое число от 0 до 95",IF(OR(AND(J831&lt;&gt;"",NOT(ISNUMBER(J831))),IFERROR(MOD(J831,1),1)&gt;0,AND(ISNUMBER(J831),OR(J831&lt;50,J831&gt;20000000))),"Введите целое число от 50 до 20000000",IF(NOT(ABS(IFERROR(VALUE(LEFT(M831,FIND("-",M831)-1)),M831)*100-(5000+2000000000)/2)&lt;=ABS(5000-2000000000)/2),"Цена со скидкой должна быть от 50 до 20000000",IF(IFERROR(VALUE(LEFT(M831,FIND("-",M831)-1)),M831)*229&lt;57870,"Вы уменьшили цену в несколько раз, товар попадет в карантин цен","")))),"")</f>
      </c>
    </row>
    <row r="832">
      <c r="A832" s="2" t="inlineStr">
        <is>
          <t>CuteShop</t>
        </is>
      </c>
      <c r="B832" s="2" t="inlineStr">
        <is>
          <t>Держатели для пустышек</t>
        </is>
      </c>
      <c r="C832" s="2">
        <v>230345615</v>
      </c>
      <c r="D832" s="2" t="inlineStr">
        <is>
          <t>MariyaMashenkaBG</t>
        </is>
      </c>
      <c r="E832" s="2" t="inlineStr">
        <is>
          <t>2039967584726</t>
        </is>
      </c>
      <c r="F832" s="2">
        <v>0</v>
      </c>
      <c r="G832" s="2">
        <v>1</v>
      </c>
      <c r="H832" s="2" t="inlineStr">
        <is>
          <t/>
        </is>
      </c>
      <c r="I832" s="2" t="inlineStr">
        <is>
          <t>790</t>
        </is>
      </c>
      <c r="J832" s="4"/>
      <c r="K832" s="2">
        <v>10</v>
      </c>
      <c r="L832" s="6"/>
      <c r="M832" s="2" t="str">
        <f>IF(J832="",ROUND(I832*(1-IF(ISBLANK(L832),K832,L832)/100),2),ROUND(J832*(1-IF(ISBLANK(L832),K832,L832)/100),2))</f>
      </c>
      <c r="N832" s="7" t="str">
        <f>IF(NOT(AND(J832="",L832="")),IF(OR(AND(L832&lt;&gt;"",NOT(ISNUMBER(L832))),IFERROR(MOD(L832,1),1)&gt;0,AND(ISNUMBER(L832),OR(L832&lt;0,L832&gt;95))),"Введите целое число от 0 до 95",IF(OR(AND(J832&lt;&gt;"",NOT(ISNUMBER(J832))),IFERROR(MOD(J832,1),1)&gt;0,AND(ISNUMBER(J832),OR(J832&lt;50,J832&gt;20000000))),"Введите целое число от 50 до 20000000",IF(NOT(ABS(IFERROR(VALUE(LEFT(M832,FIND("-",M832)-1)),M832)*100-(5000+2000000000)/2)&lt;=ABS(5000-2000000000)/2),"Цена со скидкой должна быть от 50 до 20000000",IF(IFERROR(VALUE(LEFT(M832,FIND("-",M832)-1)),M832)*229&lt;71100,"Вы уменьшили цену в несколько раз, товар попадет в карантин цен","")))),"")</f>
      </c>
    </row>
    <row r="833">
      <c r="A833" s="2" t="inlineStr">
        <is>
          <t>CuteShop</t>
        </is>
      </c>
      <c r="B833" s="2" t="inlineStr">
        <is>
          <t>Держатели для пустышек</t>
        </is>
      </c>
      <c r="C833" s="2">
        <v>172171996</v>
      </c>
      <c r="D833" s="2" t="inlineStr">
        <is>
          <t>AglayaKoala</t>
        </is>
      </c>
      <c r="E833" s="2" t="inlineStr">
        <is>
          <t>2038301845974</t>
        </is>
      </c>
      <c r="F833" s="2">
        <v>0</v>
      </c>
      <c r="G833" s="2">
        <v>1</v>
      </c>
      <c r="H833" s="2" t="inlineStr">
        <is>
          <t/>
        </is>
      </c>
      <c r="I833" s="2" t="inlineStr">
        <is>
          <t>1030</t>
        </is>
      </c>
      <c r="J833" s="4"/>
      <c r="K833" s="2">
        <v>10</v>
      </c>
      <c r="L833" s="6"/>
      <c r="M833" s="2" t="str">
        <f>IF(J833="",ROUND(I833*(1-IF(ISBLANK(L833),K833,L833)/100),2),ROUND(J833*(1-IF(ISBLANK(L833),K833,L833)/100),2))</f>
      </c>
      <c r="N833" s="7" t="str">
        <f>IF(NOT(AND(J833="",L833="")),IF(OR(AND(L833&lt;&gt;"",NOT(ISNUMBER(L833))),IFERROR(MOD(L833,1),1)&gt;0,AND(ISNUMBER(L833),OR(L833&lt;0,L833&gt;95))),"Введите целое число от 0 до 95",IF(OR(AND(J833&lt;&gt;"",NOT(ISNUMBER(J833))),IFERROR(MOD(J833,1),1)&gt;0,AND(ISNUMBER(J833),OR(J833&lt;50,J833&gt;20000000))),"Введите целое число от 50 до 20000000",IF(NOT(ABS(IFERROR(VALUE(LEFT(M833,FIND("-",M833)-1)),M833)*100-(5000+2000000000)/2)&lt;=ABS(5000-2000000000)/2),"Цена со скидкой должна быть от 50 до 20000000",IF(IFERROR(VALUE(LEFT(M833,FIND("-",M833)-1)),M833)*229&lt;92700,"Вы уменьшили цену в несколько раз, товар попадет в карантин цен","")))),"")</f>
      </c>
    </row>
    <row r="834">
      <c r="A834" s="2" t="inlineStr">
        <is>
          <t>CuteShop</t>
        </is>
      </c>
      <c r="B834" s="2" t="inlineStr">
        <is>
          <t>Держатели для пустышек</t>
        </is>
      </c>
      <c r="C834" s="2">
        <v>314694559</v>
      </c>
      <c r="D834" s="2" t="inlineStr">
        <is>
          <t>DenisBel</t>
        </is>
      </c>
      <c r="E834" s="2" t="inlineStr">
        <is>
          <t>2042539513932</t>
        </is>
      </c>
      <c r="F834" s="2">
        <v>0</v>
      </c>
      <c r="G834" s="2">
        <v>1</v>
      </c>
      <c r="H834" s="2" t="inlineStr">
        <is>
          <t/>
        </is>
      </c>
      <c r="I834" s="2" t="inlineStr">
        <is>
          <t>1030</t>
        </is>
      </c>
      <c r="J834" s="4"/>
      <c r="K834" s="2">
        <v>10</v>
      </c>
      <c r="L834" s="6"/>
      <c r="M834" s="2" t="str">
        <f>IF(J834="",ROUND(I834*(1-IF(ISBLANK(L834),K834,L834)/100),2),ROUND(J834*(1-IF(ISBLANK(L834),K834,L834)/100),2))</f>
      </c>
      <c r="N834" s="7" t="str">
        <f>IF(NOT(AND(J834="",L834="")),IF(OR(AND(L834&lt;&gt;"",NOT(ISNUMBER(L834))),IFERROR(MOD(L834,1),1)&gt;0,AND(ISNUMBER(L834),OR(L834&lt;0,L834&gt;95))),"Введите целое число от 0 до 95",IF(OR(AND(J834&lt;&gt;"",NOT(ISNUMBER(J834))),IFERROR(MOD(J834,1),1)&gt;0,AND(ISNUMBER(J834),OR(J834&lt;50,J834&gt;20000000))),"Введите целое число от 50 до 20000000",IF(NOT(ABS(IFERROR(VALUE(LEFT(M834,FIND("-",M834)-1)),M834)*100-(5000+2000000000)/2)&lt;=ABS(5000-2000000000)/2),"Цена со скидкой должна быть от 50 до 20000000",IF(IFERROR(VALUE(LEFT(M834,FIND("-",M834)-1)),M834)*229&lt;92700,"Вы уменьшили цену в несколько раз, товар попадет в карантин цен","")))),"")</f>
      </c>
    </row>
    <row r="835">
      <c r="A835" s="2" t="inlineStr">
        <is>
          <t>CuteShop</t>
        </is>
      </c>
      <c r="B835" s="2" t="inlineStr">
        <is>
          <t>Держатели для пустышек</t>
        </is>
      </c>
      <c r="C835" s="2">
        <v>173344231</v>
      </c>
      <c r="D835" s="2" t="inlineStr">
        <is>
          <t>AdelinaZhiraf</t>
        </is>
      </c>
      <c r="E835" s="2" t="inlineStr">
        <is>
          <t>2038381414343</t>
        </is>
      </c>
      <c r="F835" s="2">
        <v>0</v>
      </c>
      <c r="G835" s="2">
        <v>0</v>
      </c>
      <c r="H835" s="2" t="inlineStr">
        <is>
          <t/>
        </is>
      </c>
      <c r="I835" s="2" t="inlineStr">
        <is>
          <t>1020</t>
        </is>
      </c>
      <c r="J835" s="4"/>
      <c r="K835" s="2">
        <v>10</v>
      </c>
      <c r="L835" s="6"/>
      <c r="M835" s="2" t="str">
        <f>IF(J835="",ROUND(I835*(1-IF(ISBLANK(L835),K835,L835)/100),2),ROUND(J835*(1-IF(ISBLANK(L835),K835,L835)/100),2))</f>
      </c>
      <c r="N835" s="7" t="str">
        <f>IF(NOT(AND(J835="",L835="")),IF(OR(AND(L835&lt;&gt;"",NOT(ISNUMBER(L835))),IFERROR(MOD(L835,1),1)&gt;0,AND(ISNUMBER(L835),OR(L835&lt;0,L835&gt;95))),"Введите целое число от 0 до 95",IF(OR(AND(J835&lt;&gt;"",NOT(ISNUMBER(J835))),IFERROR(MOD(J835,1),1)&gt;0,AND(ISNUMBER(J835),OR(J835&lt;50,J835&gt;20000000))),"Введите целое число от 50 до 20000000",IF(NOT(ABS(IFERROR(VALUE(LEFT(M835,FIND("-",M835)-1)),M835)*100-(5000+2000000000)/2)&lt;=ABS(5000-2000000000)/2),"Цена со скидкой должна быть от 50 до 20000000",IF(IFERROR(VALUE(LEFT(M835,FIND("-",M835)-1)),M835)*229&lt;91800,"Вы уменьшили цену в несколько раз, товар попадет в карантин цен","")))),"")</f>
      </c>
    </row>
    <row r="836">
      <c r="A836" s="2" t="inlineStr">
        <is>
          <t>CuteShop</t>
        </is>
      </c>
      <c r="B836" s="2" t="inlineStr">
        <is>
          <t>Держатели для пустышек</t>
        </is>
      </c>
      <c r="C836" s="2">
        <v>230345616</v>
      </c>
      <c r="D836" s="2" t="inlineStr">
        <is>
          <t>MariyaMashenkaLama</t>
        </is>
      </c>
      <c r="E836" s="2" t="inlineStr">
        <is>
          <t>2039967585020</t>
        </is>
      </c>
      <c r="F836" s="2">
        <v>0</v>
      </c>
      <c r="G836" s="2">
        <v>1</v>
      </c>
      <c r="H836" s="2" t="inlineStr">
        <is>
          <t/>
        </is>
      </c>
      <c r="I836" s="2" t="inlineStr">
        <is>
          <t>1030</t>
        </is>
      </c>
      <c r="J836" s="4"/>
      <c r="K836" s="2">
        <v>10</v>
      </c>
      <c r="L836" s="6"/>
      <c r="M836" s="2" t="str">
        <f>IF(J836="",ROUND(I836*(1-IF(ISBLANK(L836),K836,L836)/100),2),ROUND(J836*(1-IF(ISBLANK(L836),K836,L836)/100),2))</f>
      </c>
      <c r="N836" s="7" t="str">
        <f>IF(NOT(AND(J836="",L836="")),IF(OR(AND(L836&lt;&gt;"",NOT(ISNUMBER(L836))),IFERROR(MOD(L836,1),1)&gt;0,AND(ISNUMBER(L836),OR(L836&lt;0,L836&gt;95))),"Введите целое число от 0 до 95",IF(OR(AND(J836&lt;&gt;"",NOT(ISNUMBER(J836))),IFERROR(MOD(J836,1),1)&gt;0,AND(ISNUMBER(J836),OR(J836&lt;50,J836&gt;20000000))),"Введите целое число от 50 до 20000000",IF(NOT(ABS(IFERROR(VALUE(LEFT(M836,FIND("-",M836)-1)),M836)*100-(5000+2000000000)/2)&lt;=ABS(5000-2000000000)/2),"Цена со скидкой должна быть от 50 до 20000000",IF(IFERROR(VALUE(LEFT(M836,FIND("-",M836)-1)),M836)*229&lt;92700,"Вы уменьшили цену в несколько раз, товар попадет в карантин цен","")))),"")</f>
      </c>
    </row>
    <row r="837">
      <c r="A837" s="2" t="inlineStr">
        <is>
          <t>CuteShop</t>
        </is>
      </c>
      <c r="B837" s="2" t="inlineStr">
        <is>
          <t>Держатели для пустышек</t>
        </is>
      </c>
      <c r="C837" s="2">
        <v>245136171</v>
      </c>
      <c r="D837" s="2" t="inlineStr">
        <is>
          <t>TemochkaSlon</t>
        </is>
      </c>
      <c r="E837" s="2" t="inlineStr">
        <is>
          <t>2040698819582</t>
        </is>
      </c>
      <c r="F837" s="2">
        <v>0</v>
      </c>
      <c r="G837" s="2">
        <v>1</v>
      </c>
      <c r="H837" s="2" t="inlineStr">
        <is>
          <t/>
        </is>
      </c>
      <c r="I837" s="2" t="inlineStr">
        <is>
          <t>980</t>
        </is>
      </c>
      <c r="J837" s="4"/>
      <c r="K837" s="2">
        <v>10</v>
      </c>
      <c r="L837" s="6"/>
      <c r="M837" s="2" t="str">
        <f>IF(J837="",ROUND(I837*(1-IF(ISBLANK(L837),K837,L837)/100),2),ROUND(J837*(1-IF(ISBLANK(L837),K837,L837)/100),2))</f>
      </c>
      <c r="N837" s="7" t="str">
        <f>IF(NOT(AND(J837="",L837="")),IF(OR(AND(L837&lt;&gt;"",NOT(ISNUMBER(L837))),IFERROR(MOD(L837,1),1)&gt;0,AND(ISNUMBER(L837),OR(L837&lt;0,L837&gt;95))),"Введите целое число от 0 до 95",IF(OR(AND(J837&lt;&gt;"",NOT(ISNUMBER(J837))),IFERROR(MOD(J837,1),1)&gt;0,AND(ISNUMBER(J837),OR(J837&lt;50,J837&gt;20000000))),"Введите целое число от 50 до 20000000",IF(NOT(ABS(IFERROR(VALUE(LEFT(M837,FIND("-",M837)-1)),M837)*100-(5000+2000000000)/2)&lt;=ABS(5000-2000000000)/2),"Цена со скидкой должна быть от 50 до 20000000",IF(IFERROR(VALUE(LEFT(M837,FIND("-",M837)-1)),M837)*229&lt;88200,"Вы уменьшили цену в несколько раз, товар попадет в карантин цен","")))),"")</f>
      </c>
    </row>
    <row r="838">
      <c r="A838" s="2" t="inlineStr">
        <is>
          <t>CuteShop</t>
        </is>
      </c>
      <c r="B838" s="2" t="inlineStr">
        <is>
          <t>Держатели для пустышек</t>
        </is>
      </c>
      <c r="C838" s="2">
        <v>145529943</v>
      </c>
      <c r="D838" s="2" t="inlineStr">
        <is>
          <t>AlinaBel</t>
        </is>
      </c>
      <c r="E838" s="2" t="inlineStr">
        <is>
          <t>2037442529330</t>
        </is>
      </c>
      <c r="F838" s="2">
        <v>0</v>
      </c>
      <c r="G838" s="2">
        <v>1</v>
      </c>
      <c r="H838" s="2" t="inlineStr">
        <is>
          <t/>
        </is>
      </c>
      <c r="I838" s="2" t="inlineStr">
        <is>
          <t>1030</t>
        </is>
      </c>
      <c r="J838" s="4"/>
      <c r="K838" s="2">
        <v>10</v>
      </c>
      <c r="L838" s="6"/>
      <c r="M838" s="2" t="str">
        <f>IF(J838="",ROUND(I838*(1-IF(ISBLANK(L838),K838,L838)/100),2),ROUND(J838*(1-IF(ISBLANK(L838),K838,L838)/100),2))</f>
      </c>
      <c r="N838" s="7" t="str">
        <f>IF(NOT(AND(J838="",L838="")),IF(OR(AND(L838&lt;&gt;"",NOT(ISNUMBER(L838))),IFERROR(MOD(L838,1),1)&gt;0,AND(ISNUMBER(L838),OR(L838&lt;0,L838&gt;95))),"Введите целое число от 0 до 95",IF(OR(AND(J838&lt;&gt;"",NOT(ISNUMBER(J838))),IFERROR(MOD(J838,1),1)&gt;0,AND(ISNUMBER(J838),OR(J838&lt;50,J838&gt;20000000))),"Введите целое число от 50 до 20000000",IF(NOT(ABS(IFERROR(VALUE(LEFT(M838,FIND("-",M838)-1)),M838)*100-(5000+2000000000)/2)&lt;=ABS(5000-2000000000)/2),"Цена со скидкой должна быть от 50 до 20000000",IF(IFERROR(VALUE(LEFT(M838,FIND("-",M838)-1)),M838)*229&lt;92700,"Вы уменьшили цену в несколько раз, товар попадет в карантин цен","")))),"")</f>
      </c>
    </row>
    <row r="839">
      <c r="A839" s="2" t="inlineStr">
        <is>
          <t>CuteShop</t>
        </is>
      </c>
      <c r="B839" s="2" t="inlineStr">
        <is>
          <t>Держатели для пустышек</t>
        </is>
      </c>
      <c r="C839" s="2">
        <v>201098316</v>
      </c>
      <c r="D839" s="2" t="inlineStr">
        <is>
          <t>Derzh-Dev1</t>
        </is>
      </c>
      <c r="E839" s="2" t="inlineStr">
        <is>
          <t>2039326239779</t>
        </is>
      </c>
      <c r="F839" s="2">
        <v>0</v>
      </c>
      <c r="G839" s="2">
        <v>2</v>
      </c>
      <c r="H839" s="2" t="inlineStr">
        <is>
          <t/>
        </is>
      </c>
      <c r="I839" s="2" t="inlineStr">
        <is>
          <t>515</t>
        </is>
      </c>
      <c r="J839" s="4"/>
      <c r="K839" s="2">
        <v>3</v>
      </c>
      <c r="L839" s="6"/>
      <c r="M839" s="2" t="str">
        <f>IF(J839="",ROUND(I839*(1-IF(ISBLANK(L839),K839,L839)/100),2),ROUND(J839*(1-IF(ISBLANK(L839),K839,L839)/100),2))</f>
      </c>
      <c r="N839" s="7" t="str">
        <f>IF(NOT(AND(J839="",L839="")),IF(OR(AND(L839&lt;&gt;"",NOT(ISNUMBER(L839))),IFERROR(MOD(L839,1),1)&gt;0,AND(ISNUMBER(L839),OR(L839&lt;0,L839&gt;95))),"Введите целое число от 0 до 95",IF(OR(AND(J839&lt;&gt;"",NOT(ISNUMBER(J839))),IFERROR(MOD(J839,1),1)&gt;0,AND(ISNUMBER(J839),OR(J839&lt;50,J839&gt;20000000))),"Введите целое число от 50 до 20000000",IF(NOT(ABS(IFERROR(VALUE(LEFT(M839,FIND("-",M839)-1)),M839)*100-(5000+2000000000)/2)&lt;=ABS(5000-2000000000)/2),"Цена со скидкой должна быть от 50 до 20000000",IF(IFERROR(VALUE(LEFT(M839,FIND("-",M839)-1)),M839)*229&lt;49955,"Вы уменьшили цену в несколько раз, товар попадет в карантин цен","")))),"")</f>
      </c>
    </row>
    <row r="840">
      <c r="A840" s="2" t="inlineStr">
        <is>
          <t>CuteShop</t>
        </is>
      </c>
      <c r="B840" s="2" t="inlineStr">
        <is>
          <t>Держатели для пустышек</t>
        </is>
      </c>
      <c r="C840" s="2">
        <v>272525922</v>
      </c>
      <c r="D840" s="2" t="inlineStr">
        <is>
          <t>PolechkaBG</t>
        </is>
      </c>
      <c r="E840" s="2" t="inlineStr">
        <is>
          <t>2041508064444</t>
        </is>
      </c>
      <c r="F840" s="2">
        <v>0</v>
      </c>
      <c r="G840" s="2">
        <v>1</v>
      </c>
      <c r="H840" s="2" t="inlineStr">
        <is>
          <t/>
        </is>
      </c>
      <c r="I840" s="2" t="inlineStr">
        <is>
          <t>830</t>
        </is>
      </c>
      <c r="J840" s="4"/>
      <c r="K840" s="2">
        <v>10</v>
      </c>
      <c r="L840" s="6"/>
      <c r="M840" s="2" t="str">
        <f>IF(J840="",ROUND(I840*(1-IF(ISBLANK(L840),K840,L840)/100),2),ROUND(J840*(1-IF(ISBLANK(L840),K840,L840)/100),2))</f>
      </c>
      <c r="N840" s="7" t="str">
        <f>IF(NOT(AND(J840="",L840="")),IF(OR(AND(L840&lt;&gt;"",NOT(ISNUMBER(L840))),IFERROR(MOD(L840,1),1)&gt;0,AND(ISNUMBER(L840),OR(L840&lt;0,L840&gt;95))),"Введите целое число от 0 до 95",IF(OR(AND(J840&lt;&gt;"",NOT(ISNUMBER(J840))),IFERROR(MOD(J840,1),1)&gt;0,AND(ISNUMBER(J840),OR(J840&lt;50,J840&gt;20000000))),"Введите целое число от 50 до 20000000",IF(NOT(ABS(IFERROR(VALUE(LEFT(M840,FIND("-",M840)-1)),M840)*100-(5000+2000000000)/2)&lt;=ABS(5000-2000000000)/2),"Цена со скидкой должна быть от 50 до 20000000",IF(IFERROR(VALUE(LEFT(M840,FIND("-",M840)-1)),M840)*229&lt;74700,"Вы уменьшили цену в несколько раз, товар попадет в карантин цен","")))),"")</f>
      </c>
    </row>
    <row r="841">
      <c r="A841" s="2" t="inlineStr">
        <is>
          <t>CuteShop</t>
        </is>
      </c>
      <c r="B841" s="2" t="inlineStr">
        <is>
          <t>Держатели для пустышек</t>
        </is>
      </c>
      <c r="C841" s="2">
        <v>179851868</v>
      </c>
      <c r="D841" s="2" t="inlineStr">
        <is>
          <t>AmirchikOlen</t>
        </is>
      </c>
      <c r="E841" s="2" t="inlineStr">
        <is>
          <t>2038716196104</t>
        </is>
      </c>
      <c r="F841" s="2">
        <v>0</v>
      </c>
      <c r="G841" s="2">
        <v>0</v>
      </c>
      <c r="H841" s="2" t="inlineStr">
        <is>
          <t/>
        </is>
      </c>
      <c r="I841" s="2" t="inlineStr">
        <is>
          <t>1030</t>
        </is>
      </c>
      <c r="J841" s="4"/>
      <c r="K841" s="2">
        <v>10</v>
      </c>
      <c r="L841" s="6"/>
      <c r="M841" s="2" t="str">
        <f>IF(J841="",ROUND(I841*(1-IF(ISBLANK(L841),K841,L841)/100),2),ROUND(J841*(1-IF(ISBLANK(L841),K841,L841)/100),2))</f>
      </c>
      <c r="N841" s="7" t="str">
        <f>IF(NOT(AND(J841="",L841="")),IF(OR(AND(L841&lt;&gt;"",NOT(ISNUMBER(L841))),IFERROR(MOD(L841,1),1)&gt;0,AND(ISNUMBER(L841),OR(L841&lt;0,L841&gt;95))),"Введите целое число от 0 до 95",IF(OR(AND(J841&lt;&gt;"",NOT(ISNUMBER(J841))),IFERROR(MOD(J841,1),1)&gt;0,AND(ISNUMBER(J841),OR(J841&lt;50,J841&gt;20000000))),"Введите целое число от 50 до 20000000",IF(NOT(ABS(IFERROR(VALUE(LEFT(M841,FIND("-",M841)-1)),M841)*100-(5000+2000000000)/2)&lt;=ABS(5000-2000000000)/2),"Цена со скидкой должна быть от 50 до 20000000",IF(IFERROR(VALUE(LEFT(M841,FIND("-",M841)-1)),M841)*229&lt;92700,"Вы уменьшили цену в несколько раз, товар попадет в карантин цен","")))),"")</f>
      </c>
    </row>
    <row r="842">
      <c r="A842" s="2" t="inlineStr">
        <is>
          <t>CuteShop</t>
        </is>
      </c>
      <c r="B842" s="2" t="inlineStr">
        <is>
          <t>Держатели для пустышек</t>
        </is>
      </c>
      <c r="C842" s="2">
        <v>145495828</v>
      </c>
      <c r="D842" s="2" t="inlineStr">
        <is>
          <t>OliviyaLev</t>
        </is>
      </c>
      <c r="E842" s="2" t="inlineStr">
        <is>
          <t>2037441695043</t>
        </is>
      </c>
      <c r="F842" s="2">
        <v>0</v>
      </c>
      <c r="G842" s="2">
        <v>1</v>
      </c>
      <c r="H842" s="2" t="inlineStr">
        <is>
          <t/>
        </is>
      </c>
      <c r="I842" s="2" t="inlineStr">
        <is>
          <t>1030</t>
        </is>
      </c>
      <c r="J842" s="4"/>
      <c r="K842" s="2">
        <v>10</v>
      </c>
      <c r="L842" s="6"/>
      <c r="M842" s="2" t="str">
        <f>IF(J842="",ROUND(I842*(1-IF(ISBLANK(L842),K842,L842)/100),2),ROUND(J842*(1-IF(ISBLANK(L842),K842,L842)/100),2))</f>
      </c>
      <c r="N842" s="7" t="str">
        <f>IF(NOT(AND(J842="",L842="")),IF(OR(AND(L842&lt;&gt;"",NOT(ISNUMBER(L842))),IFERROR(MOD(L842,1),1)&gt;0,AND(ISNUMBER(L842),OR(L842&lt;0,L842&gt;95))),"Введите целое число от 0 до 95",IF(OR(AND(J842&lt;&gt;"",NOT(ISNUMBER(J842))),IFERROR(MOD(J842,1),1)&gt;0,AND(ISNUMBER(J842),OR(J842&lt;50,J842&gt;20000000))),"Введите целое число от 50 до 20000000",IF(NOT(ABS(IFERROR(VALUE(LEFT(M842,FIND("-",M842)-1)),M842)*100-(5000+2000000000)/2)&lt;=ABS(5000-2000000000)/2),"Цена со скидкой должна быть от 50 до 20000000",IF(IFERROR(VALUE(LEFT(M842,FIND("-",M842)-1)),M842)*229&lt;92700,"Вы уменьшили цену в несколько раз, товар попадет в карантин цен","")))),"")</f>
      </c>
    </row>
    <row r="843">
      <c r="A843" s="2" t="inlineStr">
        <is>
          <t>CuteShop</t>
        </is>
      </c>
      <c r="B843" s="2" t="inlineStr">
        <is>
          <t>Держатели для пустышек</t>
        </is>
      </c>
      <c r="C843" s="2">
        <v>99966449</v>
      </c>
      <c r="D843" s="2" t="inlineStr">
        <is>
          <t>AgataEdin1</t>
        </is>
      </c>
      <c r="E843" s="2" t="inlineStr">
        <is>
          <t>2036806369995</t>
        </is>
      </c>
      <c r="F843" s="2">
        <v>0</v>
      </c>
      <c r="G843" s="2">
        <v>0</v>
      </c>
      <c r="H843" s="2">
        <v>0</v>
      </c>
      <c r="I843" s="2" t="inlineStr">
        <is>
          <t>1030</t>
        </is>
      </c>
      <c r="J843" s="4"/>
      <c r="K843" s="2">
        <v>10</v>
      </c>
      <c r="L843" s="6"/>
      <c r="M843" s="2" t="str">
        <f>IF(J843="",ROUND(I843*(1-IF(ISBLANK(L843),K843,L843)/100),2),ROUND(J843*(1-IF(ISBLANK(L843),K843,L843)/100),2))</f>
      </c>
      <c r="N843" s="7" t="str">
        <f>IF(NOT(AND(J843="",L843="")),IF(OR(AND(L843&lt;&gt;"",NOT(ISNUMBER(L843))),IFERROR(MOD(L843,1),1)&gt;0,AND(ISNUMBER(L843),OR(L843&lt;0,L843&gt;95))),"Введите целое число от 0 до 95",IF(OR(AND(J843&lt;&gt;"",NOT(ISNUMBER(J843))),IFERROR(MOD(J843,1),1)&gt;0,AND(ISNUMBER(J843),OR(J843&lt;50,J843&gt;20000000))),"Введите целое число от 50 до 20000000",IF(NOT(ABS(IFERROR(VALUE(LEFT(M843,FIND("-",M843)-1)),M843)*100-(5000+2000000000)/2)&lt;=ABS(5000-2000000000)/2),"Цена со скидкой должна быть от 50 до 20000000",IF(IFERROR(VALUE(LEFT(M843,FIND("-",M843)-1)),M843)*229&lt;92700,"Вы уменьшили цену в несколько раз, товар попадет в карантин цен","")))),"")</f>
      </c>
    </row>
    <row r="844">
      <c r="A844" s="2" t="inlineStr">
        <is>
          <t>CuteShop</t>
        </is>
      </c>
      <c r="B844" s="2" t="inlineStr">
        <is>
          <t>Держатели для пустышек</t>
        </is>
      </c>
      <c r="C844" s="2">
        <v>179986900</v>
      </c>
      <c r="D844" s="2" t="inlineStr">
        <is>
          <t>StasLev</t>
        </is>
      </c>
      <c r="E844" s="2" t="inlineStr">
        <is>
          <t>2038720192178</t>
        </is>
      </c>
      <c r="F844" s="2">
        <v>0</v>
      </c>
      <c r="G844" s="2">
        <v>0</v>
      </c>
      <c r="H844" s="2" t="inlineStr">
        <is>
          <t/>
        </is>
      </c>
      <c r="I844" s="2" t="inlineStr">
        <is>
          <t>1030</t>
        </is>
      </c>
      <c r="J844" s="4"/>
      <c r="K844" s="2">
        <v>10</v>
      </c>
      <c r="L844" s="6"/>
      <c r="M844" s="2" t="str">
        <f>IF(J844="",ROUND(I844*(1-IF(ISBLANK(L844),K844,L844)/100),2),ROUND(J844*(1-IF(ISBLANK(L844),K844,L844)/100),2))</f>
      </c>
      <c r="N844" s="7" t="str">
        <f>IF(NOT(AND(J844="",L844="")),IF(OR(AND(L844&lt;&gt;"",NOT(ISNUMBER(L844))),IFERROR(MOD(L844,1),1)&gt;0,AND(ISNUMBER(L844),OR(L844&lt;0,L844&gt;95))),"Введите целое число от 0 до 95",IF(OR(AND(J844&lt;&gt;"",NOT(ISNUMBER(J844))),IFERROR(MOD(J844,1),1)&gt;0,AND(ISNUMBER(J844),OR(J844&lt;50,J844&gt;20000000))),"Введите целое число от 50 до 20000000",IF(NOT(ABS(IFERROR(VALUE(LEFT(M844,FIND("-",M844)-1)),M844)*100-(5000+2000000000)/2)&lt;=ABS(5000-2000000000)/2),"Цена со скидкой должна быть от 50 до 20000000",IF(IFERROR(VALUE(LEFT(M844,FIND("-",M844)-1)),M844)*229&lt;92700,"Вы уменьшили цену в несколько раз, товар попадет в карантин цен","")))),"")</f>
      </c>
    </row>
    <row r="845">
      <c r="A845" s="2" t="inlineStr">
        <is>
          <t>CuteShop</t>
        </is>
      </c>
      <c r="B845" s="2" t="inlineStr">
        <is>
          <t>Держатели для пустышек</t>
        </is>
      </c>
      <c r="C845" s="2">
        <v>173480522</v>
      </c>
      <c r="D845" s="2" t="inlineStr">
        <is>
          <t>MilashaBG</t>
        </is>
      </c>
      <c r="E845" s="2" t="inlineStr">
        <is>
          <t>2038389803545</t>
        </is>
      </c>
      <c r="F845" s="2">
        <v>0</v>
      </c>
      <c r="G845" s="2">
        <v>0</v>
      </c>
      <c r="H845" s="2" t="inlineStr">
        <is>
          <t/>
        </is>
      </c>
      <c r="I845" s="2" t="inlineStr">
        <is>
          <t>790</t>
        </is>
      </c>
      <c r="J845" s="4"/>
      <c r="K845" s="2">
        <v>10</v>
      </c>
      <c r="L845" s="6"/>
      <c r="M845" s="2" t="str">
        <f>IF(J845="",ROUND(I845*(1-IF(ISBLANK(L845),K845,L845)/100),2),ROUND(J845*(1-IF(ISBLANK(L845),K845,L845)/100),2))</f>
      </c>
      <c r="N845" s="7" t="str">
        <f>IF(NOT(AND(J845="",L845="")),IF(OR(AND(L845&lt;&gt;"",NOT(ISNUMBER(L845))),IFERROR(MOD(L845,1),1)&gt;0,AND(ISNUMBER(L845),OR(L845&lt;0,L845&gt;95))),"Введите целое число от 0 до 95",IF(OR(AND(J845&lt;&gt;"",NOT(ISNUMBER(J845))),IFERROR(MOD(J845,1),1)&gt;0,AND(ISNUMBER(J845),OR(J845&lt;50,J845&gt;20000000))),"Введите целое число от 50 до 20000000",IF(NOT(ABS(IFERROR(VALUE(LEFT(M845,FIND("-",M845)-1)),M845)*100-(5000+2000000000)/2)&lt;=ABS(5000-2000000000)/2),"Цена со скидкой должна быть от 50 до 20000000",IF(IFERROR(VALUE(LEFT(M845,FIND("-",M845)-1)),M845)*229&lt;71100,"Вы уменьшили цену в несколько раз, товар попадет в карантин цен","")))),"")</f>
      </c>
    </row>
    <row r="846">
      <c r="A846" s="2" t="inlineStr">
        <is>
          <t>CuteShop</t>
        </is>
      </c>
      <c r="B846" s="2" t="inlineStr">
        <is>
          <t>Держатели для пустышек</t>
        </is>
      </c>
      <c r="C846" s="2">
        <v>228738963</v>
      </c>
      <c r="D846" s="2" t="inlineStr">
        <is>
          <t>Derzh-Malch4</t>
        </is>
      </c>
      <c r="E846" s="2" t="inlineStr">
        <is>
          <t>2039924816785</t>
        </is>
      </c>
      <c r="F846" s="2">
        <v>0</v>
      </c>
      <c r="G846" s="2">
        <v>1</v>
      </c>
      <c r="H846" s="2" t="inlineStr">
        <is>
          <t/>
        </is>
      </c>
      <c r="I846" s="2" t="inlineStr">
        <is>
          <t>760</t>
        </is>
      </c>
      <c r="J846" s="4"/>
      <c r="K846" s="2">
        <v>5</v>
      </c>
      <c r="L846" s="6"/>
      <c r="M846" s="2" t="str">
        <f>IF(J846="",ROUND(I846*(1-IF(ISBLANK(L846),K846,L846)/100),2),ROUND(J846*(1-IF(ISBLANK(L846),K846,L846)/100),2))</f>
      </c>
      <c r="N846" s="7" t="str">
        <f>IF(NOT(AND(J846="",L846="")),IF(OR(AND(L846&lt;&gt;"",NOT(ISNUMBER(L846))),IFERROR(MOD(L846,1),1)&gt;0,AND(ISNUMBER(L846),OR(L846&lt;0,L846&gt;95))),"Введите целое число от 0 до 95",IF(OR(AND(J846&lt;&gt;"",NOT(ISNUMBER(J846))),IFERROR(MOD(J846,1),1)&gt;0,AND(ISNUMBER(J846),OR(J846&lt;50,J846&gt;20000000))),"Введите целое число от 50 до 20000000",IF(NOT(ABS(IFERROR(VALUE(LEFT(M846,FIND("-",M846)-1)),M846)*100-(5000+2000000000)/2)&lt;=ABS(5000-2000000000)/2),"Цена со скидкой должна быть от 50 до 20000000",IF(IFERROR(VALUE(LEFT(M846,FIND("-",M846)-1)),M846)*229&lt;72200,"Вы уменьшили цену в несколько раз, товар попадет в карантин цен","")))),"")</f>
      </c>
    </row>
    <row r="847">
      <c r="A847" s="2" t="inlineStr">
        <is>
          <t>CuteShop</t>
        </is>
      </c>
      <c r="B847" s="2" t="inlineStr">
        <is>
          <t>Держатели для пустышек</t>
        </is>
      </c>
      <c r="C847" s="2">
        <v>279838018</v>
      </c>
      <c r="D847" s="2" t="inlineStr">
        <is>
          <t>Derzh-Prost5</t>
        </is>
      </c>
      <c r="E847" s="2" t="inlineStr">
        <is>
          <t>2041720925219</t>
        </is>
      </c>
      <c r="F847" s="2">
        <v>0</v>
      </c>
      <c r="G847" s="2">
        <v>1</v>
      </c>
      <c r="H847" s="2" t="inlineStr">
        <is>
          <t/>
        </is>
      </c>
      <c r="I847" s="2" t="inlineStr">
        <is>
          <t>390</t>
        </is>
      </c>
      <c r="J847" s="4"/>
      <c r="K847" s="2">
        <v>3</v>
      </c>
      <c r="L847" s="6"/>
      <c r="M847" s="2" t="str">
        <f>IF(J847="",ROUND(I847*(1-IF(ISBLANK(L847),K847,L847)/100),2),ROUND(J847*(1-IF(ISBLANK(L847),K847,L847)/100),2))</f>
      </c>
      <c r="N847" s="7" t="str">
        <f>IF(NOT(AND(J847="",L847="")),IF(OR(AND(L847&lt;&gt;"",NOT(ISNUMBER(L847))),IFERROR(MOD(L847,1),1)&gt;0,AND(ISNUMBER(L847),OR(L847&lt;0,L847&gt;95))),"Введите целое число от 0 до 95",IF(OR(AND(J847&lt;&gt;"",NOT(ISNUMBER(J847))),IFERROR(MOD(J847,1),1)&gt;0,AND(ISNUMBER(J847),OR(J847&lt;50,J847&gt;20000000))),"Введите целое число от 50 до 20000000",IF(NOT(ABS(IFERROR(VALUE(LEFT(M847,FIND("-",M847)-1)),M847)*100-(5000+2000000000)/2)&lt;=ABS(5000-2000000000)/2),"Цена со скидкой должна быть от 50 до 20000000",IF(IFERROR(VALUE(LEFT(M847,FIND("-",M847)-1)),M847)*229&lt;37830,"Вы уменьшили цену в несколько раз, товар попадет в карантин цен","")))),"")</f>
      </c>
    </row>
    <row r="848">
      <c r="A848" s="2" t="inlineStr">
        <is>
          <t>CuteShop</t>
        </is>
      </c>
      <c r="B848" s="2" t="inlineStr">
        <is>
          <t>Держатели для пустышек</t>
        </is>
      </c>
      <c r="C848" s="2">
        <v>117607333</v>
      </c>
      <c r="D848" s="2" t="inlineStr">
        <is>
          <t>DenisBG</t>
        </is>
      </c>
      <c r="E848" s="2" t="inlineStr">
        <is>
          <t>2042146683622</t>
        </is>
      </c>
      <c r="F848" s="2">
        <v>0</v>
      </c>
      <c r="G848" s="2">
        <v>1</v>
      </c>
      <c r="H848" s="2">
        <v>0</v>
      </c>
      <c r="I848" s="2" t="inlineStr">
        <is>
          <t>790</t>
        </is>
      </c>
      <c r="J848" s="4"/>
      <c r="K848" s="2">
        <v>10</v>
      </c>
      <c r="L848" s="6"/>
      <c r="M848" s="2" t="str">
        <f>IF(J848="",ROUND(I848*(1-IF(ISBLANK(L848),K848,L848)/100),2),ROUND(J848*(1-IF(ISBLANK(L848),K848,L848)/100),2))</f>
      </c>
      <c r="N848" s="7" t="str">
        <f>IF(NOT(AND(J848="",L848="")),IF(OR(AND(L848&lt;&gt;"",NOT(ISNUMBER(L848))),IFERROR(MOD(L848,1),1)&gt;0,AND(ISNUMBER(L848),OR(L848&lt;0,L848&gt;95))),"Введите целое число от 0 до 95",IF(OR(AND(J848&lt;&gt;"",NOT(ISNUMBER(J848))),IFERROR(MOD(J848,1),1)&gt;0,AND(ISNUMBER(J848),OR(J848&lt;50,J848&gt;20000000))),"Введите целое число от 50 до 20000000",IF(NOT(ABS(IFERROR(VALUE(LEFT(M848,FIND("-",M848)-1)),M848)*100-(5000+2000000000)/2)&lt;=ABS(5000-2000000000)/2),"Цена со скидкой должна быть от 50 до 20000000",IF(IFERROR(VALUE(LEFT(M848,FIND("-",M848)-1)),M848)*229&lt;71100,"Вы уменьшили цену в несколько раз, товар попадет в карантин цен","")))),"")</f>
      </c>
    </row>
    <row r="849">
      <c r="A849" s="2" t="inlineStr">
        <is>
          <t>CuteShop</t>
        </is>
      </c>
      <c r="B849" s="2" t="inlineStr">
        <is>
          <t>Держатели для пустышек</t>
        </is>
      </c>
      <c r="C849" s="2">
        <v>112358502</v>
      </c>
      <c r="D849" s="2" t="inlineStr">
        <is>
          <t>AlisaOran</t>
        </is>
      </c>
      <c r="E849" s="2" t="inlineStr">
        <is>
          <t>2038780850629</t>
        </is>
      </c>
      <c r="F849" s="2">
        <v>0</v>
      </c>
      <c r="G849" s="2">
        <v>0</v>
      </c>
      <c r="H849" s="2">
        <v>0</v>
      </c>
      <c r="I849" s="2" t="inlineStr">
        <is>
          <t>1030</t>
        </is>
      </c>
      <c r="J849" s="4"/>
      <c r="K849" s="2">
        <v>10</v>
      </c>
      <c r="L849" s="6"/>
      <c r="M849" s="2" t="str">
        <f>IF(J849="",ROUND(I849*(1-IF(ISBLANK(L849),K849,L849)/100),2),ROUND(J849*(1-IF(ISBLANK(L849),K849,L849)/100),2))</f>
      </c>
      <c r="N849" s="7" t="str">
        <f>IF(NOT(AND(J849="",L849="")),IF(OR(AND(L849&lt;&gt;"",NOT(ISNUMBER(L849))),IFERROR(MOD(L849,1),1)&gt;0,AND(ISNUMBER(L849),OR(L849&lt;0,L849&gt;95))),"Введите целое число от 0 до 95",IF(OR(AND(J849&lt;&gt;"",NOT(ISNUMBER(J849))),IFERROR(MOD(J849,1),1)&gt;0,AND(ISNUMBER(J849),OR(J849&lt;50,J849&gt;20000000))),"Введите целое число от 50 до 20000000",IF(NOT(ABS(IFERROR(VALUE(LEFT(M849,FIND("-",M849)-1)),M849)*100-(5000+2000000000)/2)&lt;=ABS(5000-2000000000)/2),"Цена со скидкой должна быть от 50 до 20000000",IF(IFERROR(VALUE(LEFT(M849,FIND("-",M849)-1)),M849)*229&lt;92700,"Вы уменьшили цену в несколько раз, товар попадет в карантин цен","")))),"")</f>
      </c>
    </row>
    <row r="850">
      <c r="A850" s="2" t="inlineStr">
        <is>
          <t>CuteShop</t>
        </is>
      </c>
      <c r="B850" s="2" t="inlineStr">
        <is>
          <t>Держатели для пустышек</t>
        </is>
      </c>
      <c r="C850" s="2">
        <v>314698047</v>
      </c>
      <c r="D850" s="2" t="inlineStr">
        <is>
          <t>DenisBG2</t>
        </is>
      </c>
      <c r="E850" s="2" t="inlineStr">
        <is>
          <t>2042539552221</t>
        </is>
      </c>
      <c r="F850" s="2">
        <v>0</v>
      </c>
      <c r="G850" s="2">
        <v>1</v>
      </c>
      <c r="H850" s="2" t="inlineStr">
        <is>
          <t/>
        </is>
      </c>
      <c r="I850" s="2" t="inlineStr">
        <is>
          <t>790</t>
        </is>
      </c>
      <c r="J850" s="4"/>
      <c r="K850" s="2">
        <v>10</v>
      </c>
      <c r="L850" s="6"/>
      <c r="M850" s="2" t="str">
        <f>IF(J850="",ROUND(I850*(1-IF(ISBLANK(L850),K850,L850)/100),2),ROUND(J850*(1-IF(ISBLANK(L850),K850,L850)/100),2))</f>
      </c>
      <c r="N850" s="7" t="str">
        <f>IF(NOT(AND(J850="",L850="")),IF(OR(AND(L850&lt;&gt;"",NOT(ISNUMBER(L850))),IFERROR(MOD(L850,1),1)&gt;0,AND(ISNUMBER(L850),OR(L850&lt;0,L850&gt;95))),"Введите целое число от 0 до 95",IF(OR(AND(J850&lt;&gt;"",NOT(ISNUMBER(J850))),IFERROR(MOD(J850,1),1)&gt;0,AND(ISNUMBER(J850),OR(J850&lt;50,J850&gt;20000000))),"Введите целое число от 50 до 20000000",IF(NOT(ABS(IFERROR(VALUE(LEFT(M850,FIND("-",M850)-1)),M850)*100-(5000+2000000000)/2)&lt;=ABS(5000-2000000000)/2),"Цена со скидкой должна быть от 50 до 20000000",IF(IFERROR(VALUE(LEFT(M850,FIND("-",M850)-1)),M850)*229&lt;71100,"Вы уменьшили цену в несколько раз, товар попадет в карантин цен","")))),"")</f>
      </c>
    </row>
    <row r="851">
      <c r="A851" s="2" t="inlineStr">
        <is>
          <t>CuteShop</t>
        </is>
      </c>
      <c r="B851" s="2" t="inlineStr">
        <is>
          <t>Держатели для пустышек</t>
        </is>
      </c>
      <c r="C851" s="2">
        <v>245144970</v>
      </c>
      <c r="D851" s="2" t="inlineStr">
        <is>
          <t>Derzh-Malch-Mish</t>
        </is>
      </c>
      <c r="E851" s="2" t="inlineStr">
        <is>
          <t>2040699012364</t>
        </is>
      </c>
      <c r="F851" s="2">
        <v>0</v>
      </c>
      <c r="G851" s="2">
        <v>1</v>
      </c>
      <c r="H851" s="2" t="inlineStr">
        <is>
          <t/>
        </is>
      </c>
      <c r="I851" s="2" t="inlineStr">
        <is>
          <t>750</t>
        </is>
      </c>
      <c r="J851" s="4"/>
      <c r="K851" s="2">
        <v>5</v>
      </c>
      <c r="L851" s="6"/>
      <c r="M851" s="2" t="str">
        <f>IF(J851="",ROUND(I851*(1-IF(ISBLANK(L851),K851,L851)/100),2),ROUND(J851*(1-IF(ISBLANK(L851),K851,L851)/100),2))</f>
      </c>
      <c r="N851" s="7" t="str">
        <f>IF(NOT(AND(J851="",L851="")),IF(OR(AND(L851&lt;&gt;"",NOT(ISNUMBER(L851))),IFERROR(MOD(L851,1),1)&gt;0,AND(ISNUMBER(L851),OR(L851&lt;0,L851&gt;95))),"Введите целое число от 0 до 95",IF(OR(AND(J851&lt;&gt;"",NOT(ISNUMBER(J851))),IFERROR(MOD(J851,1),1)&gt;0,AND(ISNUMBER(J851),OR(J851&lt;50,J851&gt;20000000))),"Введите целое число от 50 до 20000000",IF(NOT(ABS(IFERROR(VALUE(LEFT(M851,FIND("-",M851)-1)),M851)*100-(5000+2000000000)/2)&lt;=ABS(5000-2000000000)/2),"Цена со скидкой должна быть от 50 до 20000000",IF(IFERROR(VALUE(LEFT(M851,FIND("-",M851)-1)),M851)*229&lt;71250,"Вы уменьшили цену в несколько раз, товар попадет в карантин цен","")))),"")</f>
      </c>
    </row>
    <row r="852">
      <c r="A852" s="2" t="inlineStr">
        <is>
          <t>CuteShop</t>
        </is>
      </c>
      <c r="B852" s="2" t="inlineStr">
        <is>
          <t>Держатели для пустышек</t>
        </is>
      </c>
      <c r="C852" s="2">
        <v>245137016</v>
      </c>
      <c r="D852" s="2" t="inlineStr">
        <is>
          <t>TimKit</t>
        </is>
      </c>
      <c r="E852" s="2" t="inlineStr">
        <is>
          <t>2040698843044</t>
        </is>
      </c>
      <c r="F852" s="2">
        <v>0</v>
      </c>
      <c r="G852" s="2">
        <v>0</v>
      </c>
      <c r="H852" s="2" t="inlineStr">
        <is>
          <t/>
        </is>
      </c>
      <c r="I852" s="2" t="inlineStr">
        <is>
          <t>820</t>
        </is>
      </c>
      <c r="J852" s="4"/>
      <c r="K852" s="2">
        <v>10</v>
      </c>
      <c r="L852" s="6"/>
      <c r="M852" s="2" t="str">
        <f>IF(J852="",ROUND(I852*(1-IF(ISBLANK(L852),K852,L852)/100),2),ROUND(J852*(1-IF(ISBLANK(L852),K852,L852)/100),2))</f>
      </c>
      <c r="N852" s="7" t="str">
        <f>IF(NOT(AND(J852="",L852="")),IF(OR(AND(L852&lt;&gt;"",NOT(ISNUMBER(L852))),IFERROR(MOD(L852,1),1)&gt;0,AND(ISNUMBER(L852),OR(L852&lt;0,L852&gt;95))),"Введите целое число от 0 до 95",IF(OR(AND(J852&lt;&gt;"",NOT(ISNUMBER(J852))),IFERROR(MOD(J852,1),1)&gt;0,AND(ISNUMBER(J852),OR(J852&lt;50,J852&gt;20000000))),"Введите целое число от 50 до 20000000",IF(NOT(ABS(IFERROR(VALUE(LEFT(M852,FIND("-",M852)-1)),M852)*100-(5000+2000000000)/2)&lt;=ABS(5000-2000000000)/2),"Цена со скидкой должна быть от 50 до 20000000",IF(IFERROR(VALUE(LEFT(M852,FIND("-",M852)-1)),M852)*229&lt;73800,"Вы уменьшили цену в несколько раз, товар попадет в карантин цен","")))),"")</f>
      </c>
    </row>
    <row r="853">
      <c r="A853" s="2" t="inlineStr">
        <is>
          <t>CuteShop</t>
        </is>
      </c>
      <c r="B853" s="2" t="inlineStr">
        <is>
          <t>Держатели для пустышек</t>
        </is>
      </c>
      <c r="C853" s="2">
        <v>245137547</v>
      </c>
      <c r="D853" s="2" t="inlineStr">
        <is>
          <t>RodionMash</t>
        </is>
      </c>
      <c r="E853" s="2" t="inlineStr">
        <is>
          <t>2040698860973</t>
        </is>
      </c>
      <c r="F853" s="2">
        <v>0</v>
      </c>
      <c r="G853" s="2">
        <v>1</v>
      </c>
      <c r="H853" s="2" t="inlineStr">
        <is>
          <t/>
        </is>
      </c>
      <c r="I853" s="2" t="inlineStr">
        <is>
          <t>850</t>
        </is>
      </c>
      <c r="J853" s="4"/>
      <c r="K853" s="2">
        <v>10</v>
      </c>
      <c r="L853" s="6"/>
      <c r="M853" s="2" t="str">
        <f>IF(J853="",ROUND(I853*(1-IF(ISBLANK(L853),K853,L853)/100),2),ROUND(J853*(1-IF(ISBLANK(L853),K853,L853)/100),2))</f>
      </c>
      <c r="N853" s="7" t="str">
        <f>IF(NOT(AND(J853="",L853="")),IF(OR(AND(L853&lt;&gt;"",NOT(ISNUMBER(L853))),IFERROR(MOD(L853,1),1)&gt;0,AND(ISNUMBER(L853),OR(L853&lt;0,L853&gt;95))),"Введите целое число от 0 до 95",IF(OR(AND(J853&lt;&gt;"",NOT(ISNUMBER(J853))),IFERROR(MOD(J853,1),1)&gt;0,AND(ISNUMBER(J853),OR(J853&lt;50,J853&gt;20000000))),"Введите целое число от 50 до 20000000",IF(NOT(ABS(IFERROR(VALUE(LEFT(M853,FIND("-",M853)-1)),M853)*100-(5000+2000000000)/2)&lt;=ABS(5000-2000000000)/2),"Цена со скидкой должна быть от 50 до 20000000",IF(IFERROR(VALUE(LEFT(M853,FIND("-",M853)-1)),M853)*229&lt;76500,"Вы уменьшили цену в несколько раз, товар попадет в карантин цен","")))),"")</f>
      </c>
    </row>
    <row r="854">
      <c r="A854" s="2" t="inlineStr">
        <is>
          <t>CuteShop</t>
        </is>
      </c>
      <c r="B854" s="2" t="inlineStr">
        <is>
          <t>Держатели для пустышек</t>
        </is>
      </c>
      <c r="C854" s="2">
        <v>111038435</v>
      </c>
      <c r="D854" s="2" t="inlineStr">
        <is>
          <t>LevaLev</t>
        </is>
      </c>
      <c r="E854" s="2" t="inlineStr">
        <is>
          <t>2037479073622</t>
        </is>
      </c>
      <c r="F854" s="2">
        <v>0</v>
      </c>
      <c r="G854" s="2">
        <v>0</v>
      </c>
      <c r="H854" s="2">
        <v>0</v>
      </c>
      <c r="I854" s="2" t="inlineStr">
        <is>
          <t>1030</t>
        </is>
      </c>
      <c r="J854" s="4"/>
      <c r="K854" s="2">
        <v>10</v>
      </c>
      <c r="L854" s="6"/>
      <c r="M854" s="2" t="str">
        <f>IF(J854="",ROUND(I854*(1-IF(ISBLANK(L854),K854,L854)/100),2),ROUND(J854*(1-IF(ISBLANK(L854),K854,L854)/100),2))</f>
      </c>
      <c r="N854" s="7" t="str">
        <f>IF(NOT(AND(J854="",L854="")),IF(OR(AND(L854&lt;&gt;"",NOT(ISNUMBER(L854))),IFERROR(MOD(L854,1),1)&gt;0,AND(ISNUMBER(L854),OR(L854&lt;0,L854&gt;95))),"Введите целое число от 0 до 95",IF(OR(AND(J854&lt;&gt;"",NOT(ISNUMBER(J854))),IFERROR(MOD(J854,1),1)&gt;0,AND(ISNUMBER(J854),OR(J854&lt;50,J854&gt;20000000))),"Введите целое число от 50 до 20000000",IF(NOT(ABS(IFERROR(VALUE(LEFT(M854,FIND("-",M854)-1)),M854)*100-(5000+2000000000)/2)&lt;=ABS(5000-2000000000)/2),"Цена со скидкой должна быть от 50 до 20000000",IF(IFERROR(VALUE(LEFT(M854,FIND("-",M854)-1)),M854)*229&lt;92700,"Вы уменьшили цену в несколько раз, товар попадет в карантин цен","")))),"")</f>
      </c>
    </row>
    <row r="855">
      <c r="A855" s="2" t="inlineStr">
        <is>
          <t>CuteShop</t>
        </is>
      </c>
      <c r="B855" s="2" t="inlineStr">
        <is>
          <t>Держатели для пустышек</t>
        </is>
      </c>
      <c r="C855" s="2">
        <v>279838016</v>
      </c>
      <c r="D855" s="2" t="inlineStr">
        <is>
          <t>Derzh-Prost3</t>
        </is>
      </c>
      <c r="E855" s="2" t="inlineStr">
        <is>
          <t>2041720918464</t>
        </is>
      </c>
      <c r="F855" s="2">
        <v>0</v>
      </c>
      <c r="G855" s="2">
        <v>2</v>
      </c>
      <c r="H855" s="2" t="inlineStr">
        <is>
          <t/>
        </is>
      </c>
      <c r="I855" s="2" t="inlineStr">
        <is>
          <t>390</t>
        </is>
      </c>
      <c r="J855" s="4"/>
      <c r="K855" s="2">
        <v>3</v>
      </c>
      <c r="L855" s="6"/>
      <c r="M855" s="2" t="str">
        <f>IF(J855="",ROUND(I855*(1-IF(ISBLANK(L855),K855,L855)/100),2),ROUND(J855*(1-IF(ISBLANK(L855),K855,L855)/100),2))</f>
      </c>
      <c r="N855" s="7" t="str">
        <f>IF(NOT(AND(J855="",L855="")),IF(OR(AND(L855&lt;&gt;"",NOT(ISNUMBER(L855))),IFERROR(MOD(L855,1),1)&gt;0,AND(ISNUMBER(L855),OR(L855&lt;0,L855&gt;95))),"Введите целое число от 0 до 95",IF(OR(AND(J855&lt;&gt;"",NOT(ISNUMBER(J855))),IFERROR(MOD(J855,1),1)&gt;0,AND(ISNUMBER(J855),OR(J855&lt;50,J855&gt;20000000))),"Введите целое число от 50 до 20000000",IF(NOT(ABS(IFERROR(VALUE(LEFT(M855,FIND("-",M855)-1)),M855)*100-(5000+2000000000)/2)&lt;=ABS(5000-2000000000)/2),"Цена со скидкой должна быть от 50 до 20000000",IF(IFERROR(VALUE(LEFT(M855,FIND("-",M855)-1)),M855)*229&lt;37830,"Вы уменьшили цену в несколько раз, товар попадет в карантин цен","")))),"")</f>
      </c>
    </row>
    <row r="856">
      <c r="A856" s="2" t="inlineStr">
        <is>
          <t>CuteShop</t>
        </is>
      </c>
      <c r="B856" s="2" t="inlineStr">
        <is>
          <t>Держатели для пустышек</t>
        </is>
      </c>
      <c r="C856" s="2">
        <v>245136168</v>
      </c>
      <c r="D856" s="2" t="inlineStr">
        <is>
          <t>TemochkaBG</t>
        </is>
      </c>
      <c r="E856" s="2" t="inlineStr">
        <is>
          <t>2040698814075</t>
        </is>
      </c>
      <c r="F856" s="2">
        <v>0</v>
      </c>
      <c r="G856" s="2">
        <v>0</v>
      </c>
      <c r="H856" s="2" t="inlineStr">
        <is>
          <t/>
        </is>
      </c>
      <c r="I856" s="2" t="inlineStr">
        <is>
          <t>750</t>
        </is>
      </c>
      <c r="J856" s="4"/>
      <c r="K856" s="2">
        <v>10</v>
      </c>
      <c r="L856" s="6"/>
      <c r="M856" s="2" t="str">
        <f>IF(J856="",ROUND(I856*(1-IF(ISBLANK(L856),K856,L856)/100),2),ROUND(J856*(1-IF(ISBLANK(L856),K856,L856)/100),2))</f>
      </c>
      <c r="N856" s="7" t="str">
        <f>IF(NOT(AND(J856="",L856="")),IF(OR(AND(L856&lt;&gt;"",NOT(ISNUMBER(L856))),IFERROR(MOD(L856,1),1)&gt;0,AND(ISNUMBER(L856),OR(L856&lt;0,L856&gt;95))),"Введите целое число от 0 до 95",IF(OR(AND(J856&lt;&gt;"",NOT(ISNUMBER(J856))),IFERROR(MOD(J856,1),1)&gt;0,AND(ISNUMBER(J856),OR(J856&lt;50,J856&gt;20000000))),"Введите целое число от 50 до 20000000",IF(NOT(ABS(IFERROR(VALUE(LEFT(M856,FIND("-",M856)-1)),M856)*100-(5000+2000000000)/2)&lt;=ABS(5000-2000000000)/2),"Цена со скидкой должна быть от 50 до 20000000",IF(IFERROR(VALUE(LEFT(M856,FIND("-",M856)-1)),M856)*229&lt;67500,"Вы уменьшили цену в несколько раз, товар попадет в карантин цен","")))),"")</f>
      </c>
    </row>
    <row r="857">
      <c r="A857" s="2" t="inlineStr">
        <is>
          <t>CuteShop</t>
        </is>
      </c>
      <c r="B857" s="2" t="inlineStr">
        <is>
          <t>Держатели для пустышек</t>
        </is>
      </c>
      <c r="C857" s="2">
        <v>245136170</v>
      </c>
      <c r="D857" s="2" t="inlineStr">
        <is>
          <t>TemochkaOlen</t>
        </is>
      </c>
      <c r="E857" s="2" t="inlineStr">
        <is>
          <t>2040698816130</t>
        </is>
      </c>
      <c r="F857" s="2">
        <v>0</v>
      </c>
      <c r="G857" s="2">
        <v>0</v>
      </c>
      <c r="H857" s="2" t="inlineStr">
        <is>
          <t/>
        </is>
      </c>
      <c r="I857" s="2" t="inlineStr">
        <is>
          <t>980</t>
        </is>
      </c>
      <c r="J857" s="4"/>
      <c r="K857" s="2">
        <v>10</v>
      </c>
      <c r="L857" s="6"/>
      <c r="M857" s="2" t="str">
        <f>IF(J857="",ROUND(I857*(1-IF(ISBLANK(L857),K857,L857)/100),2),ROUND(J857*(1-IF(ISBLANK(L857),K857,L857)/100),2))</f>
      </c>
      <c r="N857" s="7" t="str">
        <f>IF(NOT(AND(J857="",L857="")),IF(OR(AND(L857&lt;&gt;"",NOT(ISNUMBER(L857))),IFERROR(MOD(L857,1),1)&gt;0,AND(ISNUMBER(L857),OR(L857&lt;0,L857&gt;95))),"Введите целое число от 0 до 95",IF(OR(AND(J857&lt;&gt;"",NOT(ISNUMBER(J857))),IFERROR(MOD(J857,1),1)&gt;0,AND(ISNUMBER(J857),OR(J857&lt;50,J857&gt;20000000))),"Введите целое число от 50 до 20000000",IF(NOT(ABS(IFERROR(VALUE(LEFT(M857,FIND("-",M857)-1)),M857)*100-(5000+2000000000)/2)&lt;=ABS(5000-2000000000)/2),"Цена со скидкой должна быть от 50 до 20000000",IF(IFERROR(VALUE(LEFT(M857,FIND("-",M857)-1)),M857)*229&lt;88200,"Вы уменьшили цену в несколько раз, товар попадет в карантин цен","")))),"")</f>
      </c>
    </row>
    <row r="858">
      <c r="A858" s="2" t="inlineStr">
        <is>
          <t>CuteShop</t>
        </is>
      </c>
      <c r="B858" s="2" t="inlineStr">
        <is>
          <t>Держатели для пустышек</t>
        </is>
      </c>
      <c r="C858" s="2">
        <v>100699146</v>
      </c>
      <c r="D858" s="2" t="inlineStr">
        <is>
          <t>NazarBG2</t>
        </is>
      </c>
      <c r="E858" s="2" t="inlineStr">
        <is>
          <t>2036814613226</t>
        </is>
      </c>
      <c r="F858" s="2">
        <v>0</v>
      </c>
      <c r="G858" s="2">
        <v>0</v>
      </c>
      <c r="H858" s="2" t="inlineStr">
        <is>
          <t/>
        </is>
      </c>
      <c r="I858" s="2" t="inlineStr">
        <is>
          <t>790</t>
        </is>
      </c>
      <c r="J858" s="4"/>
      <c r="K858" s="2">
        <v>10</v>
      </c>
      <c r="L858" s="6"/>
      <c r="M858" s="2" t="str">
        <f>IF(J858="",ROUND(I858*(1-IF(ISBLANK(L858),K858,L858)/100),2),ROUND(J858*(1-IF(ISBLANK(L858),K858,L858)/100),2))</f>
      </c>
      <c r="N858" s="7" t="str">
        <f>IF(NOT(AND(J858="",L858="")),IF(OR(AND(L858&lt;&gt;"",NOT(ISNUMBER(L858))),IFERROR(MOD(L858,1),1)&gt;0,AND(ISNUMBER(L858),OR(L858&lt;0,L858&gt;95))),"Введите целое число от 0 до 95",IF(OR(AND(J858&lt;&gt;"",NOT(ISNUMBER(J858))),IFERROR(MOD(J858,1),1)&gt;0,AND(ISNUMBER(J858),OR(J858&lt;50,J858&gt;20000000))),"Введите целое число от 50 до 20000000",IF(NOT(ABS(IFERROR(VALUE(LEFT(M858,FIND("-",M858)-1)),M858)*100-(5000+2000000000)/2)&lt;=ABS(5000-2000000000)/2),"Цена со скидкой должна быть от 50 до 20000000",IF(IFERROR(VALUE(LEFT(M858,FIND("-",M858)-1)),M858)*229&lt;71100,"Вы уменьшили цену в несколько раз, товар попадет в карантин цен","")))),"")</f>
      </c>
    </row>
    <row r="859">
      <c r="A859" s="2" t="inlineStr">
        <is>
          <t>CuteShop</t>
        </is>
      </c>
      <c r="B859" s="2" t="inlineStr">
        <is>
          <t>Держатели для пустышек</t>
        </is>
      </c>
      <c r="C859" s="2">
        <v>287888795</v>
      </c>
      <c r="D859" s="2" t="inlineStr">
        <is>
          <t>MatveyMishSer</t>
        </is>
      </c>
      <c r="E859" s="2" t="inlineStr">
        <is>
          <t>2041939880194</t>
        </is>
      </c>
      <c r="F859" s="2">
        <v>0</v>
      </c>
      <c r="G859" s="2">
        <v>1</v>
      </c>
      <c r="H859" s="2" t="inlineStr">
        <is>
          <t/>
        </is>
      </c>
      <c r="I859" s="2" t="inlineStr">
        <is>
          <t>1030</t>
        </is>
      </c>
      <c r="J859" s="4"/>
      <c r="K859" s="2">
        <v>10</v>
      </c>
      <c r="L859" s="6"/>
      <c r="M859" s="2" t="str">
        <f>IF(J859="",ROUND(I859*(1-IF(ISBLANK(L859),K859,L859)/100),2),ROUND(J859*(1-IF(ISBLANK(L859),K859,L859)/100),2))</f>
      </c>
      <c r="N859" s="7" t="str">
        <f>IF(NOT(AND(J859="",L859="")),IF(OR(AND(L859&lt;&gt;"",NOT(ISNUMBER(L859))),IFERROR(MOD(L859,1),1)&gt;0,AND(ISNUMBER(L859),OR(L859&lt;0,L859&gt;95))),"Введите целое число от 0 до 95",IF(OR(AND(J859&lt;&gt;"",NOT(ISNUMBER(J859))),IFERROR(MOD(J859,1),1)&gt;0,AND(ISNUMBER(J859),OR(J859&lt;50,J859&gt;20000000))),"Введите целое число от 50 до 20000000",IF(NOT(ABS(IFERROR(VALUE(LEFT(M859,FIND("-",M859)-1)),M859)*100-(5000+2000000000)/2)&lt;=ABS(5000-2000000000)/2),"Цена со скидкой должна быть от 50 до 20000000",IF(IFERROR(VALUE(LEFT(M859,FIND("-",M859)-1)),M859)*229&lt;92700,"Вы уменьшили цену в несколько раз, товар попадет в карантин цен","")))),"")</f>
      </c>
    </row>
    <row r="860">
      <c r="A860" s="2" t="inlineStr">
        <is>
          <t>CuteShop</t>
        </is>
      </c>
      <c r="B860" s="2" t="inlineStr">
        <is>
          <t>Держатели для пустышек</t>
        </is>
      </c>
      <c r="C860" s="2">
        <v>153129541</v>
      </c>
      <c r="D860" s="2" t="inlineStr">
        <is>
          <t>RenatLis</t>
        </is>
      </c>
      <c r="E860" s="2" t="inlineStr">
        <is>
          <t>2037628437343</t>
        </is>
      </c>
      <c r="F860" s="2">
        <v>0</v>
      </c>
      <c r="G860" s="2">
        <v>1</v>
      </c>
      <c r="H860" s="2">
        <v>0</v>
      </c>
      <c r="I860" s="2" t="inlineStr">
        <is>
          <t>1030</t>
        </is>
      </c>
      <c r="J860" s="4"/>
      <c r="K860" s="2">
        <v>10</v>
      </c>
      <c r="L860" s="6"/>
      <c r="M860" s="2" t="str">
        <f>IF(J860="",ROUND(I860*(1-IF(ISBLANK(L860),K860,L860)/100),2),ROUND(J860*(1-IF(ISBLANK(L860),K860,L860)/100),2))</f>
      </c>
      <c r="N860" s="7" t="str">
        <f>IF(NOT(AND(J860="",L860="")),IF(OR(AND(L860&lt;&gt;"",NOT(ISNUMBER(L860))),IFERROR(MOD(L860,1),1)&gt;0,AND(ISNUMBER(L860),OR(L860&lt;0,L860&gt;95))),"Введите целое число от 0 до 95",IF(OR(AND(J860&lt;&gt;"",NOT(ISNUMBER(J860))),IFERROR(MOD(J860,1),1)&gt;0,AND(ISNUMBER(J860),OR(J860&lt;50,J860&gt;20000000))),"Введите целое число от 50 до 20000000",IF(NOT(ABS(IFERROR(VALUE(LEFT(M860,FIND("-",M860)-1)),M860)*100-(5000+2000000000)/2)&lt;=ABS(5000-2000000000)/2),"Цена со скидкой должна быть от 50 до 20000000",IF(IFERROR(VALUE(LEFT(M860,FIND("-",M860)-1)),M860)*229&lt;92700,"Вы уменьшили цену в несколько раз, товар попадет в карантин цен","")))),"")</f>
      </c>
    </row>
    <row r="861">
      <c r="A861" s="2" t="inlineStr">
        <is>
          <t>CuteShop</t>
        </is>
      </c>
      <c r="B861" s="2" t="inlineStr">
        <is>
          <t>Держатели для пустышек</t>
        </is>
      </c>
      <c r="C861" s="2">
        <v>112947174</v>
      </c>
      <c r="D861" s="2" t="inlineStr">
        <is>
          <t>UlyanaZayRoz</t>
        </is>
      </c>
      <c r="E861" s="2" t="inlineStr">
        <is>
          <t>2038996534627</t>
        </is>
      </c>
      <c r="F861" s="2">
        <v>0</v>
      </c>
      <c r="G861" s="2">
        <v>1</v>
      </c>
      <c r="H861" s="2">
        <v>0</v>
      </c>
      <c r="I861" s="2" t="inlineStr">
        <is>
          <t>1030</t>
        </is>
      </c>
      <c r="J861" s="4"/>
      <c r="K861" s="2">
        <v>10</v>
      </c>
      <c r="L861" s="6"/>
      <c r="M861" s="2" t="str">
        <f>IF(J861="",ROUND(I861*(1-IF(ISBLANK(L861),K861,L861)/100),2),ROUND(J861*(1-IF(ISBLANK(L861),K861,L861)/100),2))</f>
      </c>
      <c r="N861" s="7" t="str">
        <f>IF(NOT(AND(J861="",L861="")),IF(OR(AND(L861&lt;&gt;"",NOT(ISNUMBER(L861))),IFERROR(MOD(L861,1),1)&gt;0,AND(ISNUMBER(L861),OR(L861&lt;0,L861&gt;95))),"Введите целое число от 0 до 95",IF(OR(AND(J861&lt;&gt;"",NOT(ISNUMBER(J861))),IFERROR(MOD(J861,1),1)&gt;0,AND(ISNUMBER(J861),OR(J861&lt;50,J861&gt;20000000))),"Введите целое число от 50 до 20000000",IF(NOT(ABS(IFERROR(VALUE(LEFT(M861,FIND("-",M861)-1)),M861)*100-(5000+2000000000)/2)&lt;=ABS(5000-2000000000)/2),"Цена со скидкой должна быть от 50 до 20000000",IF(IFERROR(VALUE(LEFT(M861,FIND("-",M861)-1)),M861)*229&lt;92700,"Вы уменьшили цену в несколько раз, товар попадет в карантин цен","")))),"")</f>
      </c>
    </row>
    <row r="862">
      <c r="A862" s="2" t="inlineStr">
        <is>
          <t>CuteShop</t>
        </is>
      </c>
      <c r="B862" s="2" t="inlineStr">
        <is>
          <t>Держатели для пустышек</t>
        </is>
      </c>
      <c r="C862" s="2">
        <v>105656684</v>
      </c>
      <c r="D862" s="2" t="inlineStr">
        <is>
          <t>StepanSob2</t>
        </is>
      </c>
      <c r="E862" s="2" t="inlineStr">
        <is>
          <t>2036887641133</t>
        </is>
      </c>
      <c r="F862" s="2">
        <v>0</v>
      </c>
      <c r="G862" s="2">
        <v>0</v>
      </c>
      <c r="H862" s="2">
        <v>1</v>
      </c>
      <c r="I862" s="2" t="inlineStr">
        <is>
          <t>1030</t>
        </is>
      </c>
      <c r="J862" s="4"/>
      <c r="K862" s="2">
        <v>10</v>
      </c>
      <c r="L862" s="6"/>
      <c r="M862" s="2" t="str">
        <f>IF(J862="",ROUND(I862*(1-IF(ISBLANK(L862),K862,L862)/100),2),ROUND(J862*(1-IF(ISBLANK(L862),K862,L862)/100),2))</f>
      </c>
      <c r="N862" s="7" t="str">
        <f>IF(NOT(AND(J862="",L862="")),IF(OR(AND(L862&lt;&gt;"",NOT(ISNUMBER(L862))),IFERROR(MOD(L862,1),1)&gt;0,AND(ISNUMBER(L862),OR(L862&lt;0,L862&gt;95))),"Введите целое число от 0 до 95",IF(OR(AND(J862&lt;&gt;"",NOT(ISNUMBER(J862))),IFERROR(MOD(J862,1),1)&gt;0,AND(ISNUMBER(J862),OR(J862&lt;50,J862&gt;20000000))),"Введите целое число от 50 до 20000000",IF(NOT(ABS(IFERROR(VALUE(LEFT(M862,FIND("-",M862)-1)),M862)*100-(5000+2000000000)/2)&lt;=ABS(5000-2000000000)/2),"Цена со скидкой должна быть от 50 до 20000000",IF(IFERROR(VALUE(LEFT(M862,FIND("-",M862)-1)),M862)*229&lt;92700,"Вы уменьшили цену в несколько раз, товар попадет в карантин цен","")))),"")</f>
      </c>
    </row>
    <row r="863">
      <c r="A863" s="2" t="inlineStr">
        <is>
          <t>CuteShop</t>
        </is>
      </c>
      <c r="B863" s="2" t="inlineStr">
        <is>
          <t>Держатели для пустышек</t>
        </is>
      </c>
      <c r="C863" s="2">
        <v>111027201</v>
      </c>
      <c r="D863" s="2" t="inlineStr">
        <is>
          <t>AlenaBG</t>
        </is>
      </c>
      <c r="E863" s="2" t="inlineStr">
        <is>
          <t>2037460014627</t>
        </is>
      </c>
      <c r="F863" s="2">
        <v>0</v>
      </c>
      <c r="G863" s="2">
        <v>0</v>
      </c>
      <c r="H863" s="2">
        <v>0</v>
      </c>
      <c r="I863" s="2" t="inlineStr">
        <is>
          <t>790</t>
        </is>
      </c>
      <c r="J863" s="4"/>
      <c r="K863" s="2">
        <v>10</v>
      </c>
      <c r="L863" s="6"/>
      <c r="M863" s="2" t="str">
        <f>IF(J863="",ROUND(I863*(1-IF(ISBLANK(L863),K863,L863)/100),2),ROUND(J863*(1-IF(ISBLANK(L863),K863,L863)/100),2))</f>
      </c>
      <c r="N863" s="7" t="str">
        <f>IF(NOT(AND(J863="",L863="")),IF(OR(AND(L863&lt;&gt;"",NOT(ISNUMBER(L863))),IFERROR(MOD(L863,1),1)&gt;0,AND(ISNUMBER(L863),OR(L863&lt;0,L863&gt;95))),"Введите целое число от 0 до 95",IF(OR(AND(J863&lt;&gt;"",NOT(ISNUMBER(J863))),IFERROR(MOD(J863,1),1)&gt;0,AND(ISNUMBER(J863),OR(J863&lt;50,J863&gt;20000000))),"Введите целое число от 50 до 20000000",IF(NOT(ABS(IFERROR(VALUE(LEFT(M863,FIND("-",M863)-1)),M863)*100-(5000+2000000000)/2)&lt;=ABS(5000-2000000000)/2),"Цена со скидкой должна быть от 50 до 20000000",IF(IFERROR(VALUE(LEFT(M863,FIND("-",M863)-1)),M863)*229&lt;71100,"Вы уменьшили цену в несколько раз, товар попадет в карантин цен","")))),"")</f>
      </c>
    </row>
    <row r="864">
      <c r="A864" s="2" t="inlineStr">
        <is>
          <t>CuteShop</t>
        </is>
      </c>
      <c r="B864" s="2" t="inlineStr">
        <is>
          <t>Держатели для пустышек</t>
        </is>
      </c>
      <c r="C864" s="2">
        <v>111025789</v>
      </c>
      <c r="D864" s="2" t="inlineStr">
        <is>
          <t>DemidBG</t>
        </is>
      </c>
      <c r="E864" s="2" t="inlineStr">
        <is>
          <t>2037459562627</t>
        </is>
      </c>
      <c r="F864" s="2">
        <v>0</v>
      </c>
      <c r="G864" s="2">
        <v>1</v>
      </c>
      <c r="H864" s="2">
        <v>0</v>
      </c>
      <c r="I864" s="2" t="inlineStr">
        <is>
          <t>790</t>
        </is>
      </c>
      <c r="J864" s="4"/>
      <c r="K864" s="2">
        <v>10</v>
      </c>
      <c r="L864" s="6"/>
      <c r="M864" s="2" t="str">
        <f>IF(J864="",ROUND(I864*(1-IF(ISBLANK(L864),K864,L864)/100),2),ROUND(J864*(1-IF(ISBLANK(L864),K864,L864)/100),2))</f>
      </c>
      <c r="N864" s="7" t="str">
        <f>IF(NOT(AND(J864="",L864="")),IF(OR(AND(L864&lt;&gt;"",NOT(ISNUMBER(L864))),IFERROR(MOD(L864,1),1)&gt;0,AND(ISNUMBER(L864),OR(L864&lt;0,L864&gt;95))),"Введите целое число от 0 до 95",IF(OR(AND(J864&lt;&gt;"",NOT(ISNUMBER(J864))),IFERROR(MOD(J864,1),1)&gt;0,AND(ISNUMBER(J864),OR(J864&lt;50,J864&gt;20000000))),"Введите целое число от 50 до 20000000",IF(NOT(ABS(IFERROR(VALUE(LEFT(M864,FIND("-",M864)-1)),M864)*100-(5000+2000000000)/2)&lt;=ABS(5000-2000000000)/2),"Цена со скидкой должна быть от 50 до 20000000",IF(IFERROR(VALUE(LEFT(M864,FIND("-",M864)-1)),M864)*229&lt;71100,"Вы уменьшили цену в несколько раз, товар попадет в карантин цен","")))),"")</f>
      </c>
    </row>
    <row r="865">
      <c r="A865" s="2" t="inlineStr">
        <is>
          <t>CuteShop</t>
        </is>
      </c>
      <c r="B865" s="2" t="inlineStr">
        <is>
          <t>Держатели для пустышек</t>
        </is>
      </c>
      <c r="C865" s="2">
        <v>111036692</v>
      </c>
      <c r="D865" s="2" t="inlineStr">
        <is>
          <t>BogdanMishMyat</t>
        </is>
      </c>
      <c r="E865" s="2" t="inlineStr">
        <is>
          <t>2037475656621</t>
        </is>
      </c>
      <c r="F865" s="2">
        <v>0</v>
      </c>
      <c r="G865" s="2">
        <v>1</v>
      </c>
      <c r="H865" s="2" t="inlineStr">
        <is>
          <t/>
        </is>
      </c>
      <c r="I865" s="2" t="inlineStr">
        <is>
          <t>1030</t>
        </is>
      </c>
      <c r="J865" s="4"/>
      <c r="K865" s="2">
        <v>10</v>
      </c>
      <c r="L865" s="6"/>
      <c r="M865" s="2" t="str">
        <f>IF(J865="",ROUND(I865*(1-IF(ISBLANK(L865),K865,L865)/100),2),ROUND(J865*(1-IF(ISBLANK(L865),K865,L865)/100),2))</f>
      </c>
      <c r="N865" s="7" t="str">
        <f>IF(NOT(AND(J865="",L865="")),IF(OR(AND(L865&lt;&gt;"",NOT(ISNUMBER(L865))),IFERROR(MOD(L865,1),1)&gt;0,AND(ISNUMBER(L865),OR(L865&lt;0,L865&gt;95))),"Введите целое число от 0 до 95",IF(OR(AND(J865&lt;&gt;"",NOT(ISNUMBER(J865))),IFERROR(MOD(J865,1),1)&gt;0,AND(ISNUMBER(J865),OR(J865&lt;50,J865&gt;20000000))),"Введите целое число от 50 до 20000000",IF(NOT(ABS(IFERROR(VALUE(LEFT(M865,FIND("-",M865)-1)),M865)*100-(5000+2000000000)/2)&lt;=ABS(5000-2000000000)/2),"Цена со скидкой должна быть от 50 до 20000000",IF(IFERROR(VALUE(LEFT(M865,FIND("-",M865)-1)),M865)*229&lt;92700,"Вы уменьшили цену в несколько раз, товар попадет в карантин цен","")))),"")</f>
      </c>
    </row>
    <row r="866">
      <c r="A866" s="2" t="inlineStr">
        <is>
          <t/>
        </is>
      </c>
      <c r="B866" s="2" t="inlineStr">
        <is>
          <t>Держатели для пустышек</t>
        </is>
      </c>
      <c r="C866" s="2">
        <v>310018998</v>
      </c>
      <c r="D866" s="2" t="inlineStr">
        <is>
          <t>LyalyaEdin</t>
        </is>
      </c>
      <c r="E866" s="2" t="inlineStr">
        <is>
          <t>2042442333214</t>
        </is>
      </c>
      <c r="F866" s="2">
        <v>0</v>
      </c>
      <c r="G866" s="2">
        <v>0</v>
      </c>
      <c r="H866" s="2" t="inlineStr">
        <is>
          <t/>
        </is>
      </c>
      <c r="I866" s="2" t="inlineStr">
        <is>
          <t>1030</t>
        </is>
      </c>
      <c r="J866" s="4"/>
      <c r="K866" s="2">
        <v>10</v>
      </c>
      <c r="L866" s="6"/>
      <c r="M866" s="2" t="str">
        <f>IF(J866="",ROUND(I866*(1-IF(ISBLANK(L866),K866,L866)/100),2),ROUND(J866*(1-IF(ISBLANK(L866),K866,L866)/100),2))</f>
      </c>
      <c r="N866" s="7" t="str">
        <f>IF(NOT(AND(J866="",L866="")),IF(OR(AND(L866&lt;&gt;"",NOT(ISNUMBER(L866))),IFERROR(MOD(L866,1),1)&gt;0,AND(ISNUMBER(L866),OR(L866&lt;0,L866&gt;95))),"Введите целое число от 0 до 95",IF(OR(AND(J866&lt;&gt;"",NOT(ISNUMBER(J866))),IFERROR(MOD(J866,1),1)&gt;0,AND(ISNUMBER(J866),OR(J866&lt;50,J866&gt;20000000))),"Введите целое число от 50 до 20000000",IF(NOT(ABS(IFERROR(VALUE(LEFT(M866,FIND("-",M866)-1)),M866)*100-(5000+2000000000)/2)&lt;=ABS(5000-2000000000)/2),"Цена со скидкой должна быть от 50 до 20000000",IF(IFERROR(VALUE(LEFT(M866,FIND("-",M866)-1)),M866)*229&lt;92700,"Вы уменьшили цену в несколько раз, товар попадет в карантин цен","")))),"")</f>
      </c>
    </row>
    <row r="867">
      <c r="A867" s="2" t="inlineStr">
        <is>
          <t>CuteShop</t>
        </is>
      </c>
      <c r="B867" s="2" t="inlineStr">
        <is>
          <t>Держатели для пустышек</t>
        </is>
      </c>
      <c r="C867" s="2">
        <v>110575670</v>
      </c>
      <c r="D867" s="2" t="inlineStr">
        <is>
          <t>ArtemBG</t>
        </is>
      </c>
      <c r="E867" s="2" t="inlineStr">
        <is>
          <t>2036812361624</t>
        </is>
      </c>
      <c r="F867" s="2">
        <v>0</v>
      </c>
      <c r="G867" s="2">
        <v>1</v>
      </c>
      <c r="H867" s="2">
        <v>1</v>
      </c>
      <c r="I867" s="2" t="inlineStr">
        <is>
          <t>790</t>
        </is>
      </c>
      <c r="J867" s="4"/>
      <c r="K867" s="2">
        <v>10</v>
      </c>
      <c r="L867" s="6"/>
      <c r="M867" s="2" t="str">
        <f>IF(J867="",ROUND(I867*(1-IF(ISBLANK(L867),K867,L867)/100),2),ROUND(J867*(1-IF(ISBLANK(L867),K867,L867)/100),2))</f>
      </c>
      <c r="N867" s="7" t="str">
        <f>IF(NOT(AND(J867="",L867="")),IF(OR(AND(L867&lt;&gt;"",NOT(ISNUMBER(L867))),IFERROR(MOD(L867,1),1)&gt;0,AND(ISNUMBER(L867),OR(L867&lt;0,L867&gt;95))),"Введите целое число от 0 до 95",IF(OR(AND(J867&lt;&gt;"",NOT(ISNUMBER(J867))),IFERROR(MOD(J867,1),1)&gt;0,AND(ISNUMBER(J867),OR(J867&lt;50,J867&gt;20000000))),"Введите целое число от 50 до 20000000",IF(NOT(ABS(IFERROR(VALUE(LEFT(M867,FIND("-",M867)-1)),M867)*100-(5000+2000000000)/2)&lt;=ABS(5000-2000000000)/2),"Цена со скидкой должна быть от 50 до 20000000",IF(IFERROR(VALUE(LEFT(M867,FIND("-",M867)-1)),M867)*229&lt;71100,"Вы уменьшили цену в несколько раз, товар попадет в карантин цен","")))),"")</f>
      </c>
    </row>
    <row r="868">
      <c r="A868" s="2" t="inlineStr">
        <is>
          <t>CuteShop</t>
        </is>
      </c>
      <c r="B868" s="2" t="inlineStr">
        <is>
          <t>Держатели для пустышек</t>
        </is>
      </c>
      <c r="C868" s="2">
        <v>193663939</v>
      </c>
      <c r="D868" s="2" t="inlineStr">
        <is>
          <t>AlenaKotRoz</t>
        </is>
      </c>
      <c r="E868" s="2" t="inlineStr">
        <is>
          <t>2039109589879</t>
        </is>
      </c>
      <c r="F868" s="2">
        <v>0</v>
      </c>
      <c r="G868" s="2">
        <v>0</v>
      </c>
      <c r="H868" s="2" t="inlineStr">
        <is>
          <t/>
        </is>
      </c>
      <c r="I868" s="2" t="inlineStr">
        <is>
          <t>1030</t>
        </is>
      </c>
      <c r="J868" s="4"/>
      <c r="K868" s="2">
        <v>10</v>
      </c>
      <c r="L868" s="6"/>
      <c r="M868" s="2" t="str">
        <f>IF(J868="",ROUND(I868*(1-IF(ISBLANK(L868),K868,L868)/100),2),ROUND(J868*(1-IF(ISBLANK(L868),K868,L868)/100),2))</f>
      </c>
      <c r="N868" s="7" t="str">
        <f>IF(NOT(AND(J868="",L868="")),IF(OR(AND(L868&lt;&gt;"",NOT(ISNUMBER(L868))),IFERROR(MOD(L868,1),1)&gt;0,AND(ISNUMBER(L868),OR(L868&lt;0,L868&gt;95))),"Введите целое число от 0 до 95",IF(OR(AND(J868&lt;&gt;"",NOT(ISNUMBER(J868))),IFERROR(MOD(J868,1),1)&gt;0,AND(ISNUMBER(J868),OR(J868&lt;50,J868&gt;20000000))),"Введите целое число от 50 до 20000000",IF(NOT(ABS(IFERROR(VALUE(LEFT(M868,FIND("-",M868)-1)),M868)*100-(5000+2000000000)/2)&lt;=ABS(5000-2000000000)/2),"Цена со скидкой должна быть от 50 до 20000000",IF(IFERROR(VALUE(LEFT(M868,FIND("-",M868)-1)),M868)*229&lt;92700,"Вы уменьшили цену в несколько раз, товар попадет в карантин цен","")))),"")</f>
      </c>
    </row>
    <row r="869">
      <c r="A869" s="2" t="inlineStr">
        <is>
          <t>CuteShop</t>
        </is>
      </c>
      <c r="B869" s="2" t="inlineStr">
        <is>
          <t>Держатели для пустышек</t>
        </is>
      </c>
      <c r="C869" s="2">
        <v>111027200</v>
      </c>
      <c r="D869" s="2" t="inlineStr">
        <is>
          <t>AlenaBelRoz</t>
        </is>
      </c>
      <c r="E869" s="2" t="inlineStr">
        <is>
          <t>2037460052629</t>
        </is>
      </c>
      <c r="F869" s="2">
        <v>0</v>
      </c>
      <c r="G869" s="2">
        <v>0</v>
      </c>
      <c r="H869" s="2">
        <v>0</v>
      </c>
      <c r="I869" s="2" t="inlineStr">
        <is>
          <t>1030</t>
        </is>
      </c>
      <c r="J869" s="4"/>
      <c r="K869" s="2">
        <v>10</v>
      </c>
      <c r="L869" s="6"/>
      <c r="M869" s="2" t="str">
        <f>IF(J869="",ROUND(I869*(1-IF(ISBLANK(L869),K869,L869)/100),2),ROUND(J869*(1-IF(ISBLANK(L869),K869,L869)/100),2))</f>
      </c>
      <c r="N869" s="7" t="str">
        <f>IF(NOT(AND(J869="",L869="")),IF(OR(AND(L869&lt;&gt;"",NOT(ISNUMBER(L869))),IFERROR(MOD(L869,1),1)&gt;0,AND(ISNUMBER(L869),OR(L869&lt;0,L869&gt;95))),"Введите целое число от 0 до 95",IF(OR(AND(J869&lt;&gt;"",NOT(ISNUMBER(J869))),IFERROR(MOD(J869,1),1)&gt;0,AND(ISNUMBER(J869),OR(J869&lt;50,J869&gt;20000000))),"Введите целое число от 50 до 20000000",IF(NOT(ABS(IFERROR(VALUE(LEFT(M869,FIND("-",M869)-1)),M869)*100-(5000+2000000000)/2)&lt;=ABS(5000-2000000000)/2),"Цена со скидкой должна быть от 50 до 20000000",IF(IFERROR(VALUE(LEFT(M869,FIND("-",M869)-1)),M869)*229&lt;92700,"Вы уменьшили цену в несколько раз, товар попадет в карантин цен","")))),"")</f>
      </c>
    </row>
    <row r="870">
      <c r="A870" s="2" t="inlineStr">
        <is>
          <t>CuteShop</t>
        </is>
      </c>
      <c r="B870" s="2" t="inlineStr">
        <is>
          <t>Держатели для пустышек</t>
        </is>
      </c>
      <c r="C870" s="2">
        <v>117607337</v>
      </c>
      <c r="D870" s="2" t="inlineStr">
        <is>
          <t>DenisMishBlue</t>
        </is>
      </c>
      <c r="E870" s="2" t="inlineStr">
        <is>
          <t>2042146840629</t>
        </is>
      </c>
      <c r="F870" s="2">
        <v>0</v>
      </c>
      <c r="G870" s="2">
        <v>1</v>
      </c>
      <c r="H870" s="2">
        <v>0</v>
      </c>
      <c r="I870" s="2" t="inlineStr">
        <is>
          <t>1030</t>
        </is>
      </c>
      <c r="J870" s="4"/>
      <c r="K870" s="2">
        <v>10</v>
      </c>
      <c r="L870" s="6"/>
      <c r="M870" s="2" t="str">
        <f>IF(J870="",ROUND(I870*(1-IF(ISBLANK(L870),K870,L870)/100),2),ROUND(J870*(1-IF(ISBLANK(L870),K870,L870)/100),2))</f>
      </c>
      <c r="N870" s="7" t="str">
        <f>IF(NOT(AND(J870="",L870="")),IF(OR(AND(L870&lt;&gt;"",NOT(ISNUMBER(L870))),IFERROR(MOD(L870,1),1)&gt;0,AND(ISNUMBER(L870),OR(L870&lt;0,L870&gt;95))),"Введите целое число от 0 до 95",IF(OR(AND(J870&lt;&gt;"",NOT(ISNUMBER(J870))),IFERROR(MOD(J870,1),1)&gt;0,AND(ISNUMBER(J870),OR(J870&lt;50,J870&gt;20000000))),"Введите целое число от 50 до 20000000",IF(NOT(ABS(IFERROR(VALUE(LEFT(M870,FIND("-",M870)-1)),M870)*100-(5000+2000000000)/2)&lt;=ABS(5000-2000000000)/2),"Цена со скидкой должна быть от 50 до 20000000",IF(IFERROR(VALUE(LEFT(M870,FIND("-",M870)-1)),M870)*229&lt;92700,"Вы уменьшили цену в несколько раз, товар попадет в карантин цен","")))),"")</f>
      </c>
    </row>
    <row r="871">
      <c r="A871" s="2" t="inlineStr">
        <is>
          <t>CuteShop</t>
        </is>
      </c>
      <c r="B871" s="2" t="inlineStr">
        <is>
          <t>Держатели для пустышек</t>
        </is>
      </c>
      <c r="C871" s="2">
        <v>173347725</v>
      </c>
      <c r="D871" s="2" t="inlineStr">
        <is>
          <t>AminaMish</t>
        </is>
      </c>
      <c r="E871" s="2" t="inlineStr">
        <is>
          <t>2038381541070</t>
        </is>
      </c>
      <c r="F871" s="2">
        <v>0</v>
      </c>
      <c r="G871" s="2">
        <v>0</v>
      </c>
      <c r="H871" s="2" t="inlineStr">
        <is>
          <t/>
        </is>
      </c>
      <c r="I871" s="2" t="inlineStr">
        <is>
          <t>1030</t>
        </is>
      </c>
      <c r="J871" s="4"/>
      <c r="K871" s="2">
        <v>10</v>
      </c>
      <c r="L871" s="6"/>
      <c r="M871" s="2" t="str">
        <f>IF(J871="",ROUND(I871*(1-IF(ISBLANK(L871),K871,L871)/100),2),ROUND(J871*(1-IF(ISBLANK(L871),K871,L871)/100),2))</f>
      </c>
      <c r="N871" s="7" t="str">
        <f>IF(NOT(AND(J871="",L871="")),IF(OR(AND(L871&lt;&gt;"",NOT(ISNUMBER(L871))),IFERROR(MOD(L871,1),1)&gt;0,AND(ISNUMBER(L871),OR(L871&lt;0,L871&gt;95))),"Введите целое число от 0 до 95",IF(OR(AND(J871&lt;&gt;"",NOT(ISNUMBER(J871))),IFERROR(MOD(J871,1),1)&gt;0,AND(ISNUMBER(J871),OR(J871&lt;50,J871&gt;20000000))),"Введите целое число от 50 до 20000000",IF(NOT(ABS(IFERROR(VALUE(LEFT(M871,FIND("-",M871)-1)),M871)*100-(5000+2000000000)/2)&lt;=ABS(5000-2000000000)/2),"Цена со скидкой должна быть от 50 до 20000000",IF(IFERROR(VALUE(LEFT(M871,FIND("-",M871)-1)),M871)*229&lt;92700,"Вы уменьшили цену в несколько раз, товар попадет в карантин цен","")))),"")</f>
      </c>
    </row>
    <row r="872">
      <c r="A872" s="2" t="inlineStr">
        <is>
          <t>CuteShop</t>
        </is>
      </c>
      <c r="B872" s="2" t="inlineStr">
        <is>
          <t>Держатели для пустышек</t>
        </is>
      </c>
      <c r="C872" s="2">
        <v>173347726</v>
      </c>
      <c r="D872" s="2" t="inlineStr">
        <is>
          <t>AminaLis</t>
        </is>
      </c>
      <c r="E872" s="2" t="inlineStr">
        <is>
          <t>2038381542633</t>
        </is>
      </c>
      <c r="F872" s="2">
        <v>0</v>
      </c>
      <c r="G872" s="2">
        <v>0</v>
      </c>
      <c r="H872" s="2" t="inlineStr">
        <is>
          <t/>
        </is>
      </c>
      <c r="I872" s="2" t="inlineStr">
        <is>
          <t>1030</t>
        </is>
      </c>
      <c r="J872" s="4"/>
      <c r="K872" s="2">
        <v>10</v>
      </c>
      <c r="L872" s="6"/>
      <c r="M872" s="2" t="str">
        <f>IF(J872="",ROUND(I872*(1-IF(ISBLANK(L872),K872,L872)/100),2),ROUND(J872*(1-IF(ISBLANK(L872),K872,L872)/100),2))</f>
      </c>
      <c r="N872" s="7" t="str">
        <f>IF(NOT(AND(J872="",L872="")),IF(OR(AND(L872&lt;&gt;"",NOT(ISNUMBER(L872))),IFERROR(MOD(L872,1),1)&gt;0,AND(ISNUMBER(L872),OR(L872&lt;0,L872&gt;95))),"Введите целое число от 0 до 95",IF(OR(AND(J872&lt;&gt;"",NOT(ISNUMBER(J872))),IFERROR(MOD(J872,1),1)&gt;0,AND(ISNUMBER(J872),OR(J872&lt;50,J872&gt;20000000))),"Введите целое число от 50 до 20000000",IF(NOT(ABS(IFERROR(VALUE(LEFT(M872,FIND("-",M872)-1)),M872)*100-(5000+2000000000)/2)&lt;=ABS(5000-2000000000)/2),"Цена со скидкой должна быть от 50 до 20000000",IF(IFERROR(VALUE(LEFT(M872,FIND("-",M872)-1)),M872)*229&lt;92700,"Вы уменьшили цену в несколько раз, товар попадет в карантин цен","")))),"")</f>
      </c>
    </row>
    <row r="873">
      <c r="A873" s="2" t="inlineStr">
        <is>
          <t>CuteShop</t>
        </is>
      </c>
      <c r="B873" s="2" t="inlineStr">
        <is>
          <t>Держатели для пустышек</t>
        </is>
      </c>
      <c r="C873" s="2">
        <v>110868690</v>
      </c>
      <c r="D873" s="2" t="inlineStr">
        <is>
          <t>SonyaZay</t>
        </is>
      </c>
      <c r="E873" s="2" t="inlineStr">
        <is>
          <t>2037164633629</t>
        </is>
      </c>
      <c r="F873" s="2">
        <v>0</v>
      </c>
      <c r="G873" s="2">
        <v>1</v>
      </c>
      <c r="H873" s="2">
        <v>0</v>
      </c>
      <c r="I873" s="2" t="inlineStr">
        <is>
          <t>1030</t>
        </is>
      </c>
      <c r="J873" s="4"/>
      <c r="K873" s="2">
        <v>10</v>
      </c>
      <c r="L873" s="6"/>
      <c r="M873" s="2" t="str">
        <f>IF(J873="",ROUND(I873*(1-IF(ISBLANK(L873),K873,L873)/100),2),ROUND(J873*(1-IF(ISBLANK(L873),K873,L873)/100),2))</f>
      </c>
      <c r="N873" s="7" t="str">
        <f>IF(NOT(AND(J873="",L873="")),IF(OR(AND(L873&lt;&gt;"",NOT(ISNUMBER(L873))),IFERROR(MOD(L873,1),1)&gt;0,AND(ISNUMBER(L873),OR(L873&lt;0,L873&gt;95))),"Введите целое число от 0 до 95",IF(OR(AND(J873&lt;&gt;"",NOT(ISNUMBER(J873))),IFERROR(MOD(J873,1),1)&gt;0,AND(ISNUMBER(J873),OR(J873&lt;50,J873&gt;20000000))),"Введите целое число от 50 до 20000000",IF(NOT(ABS(IFERROR(VALUE(LEFT(M873,FIND("-",M873)-1)),M873)*100-(5000+2000000000)/2)&lt;=ABS(5000-2000000000)/2),"Цена со скидкой должна быть от 50 до 20000000",IF(IFERROR(VALUE(LEFT(M873,FIND("-",M873)-1)),M873)*229&lt;92700,"Вы уменьшили цену в несколько раз, товар попадет в карантин цен","")))),"")</f>
      </c>
    </row>
    <row r="874">
      <c r="A874" s="2" t="inlineStr">
        <is>
          <t>CuteShop</t>
        </is>
      </c>
      <c r="B874" s="2" t="inlineStr">
        <is>
          <t>Держатели для пустышек</t>
        </is>
      </c>
      <c r="C874" s="2">
        <v>253941034</v>
      </c>
      <c r="D874" s="2" t="inlineStr">
        <is>
          <t>AdeliyaLama</t>
        </is>
      </c>
      <c r="E874" s="2" t="inlineStr">
        <is>
          <t>2040964102868</t>
        </is>
      </c>
      <c r="F874" s="2">
        <v>0</v>
      </c>
      <c r="G874" s="2">
        <v>1</v>
      </c>
      <c r="H874" s="2" t="inlineStr">
        <is>
          <t/>
        </is>
      </c>
      <c r="I874" s="2" t="inlineStr">
        <is>
          <t>1030</t>
        </is>
      </c>
      <c r="J874" s="4"/>
      <c r="K874" s="2">
        <v>10</v>
      </c>
      <c r="L874" s="6"/>
      <c r="M874" s="2" t="str">
        <f>IF(J874="",ROUND(I874*(1-IF(ISBLANK(L874),K874,L874)/100),2),ROUND(J874*(1-IF(ISBLANK(L874),K874,L874)/100),2))</f>
      </c>
      <c r="N874" s="7" t="str">
        <f>IF(NOT(AND(J874="",L874="")),IF(OR(AND(L874&lt;&gt;"",NOT(ISNUMBER(L874))),IFERROR(MOD(L874,1),1)&gt;0,AND(ISNUMBER(L874),OR(L874&lt;0,L874&gt;95))),"Введите целое число от 0 до 95",IF(OR(AND(J874&lt;&gt;"",NOT(ISNUMBER(J874))),IFERROR(MOD(J874,1),1)&gt;0,AND(ISNUMBER(J874),OR(J874&lt;50,J874&gt;20000000))),"Введите целое число от 50 до 20000000",IF(NOT(ABS(IFERROR(VALUE(LEFT(M874,FIND("-",M874)-1)),M874)*100-(5000+2000000000)/2)&lt;=ABS(5000-2000000000)/2),"Цена со скидкой должна быть от 50 до 20000000",IF(IFERROR(VALUE(LEFT(M874,FIND("-",M874)-1)),M874)*229&lt;92700,"Вы уменьшили цену в несколько раз, товар попадет в карантин цен","")))),"")</f>
      </c>
    </row>
    <row r="875">
      <c r="A875" s="2" t="inlineStr">
        <is>
          <t>CuteShop</t>
        </is>
      </c>
      <c r="B875" s="2" t="inlineStr">
        <is>
          <t>Держатели для пустышек</t>
        </is>
      </c>
      <c r="C875" s="2">
        <v>88845696</v>
      </c>
      <c r="D875" s="2" t="inlineStr">
        <is>
          <t>AmaliyaBel</t>
        </is>
      </c>
      <c r="E875" s="2" t="inlineStr">
        <is>
          <t>2035437563628</t>
        </is>
      </c>
      <c r="F875" s="2">
        <v>0</v>
      </c>
      <c r="G875" s="2">
        <v>1</v>
      </c>
      <c r="H875" s="2">
        <v>0</v>
      </c>
      <c r="I875" s="2" t="inlineStr">
        <is>
          <t>1030</t>
        </is>
      </c>
      <c r="J875" s="4"/>
      <c r="K875" s="2">
        <v>10</v>
      </c>
      <c r="L875" s="6"/>
      <c r="M875" s="2" t="str">
        <f>IF(J875="",ROUND(I875*(1-IF(ISBLANK(L875),K875,L875)/100),2),ROUND(J875*(1-IF(ISBLANK(L875),K875,L875)/100),2))</f>
      </c>
      <c r="N875" s="7" t="str">
        <f>IF(NOT(AND(J875="",L875="")),IF(OR(AND(L875&lt;&gt;"",NOT(ISNUMBER(L875))),IFERROR(MOD(L875,1),1)&gt;0,AND(ISNUMBER(L875),OR(L875&lt;0,L875&gt;95))),"Введите целое число от 0 до 95",IF(OR(AND(J875&lt;&gt;"",NOT(ISNUMBER(J875))),IFERROR(MOD(J875,1),1)&gt;0,AND(ISNUMBER(J875),OR(J875&lt;50,J875&gt;20000000))),"Введите целое число от 50 до 20000000",IF(NOT(ABS(IFERROR(VALUE(LEFT(M875,FIND("-",M875)-1)),M875)*100-(5000+2000000000)/2)&lt;=ABS(5000-2000000000)/2),"Цена со скидкой должна быть от 50 до 20000000",IF(IFERROR(VALUE(LEFT(M875,FIND("-",M875)-1)),M875)*229&lt;92700,"Вы уменьшили цену в несколько раз, товар попадет в карантин цен","")))),"")</f>
      </c>
    </row>
    <row r="876">
      <c r="A876" s="2" t="inlineStr">
        <is>
          <t>CuteShop</t>
        </is>
      </c>
      <c r="B876" s="2" t="inlineStr">
        <is>
          <t>Держатели для пустышек</t>
        </is>
      </c>
      <c r="C876" s="2">
        <v>253914209</v>
      </c>
      <c r="D876" s="2" t="inlineStr">
        <is>
          <t>KarolinaBG</t>
        </is>
      </c>
      <c r="E876" s="2" t="inlineStr">
        <is>
          <t>2040963624941</t>
        </is>
      </c>
      <c r="F876" s="2">
        <v>0</v>
      </c>
      <c r="G876" s="2">
        <v>1</v>
      </c>
      <c r="H876" s="2" t="inlineStr">
        <is>
          <t/>
        </is>
      </c>
      <c r="I876" s="2" t="inlineStr">
        <is>
          <t>790</t>
        </is>
      </c>
      <c r="J876" s="4"/>
      <c r="K876" s="2">
        <v>10</v>
      </c>
      <c r="L876" s="6"/>
      <c r="M876" s="2" t="str">
        <f>IF(J876="",ROUND(I876*(1-IF(ISBLANK(L876),K876,L876)/100),2),ROUND(J876*(1-IF(ISBLANK(L876),K876,L876)/100),2))</f>
      </c>
      <c r="N876" s="7" t="str">
        <f>IF(NOT(AND(J876="",L876="")),IF(OR(AND(L876&lt;&gt;"",NOT(ISNUMBER(L876))),IFERROR(MOD(L876,1),1)&gt;0,AND(ISNUMBER(L876),OR(L876&lt;0,L876&gt;95))),"Введите целое число от 0 до 95",IF(OR(AND(J876&lt;&gt;"",NOT(ISNUMBER(J876))),IFERROR(MOD(J876,1),1)&gt;0,AND(ISNUMBER(J876),OR(J876&lt;50,J876&gt;20000000))),"Введите целое число от 50 до 20000000",IF(NOT(ABS(IFERROR(VALUE(LEFT(M876,FIND("-",M876)-1)),M876)*100-(5000+2000000000)/2)&lt;=ABS(5000-2000000000)/2),"Цена со скидкой должна быть от 50 до 20000000",IF(IFERROR(VALUE(LEFT(M876,FIND("-",M876)-1)),M876)*229&lt;71100,"Вы уменьшили цену в несколько раз, товар попадет в карантин цен","")))),"")</f>
      </c>
    </row>
    <row r="877">
      <c r="A877" s="2" t="inlineStr">
        <is>
          <t>CuteShop</t>
        </is>
      </c>
      <c r="B877" s="2" t="inlineStr">
        <is>
          <t>Держатели для пустышек</t>
        </is>
      </c>
      <c r="C877" s="2">
        <v>100699137</v>
      </c>
      <c r="D877" s="2" t="inlineStr">
        <is>
          <t>NazarMishSer</t>
        </is>
      </c>
      <c r="E877" s="2" t="inlineStr">
        <is>
          <t>2036814610546</t>
        </is>
      </c>
      <c r="F877" s="2">
        <v>0</v>
      </c>
      <c r="G877" s="2">
        <v>1</v>
      </c>
      <c r="H877" s="2">
        <v>0</v>
      </c>
      <c r="I877" s="2" t="inlineStr">
        <is>
          <t>1030</t>
        </is>
      </c>
      <c r="J877" s="4"/>
      <c r="K877" s="2">
        <v>10</v>
      </c>
      <c r="L877" s="6"/>
      <c r="M877" s="2" t="str">
        <f>IF(J877="",ROUND(I877*(1-IF(ISBLANK(L877),K877,L877)/100),2),ROUND(J877*(1-IF(ISBLANK(L877),K877,L877)/100),2))</f>
      </c>
      <c r="N877" s="7" t="str">
        <f>IF(NOT(AND(J877="",L877="")),IF(OR(AND(L877&lt;&gt;"",NOT(ISNUMBER(L877))),IFERROR(MOD(L877,1),1)&gt;0,AND(ISNUMBER(L877),OR(L877&lt;0,L877&gt;95))),"Введите целое число от 0 до 95",IF(OR(AND(J877&lt;&gt;"",NOT(ISNUMBER(J877))),IFERROR(MOD(J877,1),1)&gt;0,AND(ISNUMBER(J877),OR(J877&lt;50,J877&gt;20000000))),"Введите целое число от 50 до 20000000",IF(NOT(ABS(IFERROR(VALUE(LEFT(M877,FIND("-",M877)-1)),M877)*100-(5000+2000000000)/2)&lt;=ABS(5000-2000000000)/2),"Цена со скидкой должна быть от 50 до 20000000",IF(IFERROR(VALUE(LEFT(M877,FIND("-",M877)-1)),M877)*229&lt;92700,"Вы уменьшили цену в несколько раз, товар попадет в карантин цен","")))),"")</f>
      </c>
    </row>
    <row r="878">
      <c r="A878" s="2" t="inlineStr">
        <is>
          <t>CuteShop</t>
        </is>
      </c>
      <c r="B878" s="2" t="inlineStr">
        <is>
          <t>Держатели для пустышек</t>
        </is>
      </c>
      <c r="C878" s="2">
        <v>253914212</v>
      </c>
      <c r="D878" s="2" t="inlineStr">
        <is>
          <t>KarolinaMish</t>
        </is>
      </c>
      <c r="E878" s="2" t="inlineStr">
        <is>
          <t>2040963630010</t>
        </is>
      </c>
      <c r="F878" s="2">
        <v>0</v>
      </c>
      <c r="G878" s="2">
        <v>1</v>
      </c>
      <c r="H878" s="2" t="inlineStr">
        <is>
          <t/>
        </is>
      </c>
      <c r="I878" s="2" t="inlineStr">
        <is>
          <t>1030</t>
        </is>
      </c>
      <c r="J878" s="4"/>
      <c r="K878" s="2">
        <v>10</v>
      </c>
      <c r="L878" s="6"/>
      <c r="M878" s="2" t="str">
        <f>IF(J878="",ROUND(I878*(1-IF(ISBLANK(L878),K878,L878)/100),2),ROUND(J878*(1-IF(ISBLANK(L878),K878,L878)/100),2))</f>
      </c>
      <c r="N878" s="7" t="str">
        <f>IF(NOT(AND(J878="",L878="")),IF(OR(AND(L878&lt;&gt;"",NOT(ISNUMBER(L878))),IFERROR(MOD(L878,1),1)&gt;0,AND(ISNUMBER(L878),OR(L878&lt;0,L878&gt;95))),"Введите целое число от 0 до 95",IF(OR(AND(J878&lt;&gt;"",NOT(ISNUMBER(J878))),IFERROR(MOD(J878,1),1)&gt;0,AND(ISNUMBER(J878),OR(J878&lt;50,J878&gt;20000000))),"Введите целое число от 50 до 20000000",IF(NOT(ABS(IFERROR(VALUE(LEFT(M878,FIND("-",M878)-1)),M878)*100-(5000+2000000000)/2)&lt;=ABS(5000-2000000000)/2),"Цена со скидкой должна быть от 50 до 20000000",IF(IFERROR(VALUE(LEFT(M878,FIND("-",M878)-1)),M878)*229&lt;92700,"Вы уменьшили цену в несколько раз, товар попадет в карантин цен","")))),"")</f>
      </c>
    </row>
    <row r="879">
      <c r="A879" s="2" t="inlineStr">
        <is>
          <t>CuteShop</t>
        </is>
      </c>
      <c r="B879" s="2" t="inlineStr">
        <is>
          <t>Держатели для пустышек</t>
        </is>
      </c>
      <c r="C879" s="2">
        <v>210533930</v>
      </c>
      <c r="D879" s="2" t="inlineStr">
        <is>
          <t>YanochkaMish2</t>
        </is>
      </c>
      <c r="E879" s="2" t="inlineStr">
        <is>
          <t>2039514117568</t>
        </is>
      </c>
      <c r="F879" s="2">
        <v>0</v>
      </c>
      <c r="G879" s="2">
        <v>1</v>
      </c>
      <c r="H879" s="2" t="inlineStr">
        <is>
          <t/>
        </is>
      </c>
      <c r="I879" s="2" t="inlineStr">
        <is>
          <t>1030</t>
        </is>
      </c>
      <c r="J879" s="4"/>
      <c r="K879" s="2">
        <v>10</v>
      </c>
      <c r="L879" s="6"/>
      <c r="M879" s="2" t="str">
        <f>IF(J879="",ROUND(I879*(1-IF(ISBLANK(L879),K879,L879)/100),2),ROUND(J879*(1-IF(ISBLANK(L879),K879,L879)/100),2))</f>
      </c>
      <c r="N879" s="7" t="str">
        <f>IF(NOT(AND(J879="",L879="")),IF(OR(AND(L879&lt;&gt;"",NOT(ISNUMBER(L879))),IFERROR(MOD(L879,1),1)&gt;0,AND(ISNUMBER(L879),OR(L879&lt;0,L879&gt;95))),"Введите целое число от 0 до 95",IF(OR(AND(J879&lt;&gt;"",NOT(ISNUMBER(J879))),IFERROR(MOD(J879,1),1)&gt;0,AND(ISNUMBER(J879),OR(J879&lt;50,J879&gt;20000000))),"Введите целое число от 50 до 20000000",IF(NOT(ABS(IFERROR(VALUE(LEFT(M879,FIND("-",M879)-1)),M879)*100-(5000+2000000000)/2)&lt;=ABS(5000-2000000000)/2),"Цена со скидкой должна быть от 50 до 20000000",IF(IFERROR(VALUE(LEFT(M879,FIND("-",M879)-1)),M879)*229&lt;92700,"Вы уменьшили цену в несколько раз, товар попадет в карантин цен","")))),"")</f>
      </c>
    </row>
    <row r="880">
      <c r="A880" s="2" t="inlineStr">
        <is>
          <t>CuteShop</t>
        </is>
      </c>
      <c r="B880" s="2" t="inlineStr">
        <is>
          <t>Держатели для пустышек</t>
        </is>
      </c>
      <c r="C880" s="2">
        <v>110385453</v>
      </c>
      <c r="D880" s="2" t="inlineStr">
        <is>
          <t>MilanaZay</t>
        </is>
      </c>
      <c r="E880" s="2" t="inlineStr">
        <is>
          <t>2036538474622</t>
        </is>
      </c>
      <c r="F880" s="2">
        <v>0</v>
      </c>
      <c r="G880" s="2">
        <v>0</v>
      </c>
      <c r="H880" s="2">
        <v>0</v>
      </c>
      <c r="I880" s="2" t="inlineStr">
        <is>
          <t>1030</t>
        </is>
      </c>
      <c r="J880" s="4"/>
      <c r="K880" s="2">
        <v>10</v>
      </c>
      <c r="L880" s="6"/>
      <c r="M880" s="2" t="str">
        <f>IF(J880="",ROUND(I880*(1-IF(ISBLANK(L880),K880,L880)/100),2),ROUND(J880*(1-IF(ISBLANK(L880),K880,L880)/100),2))</f>
      </c>
      <c r="N880" s="7" t="str">
        <f>IF(NOT(AND(J880="",L880="")),IF(OR(AND(L880&lt;&gt;"",NOT(ISNUMBER(L880))),IFERROR(MOD(L880,1),1)&gt;0,AND(ISNUMBER(L880),OR(L880&lt;0,L880&gt;95))),"Введите целое число от 0 до 95",IF(OR(AND(J880&lt;&gt;"",NOT(ISNUMBER(J880))),IFERROR(MOD(J880,1),1)&gt;0,AND(ISNUMBER(J880),OR(J880&lt;50,J880&gt;20000000))),"Введите целое число от 50 до 20000000",IF(NOT(ABS(IFERROR(VALUE(LEFT(M880,FIND("-",M880)-1)),M880)*100-(5000+2000000000)/2)&lt;=ABS(5000-2000000000)/2),"Цена со скидкой должна быть от 50 до 20000000",IF(IFERROR(VALUE(LEFT(M880,FIND("-",M880)-1)),M880)*229&lt;92700,"Вы уменьшили цену в несколько раз, товар попадет в карантин цен","")))),"")</f>
      </c>
    </row>
    <row r="881">
      <c r="A881" s="2" t="inlineStr">
        <is>
          <t>CuteShop</t>
        </is>
      </c>
      <c r="B881" s="2" t="inlineStr">
        <is>
          <t>Держатели для пустышек</t>
        </is>
      </c>
      <c r="C881" s="2">
        <v>217977347</v>
      </c>
      <c r="D881" s="2" t="inlineStr">
        <is>
          <t>MayushaBG</t>
        </is>
      </c>
      <c r="E881" s="2" t="inlineStr">
        <is>
          <t>2039673975436</t>
        </is>
      </c>
      <c r="F881" s="2">
        <v>0</v>
      </c>
      <c r="G881" s="2">
        <v>1</v>
      </c>
      <c r="H881" s="2" t="inlineStr">
        <is>
          <t/>
        </is>
      </c>
      <c r="I881" s="2" t="inlineStr">
        <is>
          <t>790</t>
        </is>
      </c>
      <c r="J881" s="4"/>
      <c r="K881" s="2">
        <v>10</v>
      </c>
      <c r="L881" s="6"/>
      <c r="M881" s="2" t="str">
        <f>IF(J881="",ROUND(I881*(1-IF(ISBLANK(L881),K881,L881)/100),2),ROUND(J881*(1-IF(ISBLANK(L881),K881,L881)/100),2))</f>
      </c>
      <c r="N881" s="7" t="str">
        <f>IF(NOT(AND(J881="",L881="")),IF(OR(AND(L881&lt;&gt;"",NOT(ISNUMBER(L881))),IFERROR(MOD(L881,1),1)&gt;0,AND(ISNUMBER(L881),OR(L881&lt;0,L881&gt;95))),"Введите целое число от 0 до 95",IF(OR(AND(J881&lt;&gt;"",NOT(ISNUMBER(J881))),IFERROR(MOD(J881,1),1)&gt;0,AND(ISNUMBER(J881),OR(J881&lt;50,J881&gt;20000000))),"Введите целое число от 50 до 20000000",IF(NOT(ABS(IFERROR(VALUE(LEFT(M881,FIND("-",M881)-1)),M881)*100-(5000+2000000000)/2)&lt;=ABS(5000-2000000000)/2),"Цена со скидкой должна быть от 50 до 20000000",IF(IFERROR(VALUE(LEFT(M881,FIND("-",M881)-1)),M881)*229&lt;71100,"Вы уменьшили цену в несколько раз, товар попадет в карантин цен","")))),"")</f>
      </c>
    </row>
    <row r="882">
      <c r="A882" s="2" t="inlineStr">
        <is>
          <t>CuteShop</t>
        </is>
      </c>
      <c r="B882" s="2" t="inlineStr">
        <is>
          <t>Держатели для пустышек</t>
        </is>
      </c>
      <c r="C882" s="2">
        <v>156239096</v>
      </c>
      <c r="D882" s="2" t="inlineStr">
        <is>
          <t>AmeliyaMish</t>
        </is>
      </c>
      <c r="E882" s="2" t="inlineStr">
        <is>
          <t>2037706291324</t>
        </is>
      </c>
      <c r="F882" s="2">
        <v>0</v>
      </c>
      <c r="G882" s="2">
        <v>0</v>
      </c>
      <c r="H882" s="2" t="inlineStr">
        <is>
          <t/>
        </is>
      </c>
      <c r="I882" s="2" t="inlineStr">
        <is>
          <t>1030</t>
        </is>
      </c>
      <c r="J882" s="4"/>
      <c r="K882" s="2">
        <v>10</v>
      </c>
      <c r="L882" s="6"/>
      <c r="M882" s="2" t="str">
        <f>IF(J882="",ROUND(I882*(1-IF(ISBLANK(L882),K882,L882)/100),2),ROUND(J882*(1-IF(ISBLANK(L882),K882,L882)/100),2))</f>
      </c>
      <c r="N882" s="7" t="str">
        <f>IF(NOT(AND(J882="",L882="")),IF(OR(AND(L882&lt;&gt;"",NOT(ISNUMBER(L882))),IFERROR(MOD(L882,1),1)&gt;0,AND(ISNUMBER(L882),OR(L882&lt;0,L882&gt;95))),"Введите целое число от 0 до 95",IF(OR(AND(J882&lt;&gt;"",NOT(ISNUMBER(J882))),IFERROR(MOD(J882,1),1)&gt;0,AND(ISNUMBER(J882),OR(J882&lt;50,J882&gt;20000000))),"Введите целое число от 50 до 20000000",IF(NOT(ABS(IFERROR(VALUE(LEFT(M882,FIND("-",M882)-1)),M882)*100-(5000+2000000000)/2)&lt;=ABS(5000-2000000000)/2),"Цена со скидкой должна быть от 50 до 20000000",IF(IFERROR(VALUE(LEFT(M882,FIND("-",M882)-1)),M882)*229&lt;92700,"Вы уменьшили цену в несколько раз, товар попадет в карантин цен","")))),"")</f>
      </c>
    </row>
    <row r="883">
      <c r="A883" s="2" t="inlineStr">
        <is>
          <t>CuteShop</t>
        </is>
      </c>
      <c r="B883" s="2" t="inlineStr">
        <is>
          <t>Держатели для пустышек</t>
        </is>
      </c>
      <c r="C883" s="2">
        <v>160787497</v>
      </c>
      <c r="D883" s="2" t="inlineStr">
        <is>
          <t>DamirKoala</t>
        </is>
      </c>
      <c r="E883" s="2" t="inlineStr">
        <is>
          <t>2037825864799</t>
        </is>
      </c>
      <c r="F883" s="2">
        <v>0</v>
      </c>
      <c r="G883" s="2">
        <v>0</v>
      </c>
      <c r="H883" s="2">
        <v>1</v>
      </c>
      <c r="I883" s="2" t="inlineStr">
        <is>
          <t>1030</t>
        </is>
      </c>
      <c r="J883" s="4"/>
      <c r="K883" s="2">
        <v>10</v>
      </c>
      <c r="L883" s="6"/>
      <c r="M883" s="2" t="str">
        <f>IF(J883="",ROUND(I883*(1-IF(ISBLANK(L883),K883,L883)/100),2),ROUND(J883*(1-IF(ISBLANK(L883),K883,L883)/100),2))</f>
      </c>
      <c r="N883" s="7" t="str">
        <f>IF(NOT(AND(J883="",L883="")),IF(OR(AND(L883&lt;&gt;"",NOT(ISNUMBER(L883))),IFERROR(MOD(L883,1),1)&gt;0,AND(ISNUMBER(L883),OR(L883&lt;0,L883&gt;95))),"Введите целое число от 0 до 95",IF(OR(AND(J883&lt;&gt;"",NOT(ISNUMBER(J883))),IFERROR(MOD(J883,1),1)&gt;0,AND(ISNUMBER(J883),OR(J883&lt;50,J883&gt;20000000))),"Введите целое число от 50 до 20000000",IF(NOT(ABS(IFERROR(VALUE(LEFT(M883,FIND("-",M883)-1)),M883)*100-(5000+2000000000)/2)&lt;=ABS(5000-2000000000)/2),"Цена со скидкой должна быть от 50 до 20000000",IF(IFERROR(VALUE(LEFT(M883,FIND("-",M883)-1)),M883)*229&lt;92700,"Вы уменьшили цену в несколько раз, товар попадет в карантин цен","")))),"")</f>
      </c>
    </row>
    <row r="884">
      <c r="A884" s="2" t="inlineStr">
        <is>
          <t>CuteShop</t>
        </is>
      </c>
      <c r="B884" s="2" t="inlineStr">
        <is>
          <t>Держатели для пустышек</t>
        </is>
      </c>
      <c r="C884" s="2">
        <v>99297672</v>
      </c>
      <c r="D884" s="2" t="inlineStr">
        <is>
          <t>AnyutaKotenok</t>
        </is>
      </c>
      <c r="E884" s="2" t="inlineStr">
        <is>
          <t>2036797039860</t>
        </is>
      </c>
      <c r="F884" s="2">
        <v>0</v>
      </c>
      <c r="G884" s="2">
        <v>0</v>
      </c>
      <c r="H884" s="2">
        <v>0</v>
      </c>
      <c r="I884" s="2" t="inlineStr">
        <is>
          <t>1030</t>
        </is>
      </c>
      <c r="J884" s="4"/>
      <c r="K884" s="2">
        <v>10</v>
      </c>
      <c r="L884" s="6"/>
      <c r="M884" s="2" t="str">
        <f>IF(J884="",ROUND(I884*(1-IF(ISBLANK(L884),K884,L884)/100),2),ROUND(J884*(1-IF(ISBLANK(L884),K884,L884)/100),2))</f>
      </c>
      <c r="N884" s="7" t="str">
        <f>IF(NOT(AND(J884="",L884="")),IF(OR(AND(L884&lt;&gt;"",NOT(ISNUMBER(L884))),IFERROR(MOD(L884,1),1)&gt;0,AND(ISNUMBER(L884),OR(L884&lt;0,L884&gt;95))),"Введите целое число от 0 до 95",IF(OR(AND(J884&lt;&gt;"",NOT(ISNUMBER(J884))),IFERROR(MOD(J884,1),1)&gt;0,AND(ISNUMBER(J884),OR(J884&lt;50,J884&gt;20000000))),"Введите целое число от 50 до 20000000",IF(NOT(ABS(IFERROR(VALUE(LEFT(M884,FIND("-",M884)-1)),M884)*100-(5000+2000000000)/2)&lt;=ABS(5000-2000000000)/2),"Цена со скидкой должна быть от 50 до 20000000",IF(IFERROR(VALUE(LEFT(M884,FIND("-",M884)-1)),M884)*229&lt;92700,"Вы уменьшили цену в несколько раз, товар попадет в карантин цен","")))),"")</f>
      </c>
    </row>
    <row r="885">
      <c r="A885" s="2" t="inlineStr">
        <is>
          <t>CuteShop</t>
        </is>
      </c>
      <c r="B885" s="2" t="inlineStr">
        <is>
          <t>Держатели для пустышек</t>
        </is>
      </c>
      <c r="C885" s="2">
        <v>172141660</v>
      </c>
      <c r="D885" s="2" t="inlineStr">
        <is>
          <t>KameliyaEdin</t>
        </is>
      </c>
      <c r="E885" s="2" t="inlineStr">
        <is>
          <t>2038300586038</t>
        </is>
      </c>
      <c r="F885" s="2">
        <v>0</v>
      </c>
      <c r="G885" s="2">
        <v>0</v>
      </c>
      <c r="H885" s="2" t="inlineStr">
        <is>
          <t/>
        </is>
      </c>
      <c r="I885" s="2" t="inlineStr">
        <is>
          <t>1030</t>
        </is>
      </c>
      <c r="J885" s="4"/>
      <c r="K885" s="2">
        <v>10</v>
      </c>
      <c r="L885" s="6"/>
      <c r="M885" s="2" t="str">
        <f>IF(J885="",ROUND(I885*(1-IF(ISBLANK(L885),K885,L885)/100),2),ROUND(J885*(1-IF(ISBLANK(L885),K885,L885)/100),2))</f>
      </c>
      <c r="N885" s="7" t="str">
        <f>IF(NOT(AND(J885="",L885="")),IF(OR(AND(L885&lt;&gt;"",NOT(ISNUMBER(L885))),IFERROR(MOD(L885,1),1)&gt;0,AND(ISNUMBER(L885),OR(L885&lt;0,L885&gt;95))),"Введите целое число от 0 до 95",IF(OR(AND(J885&lt;&gt;"",NOT(ISNUMBER(J885))),IFERROR(MOD(J885,1),1)&gt;0,AND(ISNUMBER(J885),OR(J885&lt;50,J885&gt;20000000))),"Введите целое число от 50 до 20000000",IF(NOT(ABS(IFERROR(VALUE(LEFT(M885,FIND("-",M885)-1)),M885)*100-(5000+2000000000)/2)&lt;=ABS(5000-2000000000)/2),"Цена со скидкой должна быть от 50 до 20000000",IF(IFERROR(VALUE(LEFT(M885,FIND("-",M885)-1)),M885)*229&lt;92700,"Вы уменьшили цену в несколько раз, товар попадет в карантин цен","")))),"")</f>
      </c>
    </row>
    <row r="886">
      <c r="A886" s="2" t="inlineStr">
        <is>
          <t>CuteShop</t>
        </is>
      </c>
      <c r="B886" s="2" t="inlineStr">
        <is>
          <t>Держатели для пустышек</t>
        </is>
      </c>
      <c r="C886" s="2">
        <v>172165861</v>
      </c>
      <c r="D886" s="2" t="inlineStr">
        <is>
          <t>ArianaBG</t>
        </is>
      </c>
      <c r="E886" s="2" t="inlineStr">
        <is>
          <t>2038301577189</t>
        </is>
      </c>
      <c r="F886" s="2">
        <v>0</v>
      </c>
      <c r="G886" s="2">
        <v>1</v>
      </c>
      <c r="H886" s="2">
        <v>0</v>
      </c>
      <c r="I886" s="2" t="inlineStr">
        <is>
          <t>790</t>
        </is>
      </c>
      <c r="J886" s="4"/>
      <c r="K886" s="2">
        <v>10</v>
      </c>
      <c r="L886" s="6"/>
      <c r="M886" s="2" t="str">
        <f>IF(J886="",ROUND(I886*(1-IF(ISBLANK(L886),K886,L886)/100),2),ROUND(J886*(1-IF(ISBLANK(L886),K886,L886)/100),2))</f>
      </c>
      <c r="N886" s="7" t="str">
        <f>IF(NOT(AND(J886="",L886="")),IF(OR(AND(L886&lt;&gt;"",NOT(ISNUMBER(L886))),IFERROR(MOD(L886,1),1)&gt;0,AND(ISNUMBER(L886),OR(L886&lt;0,L886&gt;95))),"Введите целое число от 0 до 95",IF(OR(AND(J886&lt;&gt;"",NOT(ISNUMBER(J886))),IFERROR(MOD(J886,1),1)&gt;0,AND(ISNUMBER(J886),OR(J886&lt;50,J886&gt;20000000))),"Введите целое число от 50 до 20000000",IF(NOT(ABS(IFERROR(VALUE(LEFT(M886,FIND("-",M886)-1)),M886)*100-(5000+2000000000)/2)&lt;=ABS(5000-2000000000)/2),"Цена со скидкой должна быть от 50 до 20000000",IF(IFERROR(VALUE(LEFT(M886,FIND("-",M886)-1)),M886)*229&lt;71100,"Вы уменьшили цену в несколько раз, товар попадет в карантин цен","")))),"")</f>
      </c>
    </row>
    <row r="887">
      <c r="A887" s="2" t="inlineStr">
        <is>
          <t>CuteShop</t>
        </is>
      </c>
      <c r="B887" s="2" t="inlineStr">
        <is>
          <t>Держатели для пустышек</t>
        </is>
      </c>
      <c r="C887" s="2">
        <v>112358500</v>
      </c>
      <c r="D887" s="2" t="inlineStr">
        <is>
          <t>AlisaEdin2</t>
        </is>
      </c>
      <c r="E887" s="2" t="inlineStr">
        <is>
          <t>2038780904629</t>
        </is>
      </c>
      <c r="F887" s="2">
        <v>0</v>
      </c>
      <c r="G887" s="2">
        <v>0</v>
      </c>
      <c r="H887" s="2">
        <v>1</v>
      </c>
      <c r="I887" s="2" t="inlineStr">
        <is>
          <t>1030</t>
        </is>
      </c>
      <c r="J887" s="4"/>
      <c r="K887" s="2">
        <v>10</v>
      </c>
      <c r="L887" s="6"/>
      <c r="M887" s="2" t="str">
        <f>IF(J887="",ROUND(I887*(1-IF(ISBLANK(L887),K887,L887)/100),2),ROUND(J887*(1-IF(ISBLANK(L887),K887,L887)/100),2))</f>
      </c>
      <c r="N887" s="7" t="str">
        <f>IF(NOT(AND(J887="",L887="")),IF(OR(AND(L887&lt;&gt;"",NOT(ISNUMBER(L887))),IFERROR(MOD(L887,1),1)&gt;0,AND(ISNUMBER(L887),OR(L887&lt;0,L887&gt;95))),"Введите целое число от 0 до 95",IF(OR(AND(J887&lt;&gt;"",NOT(ISNUMBER(J887))),IFERROR(MOD(J887,1),1)&gt;0,AND(ISNUMBER(J887),OR(J887&lt;50,J887&gt;20000000))),"Введите целое число от 50 до 20000000",IF(NOT(ABS(IFERROR(VALUE(LEFT(M887,FIND("-",M887)-1)),M887)*100-(5000+2000000000)/2)&lt;=ABS(5000-2000000000)/2),"Цена со скидкой должна быть от 50 до 20000000",IF(IFERROR(VALUE(LEFT(M887,FIND("-",M887)-1)),M887)*229&lt;92700,"Вы уменьшили цену в несколько раз, товар попадет в карантин цен","")))),"")</f>
      </c>
    </row>
    <row r="888">
      <c r="A888" s="2" t="inlineStr">
        <is>
          <t>CuteShop</t>
        </is>
      </c>
      <c r="B888" s="2" t="inlineStr">
        <is>
          <t>Держатели для пустышек</t>
        </is>
      </c>
      <c r="C888" s="2">
        <v>89002876</v>
      </c>
      <c r="D888" s="2" t="inlineStr">
        <is>
          <t>TimurBG1</t>
        </is>
      </c>
      <c r="E888" s="2" t="inlineStr">
        <is>
          <t>2035645986622</t>
        </is>
      </c>
      <c r="F888" s="2">
        <v>0</v>
      </c>
      <c r="G888" s="2">
        <v>1</v>
      </c>
      <c r="H888" s="2">
        <v>1</v>
      </c>
      <c r="I888" s="2" t="inlineStr">
        <is>
          <t>790</t>
        </is>
      </c>
      <c r="J888" s="4"/>
      <c r="K888" s="2">
        <v>10</v>
      </c>
      <c r="L888" s="6"/>
      <c r="M888" s="2" t="str">
        <f>IF(J888="",ROUND(I888*(1-IF(ISBLANK(L888),K888,L888)/100),2),ROUND(J888*(1-IF(ISBLANK(L888),K888,L888)/100),2))</f>
      </c>
      <c r="N888" s="7" t="str">
        <f>IF(NOT(AND(J888="",L888="")),IF(OR(AND(L888&lt;&gt;"",NOT(ISNUMBER(L888))),IFERROR(MOD(L888,1),1)&gt;0,AND(ISNUMBER(L888),OR(L888&lt;0,L888&gt;95))),"Введите целое число от 0 до 95",IF(OR(AND(J888&lt;&gt;"",NOT(ISNUMBER(J888))),IFERROR(MOD(J888,1),1)&gt;0,AND(ISNUMBER(J888),OR(J888&lt;50,J888&gt;20000000))),"Введите целое число от 50 до 20000000",IF(NOT(ABS(IFERROR(VALUE(LEFT(M888,FIND("-",M888)-1)),M888)*100-(5000+2000000000)/2)&lt;=ABS(5000-2000000000)/2),"Цена со скидкой должна быть от 50 до 20000000",IF(IFERROR(VALUE(LEFT(M888,FIND("-",M888)-1)),M888)*229&lt;71100,"Вы уменьшили цену в несколько раз, товар попадет в карантин цен","")))),"")</f>
      </c>
    </row>
    <row r="889">
      <c r="A889" s="2" t="inlineStr">
        <is>
          <t>CuteShop</t>
        </is>
      </c>
      <c r="B889" s="2" t="inlineStr">
        <is>
          <t>Держатели для пустышек</t>
        </is>
      </c>
      <c r="C889" s="2">
        <v>179851864</v>
      </c>
      <c r="D889" s="2" t="inlineStr">
        <is>
          <t>AmirKot</t>
        </is>
      </c>
      <c r="E889" s="2" t="inlineStr">
        <is>
          <t>2038716193493</t>
        </is>
      </c>
      <c r="F889" s="2">
        <v>0</v>
      </c>
      <c r="G889" s="2">
        <v>0</v>
      </c>
      <c r="H889" s="2" t="inlineStr">
        <is>
          <t/>
        </is>
      </c>
      <c r="I889" s="2" t="inlineStr">
        <is>
          <t>1030</t>
        </is>
      </c>
      <c r="J889" s="4"/>
      <c r="K889" s="2">
        <v>10</v>
      </c>
      <c r="L889" s="6"/>
      <c r="M889" s="2" t="str">
        <f>IF(J889="",ROUND(I889*(1-IF(ISBLANK(L889),K889,L889)/100),2),ROUND(J889*(1-IF(ISBLANK(L889),K889,L889)/100),2))</f>
      </c>
      <c r="N889" s="7" t="str">
        <f>IF(NOT(AND(J889="",L889="")),IF(OR(AND(L889&lt;&gt;"",NOT(ISNUMBER(L889))),IFERROR(MOD(L889,1),1)&gt;0,AND(ISNUMBER(L889),OR(L889&lt;0,L889&gt;95))),"Введите целое число от 0 до 95",IF(OR(AND(J889&lt;&gt;"",NOT(ISNUMBER(J889))),IFERROR(MOD(J889,1),1)&gt;0,AND(ISNUMBER(J889),OR(J889&lt;50,J889&gt;20000000))),"Введите целое число от 50 до 20000000",IF(NOT(ABS(IFERROR(VALUE(LEFT(M889,FIND("-",M889)-1)),M889)*100-(5000+2000000000)/2)&lt;=ABS(5000-2000000000)/2),"Цена со скидкой должна быть от 50 до 20000000",IF(IFERROR(VALUE(LEFT(M889,FIND("-",M889)-1)),M889)*229&lt;92700,"Вы уменьшили цену в несколько раз, товар попадет в карантин цен","")))),"")</f>
      </c>
    </row>
    <row r="890">
      <c r="A890" s="2" t="inlineStr">
        <is>
          <t>CuteShop</t>
        </is>
      </c>
      <c r="B890" s="2" t="inlineStr">
        <is>
          <t>Держатели для пустышек</t>
        </is>
      </c>
      <c r="C890" s="2">
        <v>140341936</v>
      </c>
      <c r="D890" s="2" t="inlineStr">
        <is>
          <t>SteshaBG</t>
        </is>
      </c>
      <c r="E890" s="2" t="inlineStr">
        <is>
          <t>2037296838169</t>
        </is>
      </c>
      <c r="F890" s="2">
        <v>0</v>
      </c>
      <c r="G890" s="2">
        <v>0</v>
      </c>
      <c r="H890" s="2">
        <v>0</v>
      </c>
      <c r="I890" s="2" t="inlineStr">
        <is>
          <t>790</t>
        </is>
      </c>
      <c r="J890" s="4"/>
      <c r="K890" s="2">
        <v>10</v>
      </c>
      <c r="L890" s="6"/>
      <c r="M890" s="2" t="str">
        <f>IF(J890="",ROUND(I890*(1-IF(ISBLANK(L890),K890,L890)/100),2),ROUND(J890*(1-IF(ISBLANK(L890),K890,L890)/100),2))</f>
      </c>
      <c r="N890" s="7" t="str">
        <f>IF(NOT(AND(J890="",L890="")),IF(OR(AND(L890&lt;&gt;"",NOT(ISNUMBER(L890))),IFERROR(MOD(L890,1),1)&gt;0,AND(ISNUMBER(L890),OR(L890&lt;0,L890&gt;95))),"Введите целое число от 0 до 95",IF(OR(AND(J890&lt;&gt;"",NOT(ISNUMBER(J890))),IFERROR(MOD(J890,1),1)&gt;0,AND(ISNUMBER(J890),OR(J890&lt;50,J890&gt;20000000))),"Введите целое число от 50 до 20000000",IF(NOT(ABS(IFERROR(VALUE(LEFT(M890,FIND("-",M890)-1)),M890)*100-(5000+2000000000)/2)&lt;=ABS(5000-2000000000)/2),"Цена со скидкой должна быть от 50 до 20000000",IF(IFERROR(VALUE(LEFT(M890,FIND("-",M890)-1)),M890)*229&lt;71100,"Вы уменьшили цену в несколько раз, товар попадет в карантин цен","")))),"")</f>
      </c>
    </row>
    <row r="891">
      <c r="A891" s="2" t="inlineStr">
        <is>
          <t>CuteShop</t>
        </is>
      </c>
      <c r="B891" s="2" t="inlineStr">
        <is>
          <t>Держатели для пустышек</t>
        </is>
      </c>
      <c r="C891" s="2">
        <v>111028613</v>
      </c>
      <c r="D891" s="2" t="inlineStr">
        <is>
          <t>AmeliyaLis</t>
        </is>
      </c>
      <c r="E891" s="2" t="inlineStr">
        <is>
          <t>2037460780621</t>
        </is>
      </c>
      <c r="F891" s="2">
        <v>0</v>
      </c>
      <c r="G891" s="2">
        <v>0</v>
      </c>
      <c r="H891" s="2">
        <v>0</v>
      </c>
      <c r="I891" s="2" t="inlineStr">
        <is>
          <t>1030</t>
        </is>
      </c>
      <c r="J891" s="4"/>
      <c r="K891" s="2">
        <v>10</v>
      </c>
      <c r="L891" s="6"/>
      <c r="M891" s="2" t="str">
        <f>IF(J891="",ROUND(I891*(1-IF(ISBLANK(L891),K891,L891)/100),2),ROUND(J891*(1-IF(ISBLANK(L891),K891,L891)/100),2))</f>
      </c>
      <c r="N891" s="7" t="str">
        <f>IF(NOT(AND(J891="",L891="")),IF(OR(AND(L891&lt;&gt;"",NOT(ISNUMBER(L891))),IFERROR(MOD(L891,1),1)&gt;0,AND(ISNUMBER(L891),OR(L891&lt;0,L891&gt;95))),"Введите целое число от 0 до 95",IF(OR(AND(J891&lt;&gt;"",NOT(ISNUMBER(J891))),IFERROR(MOD(J891,1),1)&gt;0,AND(ISNUMBER(J891),OR(J891&lt;50,J891&gt;20000000))),"Введите целое число от 50 до 20000000",IF(NOT(ABS(IFERROR(VALUE(LEFT(M891,FIND("-",M891)-1)),M891)*100-(5000+2000000000)/2)&lt;=ABS(5000-2000000000)/2),"Цена со скидкой должна быть от 50 до 20000000",IF(IFERROR(VALUE(LEFT(M891,FIND("-",M891)-1)),M891)*229&lt;92700,"Вы уменьшили цену в несколько раз, товар попадет в карантин цен","")))),"")</f>
      </c>
    </row>
    <row r="892">
      <c r="A892" s="2" t="inlineStr">
        <is>
          <t>CuteShop</t>
        </is>
      </c>
      <c r="B892" s="2" t="inlineStr">
        <is>
          <t>Держатели для пустышек</t>
        </is>
      </c>
      <c r="C892" s="2">
        <v>156237728</v>
      </c>
      <c r="D892" s="2" t="inlineStr">
        <is>
          <t>AmeliyaZay</t>
        </is>
      </c>
      <c r="E892" s="2" t="inlineStr">
        <is>
          <t>2037706270954</t>
        </is>
      </c>
      <c r="F892" s="2">
        <v>0</v>
      </c>
      <c r="G892" s="2">
        <v>0</v>
      </c>
      <c r="H892" s="2">
        <v>0</v>
      </c>
      <c r="I892" s="2" t="inlineStr">
        <is>
          <t>1030</t>
        </is>
      </c>
      <c r="J892" s="4"/>
      <c r="K892" s="2">
        <v>10</v>
      </c>
      <c r="L892" s="6"/>
      <c r="M892" s="2" t="str">
        <f>IF(J892="",ROUND(I892*(1-IF(ISBLANK(L892),K892,L892)/100),2),ROUND(J892*(1-IF(ISBLANK(L892),K892,L892)/100),2))</f>
      </c>
      <c r="N892" s="7" t="str">
        <f>IF(NOT(AND(J892="",L892="")),IF(OR(AND(L892&lt;&gt;"",NOT(ISNUMBER(L892))),IFERROR(MOD(L892,1),1)&gt;0,AND(ISNUMBER(L892),OR(L892&lt;0,L892&gt;95))),"Введите целое число от 0 до 95",IF(OR(AND(J892&lt;&gt;"",NOT(ISNUMBER(J892))),IFERROR(MOD(J892,1),1)&gt;0,AND(ISNUMBER(J892),OR(J892&lt;50,J892&gt;20000000))),"Введите целое число от 50 до 20000000",IF(NOT(ABS(IFERROR(VALUE(LEFT(M892,FIND("-",M892)-1)),M892)*100-(5000+2000000000)/2)&lt;=ABS(5000-2000000000)/2),"Цена со скидкой должна быть от 50 до 20000000",IF(IFERROR(VALUE(LEFT(M892,FIND("-",M892)-1)),M892)*229&lt;92700,"Вы уменьшили цену в несколько раз, товар попадет в карантин цен","")))),"")</f>
      </c>
    </row>
    <row r="893">
      <c r="A893" s="2" t="inlineStr">
        <is>
          <t>CuteShop</t>
        </is>
      </c>
      <c r="B893" s="2" t="inlineStr">
        <is>
          <t>Держатели для пустышек</t>
        </is>
      </c>
      <c r="C893" s="2">
        <v>111018810</v>
      </c>
      <c r="D893" s="2" t="inlineStr">
        <is>
          <t>DashulyaMish</t>
        </is>
      </c>
      <c r="E893" s="2" t="inlineStr">
        <is>
          <t>2037427067628</t>
        </is>
      </c>
      <c r="F893" s="2">
        <v>0</v>
      </c>
      <c r="G893" s="2">
        <v>1</v>
      </c>
      <c r="H893" s="2">
        <v>0</v>
      </c>
      <c r="I893" s="2" t="inlineStr">
        <is>
          <t>1030</t>
        </is>
      </c>
      <c r="J893" s="4"/>
      <c r="K893" s="2">
        <v>10</v>
      </c>
      <c r="L893" s="6"/>
      <c r="M893" s="2" t="str">
        <f>IF(J893="",ROUND(I893*(1-IF(ISBLANK(L893),K893,L893)/100),2),ROUND(J893*(1-IF(ISBLANK(L893),K893,L893)/100),2))</f>
      </c>
      <c r="N893" s="7" t="str">
        <f>IF(NOT(AND(J893="",L893="")),IF(OR(AND(L893&lt;&gt;"",NOT(ISNUMBER(L893))),IFERROR(MOD(L893,1),1)&gt;0,AND(ISNUMBER(L893),OR(L893&lt;0,L893&gt;95))),"Введите целое число от 0 до 95",IF(OR(AND(J893&lt;&gt;"",NOT(ISNUMBER(J893))),IFERROR(MOD(J893,1),1)&gt;0,AND(ISNUMBER(J893),OR(J893&lt;50,J893&gt;20000000))),"Введите целое число от 50 до 20000000",IF(NOT(ABS(IFERROR(VALUE(LEFT(M893,FIND("-",M893)-1)),M893)*100-(5000+2000000000)/2)&lt;=ABS(5000-2000000000)/2),"Цена со скидкой должна быть от 50 до 20000000",IF(IFERROR(VALUE(LEFT(M893,FIND("-",M893)-1)),M893)*229&lt;92700,"Вы уменьшили цену в несколько раз, товар попадет в карантин цен","")))),"")</f>
      </c>
    </row>
    <row r="894">
      <c r="A894" s="2" t="inlineStr">
        <is>
          <t>CuteShop</t>
        </is>
      </c>
      <c r="B894" s="2" t="inlineStr">
        <is>
          <t>Держатели для пустышек</t>
        </is>
      </c>
      <c r="C894" s="2">
        <v>216433549</v>
      </c>
      <c r="D894" s="2" t="inlineStr">
        <is>
          <t>AlisaLis</t>
        </is>
      </c>
      <c r="E894" s="2" t="inlineStr">
        <is>
          <t>2039640850766</t>
        </is>
      </c>
      <c r="F894" s="2">
        <v>0</v>
      </c>
      <c r="G894" s="2">
        <v>0</v>
      </c>
      <c r="H894" s="2" t="inlineStr">
        <is>
          <t/>
        </is>
      </c>
      <c r="I894" s="2" t="inlineStr">
        <is>
          <t>1030</t>
        </is>
      </c>
      <c r="J894" s="4"/>
      <c r="K894" s="2">
        <v>10</v>
      </c>
      <c r="L894" s="6"/>
      <c r="M894" s="2" t="str">
        <f>IF(J894="",ROUND(I894*(1-IF(ISBLANK(L894),K894,L894)/100),2),ROUND(J894*(1-IF(ISBLANK(L894),K894,L894)/100),2))</f>
      </c>
      <c r="N894" s="7" t="str">
        <f>IF(NOT(AND(J894="",L894="")),IF(OR(AND(L894&lt;&gt;"",NOT(ISNUMBER(L894))),IFERROR(MOD(L894,1),1)&gt;0,AND(ISNUMBER(L894),OR(L894&lt;0,L894&gt;95))),"Введите целое число от 0 до 95",IF(OR(AND(J894&lt;&gt;"",NOT(ISNUMBER(J894))),IFERROR(MOD(J894,1),1)&gt;0,AND(ISNUMBER(J894),OR(J894&lt;50,J894&gt;20000000))),"Введите целое число от 50 до 20000000",IF(NOT(ABS(IFERROR(VALUE(LEFT(M894,FIND("-",M894)-1)),M894)*100-(5000+2000000000)/2)&lt;=ABS(5000-2000000000)/2),"Цена со скидкой должна быть от 50 до 20000000",IF(IFERROR(VALUE(LEFT(M894,FIND("-",M894)-1)),M894)*229&lt;92700,"Вы уменьшили цену в несколько раз, товар попадет в карантин цен","")))),"")</f>
      </c>
    </row>
    <row r="895">
      <c r="A895" s="2" t="inlineStr">
        <is>
          <t>CuteShop</t>
        </is>
      </c>
      <c r="B895" s="2" t="inlineStr">
        <is>
          <t>Держатели для пустышек</t>
        </is>
      </c>
      <c r="C895" s="2">
        <v>110575671</v>
      </c>
      <c r="D895" s="2" t="inlineStr">
        <is>
          <t>ArtemKoalaBir</t>
        </is>
      </c>
      <c r="E895" s="2" t="inlineStr">
        <is>
          <t>2036812773625</t>
        </is>
      </c>
      <c r="F895" s="2">
        <v>0</v>
      </c>
      <c r="G895" s="2">
        <v>0</v>
      </c>
      <c r="H895" s="2">
        <v>26</v>
      </c>
      <c r="I895" s="2" t="inlineStr">
        <is>
          <t>1030</t>
        </is>
      </c>
      <c r="J895" s="4"/>
      <c r="K895" s="2">
        <v>10</v>
      </c>
      <c r="L895" s="6"/>
      <c r="M895" s="2" t="str">
        <f>IF(J895="",ROUND(I895*(1-IF(ISBLANK(L895),K895,L895)/100),2),ROUND(J895*(1-IF(ISBLANK(L895),K895,L895)/100),2))</f>
      </c>
      <c r="N895" s="7" t="str">
        <f>IF(NOT(AND(J895="",L895="")),IF(OR(AND(L895&lt;&gt;"",NOT(ISNUMBER(L895))),IFERROR(MOD(L895,1),1)&gt;0,AND(ISNUMBER(L895),OR(L895&lt;0,L895&gt;95))),"Введите целое число от 0 до 95",IF(OR(AND(J895&lt;&gt;"",NOT(ISNUMBER(J895))),IFERROR(MOD(J895,1),1)&gt;0,AND(ISNUMBER(J895),OR(J895&lt;50,J895&gt;20000000))),"Введите целое число от 50 до 20000000",IF(NOT(ABS(IFERROR(VALUE(LEFT(M895,FIND("-",M895)-1)),M895)*100-(5000+2000000000)/2)&lt;=ABS(5000-2000000000)/2),"Цена со скидкой должна быть от 50 до 20000000",IF(IFERROR(VALUE(LEFT(M895,FIND("-",M895)-1)),M895)*229&lt;92700,"Вы уменьшили цену в несколько раз, товар попадет в карантин цен","")))),"")</f>
      </c>
    </row>
    <row r="896">
      <c r="A896" s="2" t="inlineStr">
        <is>
          <t>CuteShop</t>
        </is>
      </c>
      <c r="B896" s="2" t="inlineStr">
        <is>
          <t>Держатели для пустышек</t>
        </is>
      </c>
      <c r="C896" s="2">
        <v>111032797</v>
      </c>
      <c r="D896" s="2" t="inlineStr">
        <is>
          <t>ZlataBG</t>
        </is>
      </c>
      <c r="E896" s="2" t="inlineStr">
        <is>
          <t>2037466567622</t>
        </is>
      </c>
      <c r="F896" s="2">
        <v>0</v>
      </c>
      <c r="G896" s="2">
        <v>1</v>
      </c>
      <c r="H896" s="2">
        <v>0</v>
      </c>
      <c r="I896" s="2" t="inlineStr">
        <is>
          <t>790</t>
        </is>
      </c>
      <c r="J896" s="4"/>
      <c r="K896" s="2">
        <v>10</v>
      </c>
      <c r="L896" s="6"/>
      <c r="M896" s="2" t="str">
        <f>IF(J896="",ROUND(I896*(1-IF(ISBLANK(L896),K896,L896)/100),2),ROUND(J896*(1-IF(ISBLANK(L896),K896,L896)/100),2))</f>
      </c>
      <c r="N896" s="7" t="str">
        <f>IF(NOT(AND(J896="",L896="")),IF(OR(AND(L896&lt;&gt;"",NOT(ISNUMBER(L896))),IFERROR(MOD(L896,1),1)&gt;0,AND(ISNUMBER(L896),OR(L896&lt;0,L896&gt;95))),"Введите целое число от 0 до 95",IF(OR(AND(J896&lt;&gt;"",NOT(ISNUMBER(J896))),IFERROR(MOD(J896,1),1)&gt;0,AND(ISNUMBER(J896),OR(J896&lt;50,J896&gt;20000000))),"Введите целое число от 50 до 20000000",IF(NOT(ABS(IFERROR(VALUE(LEFT(M896,FIND("-",M896)-1)),M896)*100-(5000+2000000000)/2)&lt;=ABS(5000-2000000000)/2),"Цена со скидкой должна быть от 50 до 20000000",IF(IFERROR(VALUE(LEFT(M896,FIND("-",M896)-1)),M896)*229&lt;71100,"Вы уменьшили цену в несколько раз, товар попадет в карантин цен","")))),"")</f>
      </c>
    </row>
    <row r="897">
      <c r="A897" s="2" t="inlineStr">
        <is>
          <t>CuteShop</t>
        </is>
      </c>
      <c r="B897" s="2" t="inlineStr">
        <is>
          <t>Держатели для пустышек</t>
        </is>
      </c>
      <c r="C897" s="2">
        <v>228594139</v>
      </c>
      <c r="D897" s="2" t="inlineStr">
        <is>
          <t>KamillaLis</t>
        </is>
      </c>
      <c r="E897" s="2" t="inlineStr">
        <is>
          <t>2039921365712</t>
        </is>
      </c>
      <c r="F897" s="2">
        <v>0</v>
      </c>
      <c r="G897" s="2">
        <v>1</v>
      </c>
      <c r="H897" s="2" t="inlineStr">
        <is>
          <t/>
        </is>
      </c>
      <c r="I897" s="2" t="inlineStr">
        <is>
          <t>1030</t>
        </is>
      </c>
      <c r="J897" s="4"/>
      <c r="K897" s="2">
        <v>10</v>
      </c>
      <c r="L897" s="6"/>
      <c r="M897" s="2" t="str">
        <f>IF(J897="",ROUND(I897*(1-IF(ISBLANK(L897),K897,L897)/100),2),ROUND(J897*(1-IF(ISBLANK(L897),K897,L897)/100),2))</f>
      </c>
      <c r="N897" s="7" t="str">
        <f>IF(NOT(AND(J897="",L897="")),IF(OR(AND(L897&lt;&gt;"",NOT(ISNUMBER(L897))),IFERROR(MOD(L897,1),1)&gt;0,AND(ISNUMBER(L897),OR(L897&lt;0,L897&gt;95))),"Введите целое число от 0 до 95",IF(OR(AND(J897&lt;&gt;"",NOT(ISNUMBER(J897))),IFERROR(MOD(J897,1),1)&gt;0,AND(ISNUMBER(J897),OR(J897&lt;50,J897&gt;20000000))),"Введите целое число от 50 до 20000000",IF(NOT(ABS(IFERROR(VALUE(LEFT(M897,FIND("-",M897)-1)),M897)*100-(5000+2000000000)/2)&lt;=ABS(5000-2000000000)/2),"Цена со скидкой должна быть от 50 до 20000000",IF(IFERROR(VALUE(LEFT(M897,FIND("-",M897)-1)),M897)*229&lt;92700,"Вы уменьшили цену в несколько раз, товар попадет в карантин цен","")))),"")</f>
      </c>
    </row>
    <row r="898">
      <c r="A898" s="2" t="inlineStr">
        <is>
          <t>CuteShop</t>
        </is>
      </c>
      <c r="B898" s="2" t="inlineStr">
        <is>
          <t>Держатели для пустышек</t>
        </is>
      </c>
      <c r="C898" s="2">
        <v>110868688</v>
      </c>
      <c r="D898" s="2" t="inlineStr">
        <is>
          <t>SonyaBG</t>
        </is>
      </c>
      <c r="E898" s="2" t="inlineStr">
        <is>
          <t>2037164614628</t>
        </is>
      </c>
      <c r="F898" s="2">
        <v>0</v>
      </c>
      <c r="G898" s="2">
        <v>1</v>
      </c>
      <c r="H898" s="2">
        <v>0</v>
      </c>
      <c r="I898" s="2" t="inlineStr">
        <is>
          <t>800</t>
        </is>
      </c>
      <c r="J898" s="4"/>
      <c r="K898" s="2">
        <v>10</v>
      </c>
      <c r="L898" s="6"/>
      <c r="M898" s="2" t="str">
        <f>IF(J898="",ROUND(I898*(1-IF(ISBLANK(L898),K898,L898)/100),2),ROUND(J898*(1-IF(ISBLANK(L898),K898,L898)/100),2))</f>
      </c>
      <c r="N898" s="7" t="str">
        <f>IF(NOT(AND(J898="",L898="")),IF(OR(AND(L898&lt;&gt;"",NOT(ISNUMBER(L898))),IFERROR(MOD(L898,1),1)&gt;0,AND(ISNUMBER(L898),OR(L898&lt;0,L898&gt;95))),"Введите целое число от 0 до 95",IF(OR(AND(J898&lt;&gt;"",NOT(ISNUMBER(J898))),IFERROR(MOD(J898,1),1)&gt;0,AND(ISNUMBER(J898),OR(J898&lt;50,J898&gt;20000000))),"Введите целое число от 50 до 20000000",IF(NOT(ABS(IFERROR(VALUE(LEFT(M898,FIND("-",M898)-1)),M898)*100-(5000+2000000000)/2)&lt;=ABS(5000-2000000000)/2),"Цена со скидкой должна быть от 50 до 20000000",IF(IFERROR(VALUE(LEFT(M898,FIND("-",M898)-1)),M898)*229&lt;72000,"Вы уменьшили цену в несколько раз, товар попадет в карантин цен","")))),"")</f>
      </c>
    </row>
    <row r="899">
      <c r="A899" s="2" t="inlineStr">
        <is>
          <t>CuteShop</t>
        </is>
      </c>
      <c r="B899" s="2" t="inlineStr">
        <is>
          <t>Держатели для пустышек</t>
        </is>
      </c>
      <c r="C899" s="2">
        <v>112371117</v>
      </c>
      <c r="D899" s="2" t="inlineStr">
        <is>
          <t>SenyaArsLis</t>
        </is>
      </c>
      <c r="E899" s="2" t="inlineStr">
        <is>
          <t>2038782770628</t>
        </is>
      </c>
      <c r="F899" s="2">
        <v>0</v>
      </c>
      <c r="G899" s="2">
        <v>0</v>
      </c>
      <c r="H899" s="2">
        <v>0</v>
      </c>
      <c r="I899" s="2" t="inlineStr">
        <is>
          <t>1030</t>
        </is>
      </c>
      <c r="J899" s="4"/>
      <c r="K899" s="2">
        <v>10</v>
      </c>
      <c r="L899" s="6"/>
      <c r="M899" s="2" t="str">
        <f>IF(J899="",ROUND(I899*(1-IF(ISBLANK(L899),K899,L899)/100),2),ROUND(J899*(1-IF(ISBLANK(L899),K899,L899)/100),2))</f>
      </c>
      <c r="N899" s="7" t="str">
        <f>IF(NOT(AND(J899="",L899="")),IF(OR(AND(L899&lt;&gt;"",NOT(ISNUMBER(L899))),IFERROR(MOD(L899,1),1)&gt;0,AND(ISNUMBER(L899),OR(L899&lt;0,L899&gt;95))),"Введите целое число от 0 до 95",IF(OR(AND(J899&lt;&gt;"",NOT(ISNUMBER(J899))),IFERROR(MOD(J899,1),1)&gt;0,AND(ISNUMBER(J899),OR(J899&lt;50,J899&gt;20000000))),"Введите целое число от 50 до 20000000",IF(NOT(ABS(IFERROR(VALUE(LEFT(M899,FIND("-",M899)-1)),M899)*100-(5000+2000000000)/2)&lt;=ABS(5000-2000000000)/2),"Цена со скидкой должна быть от 50 до 20000000",IF(IFERROR(VALUE(LEFT(M899,FIND("-",M899)-1)),M899)*229&lt;92700,"Вы уменьшили цену в несколько раз, товар попадет в карантин цен","")))),"")</f>
      </c>
    </row>
    <row r="900">
      <c r="A900" s="2" t="inlineStr">
        <is>
          <t>CuteShop</t>
        </is>
      </c>
      <c r="B900" s="2" t="inlineStr">
        <is>
          <t>Держатели для пустышек</t>
        </is>
      </c>
      <c r="C900" s="2">
        <v>112600160</v>
      </c>
      <c r="D900" s="2" t="inlineStr">
        <is>
          <t>EmiliyaMishRoz</t>
        </is>
      </c>
      <c r="E900" s="2" t="inlineStr">
        <is>
          <t>2038874924625</t>
        </is>
      </c>
      <c r="F900" s="2">
        <v>0</v>
      </c>
      <c r="G900" s="2">
        <v>1</v>
      </c>
      <c r="H900" s="2">
        <v>0</v>
      </c>
      <c r="I900" s="2" t="inlineStr">
        <is>
          <t>1030</t>
        </is>
      </c>
      <c r="J900" s="4"/>
      <c r="K900" s="2">
        <v>10</v>
      </c>
      <c r="L900" s="6"/>
      <c r="M900" s="2" t="str">
        <f>IF(J900="",ROUND(I900*(1-IF(ISBLANK(L900),K900,L900)/100),2),ROUND(J900*(1-IF(ISBLANK(L900),K900,L900)/100),2))</f>
      </c>
      <c r="N900" s="7" t="str">
        <f>IF(NOT(AND(J900="",L900="")),IF(OR(AND(L900&lt;&gt;"",NOT(ISNUMBER(L900))),IFERROR(MOD(L900,1),1)&gt;0,AND(ISNUMBER(L900),OR(L900&lt;0,L900&gt;95))),"Введите целое число от 0 до 95",IF(OR(AND(J900&lt;&gt;"",NOT(ISNUMBER(J900))),IFERROR(MOD(J900,1),1)&gt;0,AND(ISNUMBER(J900),OR(J900&lt;50,J900&gt;20000000))),"Введите целое число от 50 до 20000000",IF(NOT(ABS(IFERROR(VALUE(LEFT(M900,FIND("-",M900)-1)),M900)*100-(5000+2000000000)/2)&lt;=ABS(5000-2000000000)/2),"Цена со скидкой должна быть от 50 до 20000000",IF(IFERROR(VALUE(LEFT(M900,FIND("-",M900)-1)),M900)*229&lt;92700,"Вы уменьшили цену в несколько раз, товар попадет в карантин цен","")))),"")</f>
      </c>
    </row>
    <row r="901">
      <c r="A901" s="2" t="inlineStr">
        <is>
          <t>CuteShop</t>
        </is>
      </c>
      <c r="B901" s="2" t="inlineStr">
        <is>
          <t>Держатели для пустышек</t>
        </is>
      </c>
      <c r="C901" s="2">
        <v>112600157</v>
      </c>
      <c r="D901" s="2" t="inlineStr">
        <is>
          <t>EmiliyaBG</t>
        </is>
      </c>
      <c r="E901" s="2" t="inlineStr">
        <is>
          <t>2038874866628</t>
        </is>
      </c>
      <c r="F901" s="2">
        <v>0</v>
      </c>
      <c r="G901" s="2">
        <v>1</v>
      </c>
      <c r="H901" s="2">
        <v>0</v>
      </c>
      <c r="I901" s="2" t="inlineStr">
        <is>
          <t>790</t>
        </is>
      </c>
      <c r="J901" s="4"/>
      <c r="K901" s="2">
        <v>10</v>
      </c>
      <c r="L901" s="6"/>
      <c r="M901" s="2" t="str">
        <f>IF(J901="",ROUND(I901*(1-IF(ISBLANK(L901),K901,L901)/100),2),ROUND(J901*(1-IF(ISBLANK(L901),K901,L901)/100),2))</f>
      </c>
      <c r="N901" s="7" t="str">
        <f>IF(NOT(AND(J901="",L901="")),IF(OR(AND(L901&lt;&gt;"",NOT(ISNUMBER(L901))),IFERROR(MOD(L901,1),1)&gt;0,AND(ISNUMBER(L901),OR(L901&lt;0,L901&gt;95))),"Введите целое число от 0 до 95",IF(OR(AND(J901&lt;&gt;"",NOT(ISNUMBER(J901))),IFERROR(MOD(J901,1),1)&gt;0,AND(ISNUMBER(J901),OR(J901&lt;50,J901&gt;20000000))),"Введите целое число от 50 до 20000000",IF(NOT(ABS(IFERROR(VALUE(LEFT(M901,FIND("-",M901)-1)),M901)*100-(5000+2000000000)/2)&lt;=ABS(5000-2000000000)/2),"Цена со скидкой должна быть от 50 до 20000000",IF(IFERROR(VALUE(LEFT(M901,FIND("-",M901)-1)),M901)*229&lt;71100,"Вы уменьшили цену в несколько раз, товар попадет в карантин цен","")))),"")</f>
      </c>
    </row>
    <row r="902">
      <c r="A902" s="2" t="inlineStr">
        <is>
          <t>CuteShop</t>
        </is>
      </c>
      <c r="B902" s="2" t="inlineStr">
        <is>
          <t>Держатели для пустышек</t>
        </is>
      </c>
      <c r="C902" s="2">
        <v>228594140</v>
      </c>
      <c r="D902" s="2" t="inlineStr">
        <is>
          <t>KamillaMish</t>
        </is>
      </c>
      <c r="E902" s="2" t="inlineStr">
        <is>
          <t>2039921365804</t>
        </is>
      </c>
      <c r="F902" s="2">
        <v>0</v>
      </c>
      <c r="G902" s="2">
        <v>1</v>
      </c>
      <c r="H902" s="2" t="inlineStr">
        <is>
          <t/>
        </is>
      </c>
      <c r="I902" s="2" t="inlineStr">
        <is>
          <t>1030</t>
        </is>
      </c>
      <c r="J902" s="4"/>
      <c r="K902" s="2">
        <v>10</v>
      </c>
      <c r="L902" s="6"/>
      <c r="M902" s="2" t="str">
        <f>IF(J902="",ROUND(I902*(1-IF(ISBLANK(L902),K902,L902)/100),2),ROUND(J902*(1-IF(ISBLANK(L902),K902,L902)/100),2))</f>
      </c>
      <c r="N902" s="7" t="str">
        <f>IF(NOT(AND(J902="",L902="")),IF(OR(AND(L902&lt;&gt;"",NOT(ISNUMBER(L902))),IFERROR(MOD(L902,1),1)&gt;0,AND(ISNUMBER(L902),OR(L902&lt;0,L902&gt;95))),"Введите целое число от 0 до 95",IF(OR(AND(J902&lt;&gt;"",NOT(ISNUMBER(J902))),IFERROR(MOD(J902,1),1)&gt;0,AND(ISNUMBER(J902),OR(J902&lt;50,J902&gt;20000000))),"Введите целое число от 50 до 20000000",IF(NOT(ABS(IFERROR(VALUE(LEFT(M902,FIND("-",M902)-1)),M902)*100-(5000+2000000000)/2)&lt;=ABS(5000-2000000000)/2),"Цена со скидкой должна быть от 50 до 20000000",IF(IFERROR(VALUE(LEFT(M902,FIND("-",M902)-1)),M902)*229&lt;92700,"Вы уменьшили цену в несколько раз, товар попадет в карантин цен","")))),"")</f>
      </c>
    </row>
    <row r="903">
      <c r="A903" s="2" t="inlineStr">
        <is>
          <t>CuteShop</t>
        </is>
      </c>
      <c r="B903" s="2" t="inlineStr">
        <is>
          <t>Держатели для пустышек</t>
        </is>
      </c>
      <c r="C903" s="2">
        <v>179840659</v>
      </c>
      <c r="D903" s="2" t="inlineStr">
        <is>
          <t>AmirBG</t>
        </is>
      </c>
      <c r="E903" s="2" t="inlineStr">
        <is>
          <t>2038715880066</t>
        </is>
      </c>
      <c r="F903" s="2">
        <v>0</v>
      </c>
      <c r="G903" s="2">
        <v>1</v>
      </c>
      <c r="H903" s="2">
        <v>1</v>
      </c>
      <c r="I903" s="2" t="inlineStr">
        <is>
          <t>790</t>
        </is>
      </c>
      <c r="J903" s="4"/>
      <c r="K903" s="2">
        <v>10</v>
      </c>
      <c r="L903" s="6"/>
      <c r="M903" s="2" t="str">
        <f>IF(J903="",ROUND(I903*(1-IF(ISBLANK(L903),K903,L903)/100),2),ROUND(J903*(1-IF(ISBLANK(L903),K903,L903)/100),2))</f>
      </c>
      <c r="N903" s="7" t="str">
        <f>IF(NOT(AND(J903="",L903="")),IF(OR(AND(L903&lt;&gt;"",NOT(ISNUMBER(L903))),IFERROR(MOD(L903,1),1)&gt;0,AND(ISNUMBER(L903),OR(L903&lt;0,L903&gt;95))),"Введите целое число от 0 до 95",IF(OR(AND(J903&lt;&gt;"",NOT(ISNUMBER(J903))),IFERROR(MOD(J903,1),1)&gt;0,AND(ISNUMBER(J903),OR(J903&lt;50,J903&gt;20000000))),"Введите целое число от 50 до 20000000",IF(NOT(ABS(IFERROR(VALUE(LEFT(M903,FIND("-",M903)-1)),M903)*100-(5000+2000000000)/2)&lt;=ABS(5000-2000000000)/2),"Цена со скидкой должна быть от 50 до 20000000",IF(IFERROR(VALUE(LEFT(M903,FIND("-",M903)-1)),M903)*229&lt;71100,"Вы уменьшили цену в несколько раз, товар попадет в карантин цен","")))),"")</f>
      </c>
    </row>
    <row r="904">
      <c r="A904" s="2" t="inlineStr">
        <is>
          <t>CuteShop</t>
        </is>
      </c>
      <c r="B904" s="2" t="inlineStr">
        <is>
          <t>Держатели для пустышек</t>
        </is>
      </c>
      <c r="C904" s="2">
        <v>217878970</v>
      </c>
      <c r="D904" s="2" t="inlineStr">
        <is>
          <t>KosKot</t>
        </is>
      </c>
      <c r="E904" s="2" t="inlineStr">
        <is>
          <t>2039672213102</t>
        </is>
      </c>
      <c r="F904" s="2">
        <v>0</v>
      </c>
      <c r="G904" s="2">
        <v>0</v>
      </c>
      <c r="H904" s="2" t="inlineStr">
        <is>
          <t/>
        </is>
      </c>
      <c r="I904" s="2" t="inlineStr">
        <is>
          <t>1030</t>
        </is>
      </c>
      <c r="J904" s="4"/>
      <c r="K904" s="2">
        <v>10</v>
      </c>
      <c r="L904" s="6"/>
      <c r="M904" s="2" t="str">
        <f>IF(J904="",ROUND(I904*(1-IF(ISBLANK(L904),K904,L904)/100),2),ROUND(J904*(1-IF(ISBLANK(L904),K904,L904)/100),2))</f>
      </c>
      <c r="N904" s="7" t="str">
        <f>IF(NOT(AND(J904="",L904="")),IF(OR(AND(L904&lt;&gt;"",NOT(ISNUMBER(L904))),IFERROR(MOD(L904,1),1)&gt;0,AND(ISNUMBER(L904),OR(L904&lt;0,L904&gt;95))),"Введите целое число от 0 до 95",IF(OR(AND(J904&lt;&gt;"",NOT(ISNUMBER(J904))),IFERROR(MOD(J904,1),1)&gt;0,AND(ISNUMBER(J904),OR(J904&lt;50,J904&gt;20000000))),"Введите целое число от 50 до 20000000",IF(NOT(ABS(IFERROR(VALUE(LEFT(M904,FIND("-",M904)-1)),M904)*100-(5000+2000000000)/2)&lt;=ABS(5000-2000000000)/2),"Цена со скидкой должна быть от 50 до 20000000",IF(IFERROR(VALUE(LEFT(M904,FIND("-",M904)-1)),M904)*229&lt;92700,"Вы уменьшили цену в несколько раз, товар попадет в карантин цен","")))),"")</f>
      </c>
    </row>
    <row r="905">
      <c r="A905" s="2" t="inlineStr">
        <is>
          <t>CuteShop</t>
        </is>
      </c>
      <c r="B905" s="2" t="inlineStr">
        <is>
          <t>Держатели для пустышек</t>
        </is>
      </c>
      <c r="C905" s="2">
        <v>218269291</v>
      </c>
      <c r="D905" s="2" t="inlineStr">
        <is>
          <t>KamilLev</t>
        </is>
      </c>
      <c r="E905" s="2" t="inlineStr">
        <is>
          <t>2039683929207</t>
        </is>
      </c>
      <c r="F905" s="2">
        <v>0</v>
      </c>
      <c r="G905" s="2">
        <v>0</v>
      </c>
      <c r="H905" s="2" t="inlineStr">
        <is>
          <t/>
        </is>
      </c>
      <c r="I905" s="2" t="inlineStr">
        <is>
          <t>1030</t>
        </is>
      </c>
      <c r="J905" s="4"/>
      <c r="K905" s="2">
        <v>10</v>
      </c>
      <c r="L905" s="6"/>
      <c r="M905" s="2" t="str">
        <f>IF(J905="",ROUND(I905*(1-IF(ISBLANK(L905),K905,L905)/100),2),ROUND(J905*(1-IF(ISBLANK(L905),K905,L905)/100),2))</f>
      </c>
      <c r="N905" s="7" t="str">
        <f>IF(NOT(AND(J905="",L905="")),IF(OR(AND(L905&lt;&gt;"",NOT(ISNUMBER(L905))),IFERROR(MOD(L905,1),1)&gt;0,AND(ISNUMBER(L905),OR(L905&lt;0,L905&gt;95))),"Введите целое число от 0 до 95",IF(OR(AND(J905&lt;&gt;"",NOT(ISNUMBER(J905))),IFERROR(MOD(J905,1),1)&gt;0,AND(ISNUMBER(J905),OR(J905&lt;50,J905&gt;20000000))),"Введите целое число от 50 до 20000000",IF(NOT(ABS(IFERROR(VALUE(LEFT(M905,FIND("-",M905)-1)),M905)*100-(5000+2000000000)/2)&lt;=ABS(5000-2000000000)/2),"Цена со скидкой должна быть от 50 до 20000000",IF(IFERROR(VALUE(LEFT(M905,FIND("-",M905)-1)),M905)*229&lt;92700,"Вы уменьшили цену в несколько раз, товар попадет в карантин цен","")))),"")</f>
      </c>
    </row>
    <row r="906">
      <c r="A906" s="2" t="inlineStr">
        <is>
          <t>CuteShop</t>
        </is>
      </c>
      <c r="B906" s="2" t="inlineStr">
        <is>
          <t>Держатели для пустышек</t>
        </is>
      </c>
      <c r="C906" s="2">
        <v>321896252</v>
      </c>
      <c r="D906" s="2" t="inlineStr">
        <is>
          <t>EmiliyaBel</t>
        </is>
      </c>
      <c r="E906" s="2" t="inlineStr">
        <is>
          <t>2042676631087</t>
        </is>
      </c>
      <c r="F906" s="2">
        <v>0</v>
      </c>
      <c r="G906" s="2">
        <v>1</v>
      </c>
      <c r="H906" s="2" t="inlineStr">
        <is>
          <t/>
        </is>
      </c>
      <c r="I906" s="2" t="inlineStr">
        <is>
          <t>1030</t>
        </is>
      </c>
      <c r="J906" s="4"/>
      <c r="K906" s="2">
        <v>10</v>
      </c>
      <c r="L906" s="6"/>
      <c r="M906" s="2" t="str">
        <f>IF(J906="",ROUND(I906*(1-IF(ISBLANK(L906),K906,L906)/100),2),ROUND(J906*(1-IF(ISBLANK(L906),K906,L906)/100),2))</f>
      </c>
      <c r="N906" s="7" t="str">
        <f>IF(NOT(AND(J906="",L906="")),IF(OR(AND(L906&lt;&gt;"",NOT(ISNUMBER(L906))),IFERROR(MOD(L906,1),1)&gt;0,AND(ISNUMBER(L906),OR(L906&lt;0,L906&gt;95))),"Введите целое число от 0 до 95",IF(OR(AND(J906&lt;&gt;"",NOT(ISNUMBER(J906))),IFERROR(MOD(J906,1),1)&gt;0,AND(ISNUMBER(J906),OR(J906&lt;50,J906&gt;20000000))),"Введите целое число от 50 до 20000000",IF(NOT(ABS(IFERROR(VALUE(LEFT(M906,FIND("-",M906)-1)),M906)*100-(5000+2000000000)/2)&lt;=ABS(5000-2000000000)/2),"Цена со скидкой должна быть от 50 до 20000000",IF(IFERROR(VALUE(LEFT(M906,FIND("-",M906)-1)),M906)*229&lt;92700,"Вы уменьшили цену в несколько раз, товар попадет в карантин цен","")))),"")</f>
      </c>
    </row>
    <row r="907">
      <c r="A907" s="2" t="inlineStr">
        <is>
          <t>CuteShop</t>
        </is>
      </c>
      <c r="B907" s="2" t="inlineStr">
        <is>
          <t>Держатели для пустышек</t>
        </is>
      </c>
      <c r="C907" s="2">
        <v>100701475</v>
      </c>
      <c r="D907" s="2" t="inlineStr">
        <is>
          <t>FedyaMishSer</t>
        </is>
      </c>
      <c r="E907" s="2" t="inlineStr">
        <is>
          <t>2036814630438</t>
        </is>
      </c>
      <c r="F907" s="2">
        <v>0</v>
      </c>
      <c r="G907" s="2">
        <v>0</v>
      </c>
      <c r="H907" s="2">
        <v>0</v>
      </c>
      <c r="I907" s="2" t="inlineStr">
        <is>
          <t>1030</t>
        </is>
      </c>
      <c r="J907" s="4"/>
      <c r="K907" s="2">
        <v>10</v>
      </c>
      <c r="L907" s="6"/>
      <c r="M907" s="2" t="str">
        <f>IF(J907="",ROUND(I907*(1-IF(ISBLANK(L907),K907,L907)/100),2),ROUND(J907*(1-IF(ISBLANK(L907),K907,L907)/100),2))</f>
      </c>
      <c r="N907" s="7" t="str">
        <f>IF(NOT(AND(J907="",L907="")),IF(OR(AND(L907&lt;&gt;"",NOT(ISNUMBER(L907))),IFERROR(MOD(L907,1),1)&gt;0,AND(ISNUMBER(L907),OR(L907&lt;0,L907&gt;95))),"Введите целое число от 0 до 95",IF(OR(AND(J907&lt;&gt;"",NOT(ISNUMBER(J907))),IFERROR(MOD(J907,1),1)&gt;0,AND(ISNUMBER(J907),OR(J907&lt;50,J907&gt;20000000))),"Введите целое число от 50 до 20000000",IF(NOT(ABS(IFERROR(VALUE(LEFT(M907,FIND("-",M907)-1)),M907)*100-(5000+2000000000)/2)&lt;=ABS(5000-2000000000)/2),"Цена со скидкой должна быть от 50 до 20000000",IF(IFERROR(VALUE(LEFT(M907,FIND("-",M907)-1)),M907)*229&lt;92700,"Вы уменьшили цену в несколько раз, товар попадет в карантин цен","")))),"")</f>
      </c>
    </row>
    <row r="908">
      <c r="A908" s="2" t="inlineStr">
        <is>
          <t>CuteShop</t>
        </is>
      </c>
      <c r="B908" s="2" t="inlineStr">
        <is>
          <t>Держатели для пустышек</t>
        </is>
      </c>
      <c r="C908" s="2">
        <v>218267109</v>
      </c>
      <c r="D908" s="2" t="inlineStr">
        <is>
          <t>MishaKot</t>
        </is>
      </c>
      <c r="E908" s="2" t="inlineStr">
        <is>
          <t>2039683889761</t>
        </is>
      </c>
      <c r="F908" s="2">
        <v>0</v>
      </c>
      <c r="G908" s="2">
        <v>0</v>
      </c>
      <c r="H908" s="2" t="inlineStr">
        <is>
          <t/>
        </is>
      </c>
      <c r="I908" s="2" t="inlineStr">
        <is>
          <t>1030</t>
        </is>
      </c>
      <c r="J908" s="4"/>
      <c r="K908" s="2">
        <v>10</v>
      </c>
      <c r="L908" s="6"/>
      <c r="M908" s="2" t="str">
        <f>IF(J908="",ROUND(I908*(1-IF(ISBLANK(L908),K908,L908)/100),2),ROUND(J908*(1-IF(ISBLANK(L908),K908,L908)/100),2))</f>
      </c>
      <c r="N908" s="7" t="str">
        <f>IF(NOT(AND(J908="",L908="")),IF(OR(AND(L908&lt;&gt;"",NOT(ISNUMBER(L908))),IFERROR(MOD(L908,1),1)&gt;0,AND(ISNUMBER(L908),OR(L908&lt;0,L908&gt;95))),"Введите целое число от 0 до 95",IF(OR(AND(J908&lt;&gt;"",NOT(ISNUMBER(J908))),IFERROR(MOD(J908,1),1)&gt;0,AND(ISNUMBER(J908),OR(J908&lt;50,J908&gt;20000000))),"Введите целое число от 50 до 20000000",IF(NOT(ABS(IFERROR(VALUE(LEFT(M908,FIND("-",M908)-1)),M908)*100-(5000+2000000000)/2)&lt;=ABS(5000-2000000000)/2),"Цена со скидкой должна быть от 50 до 20000000",IF(IFERROR(VALUE(LEFT(M908,FIND("-",M908)-1)),M908)*229&lt;92700,"Вы уменьшили цену в несколько раз, товар попадет в карантин цен","")))),"")</f>
      </c>
    </row>
    <row r="909">
      <c r="A909" s="2" t="inlineStr">
        <is>
          <t>CuteShop</t>
        </is>
      </c>
      <c r="B909" s="2" t="inlineStr">
        <is>
          <t>Держатели для пустышек</t>
        </is>
      </c>
      <c r="C909" s="2">
        <v>321936090</v>
      </c>
      <c r="D909" s="2" t="inlineStr">
        <is>
          <t>EmiliyaLama2</t>
        </is>
      </c>
      <c r="E909" s="2" t="inlineStr">
        <is>
          <t>2042677593384</t>
        </is>
      </c>
      <c r="F909" s="2">
        <v>0</v>
      </c>
      <c r="G909" s="2">
        <v>1</v>
      </c>
      <c r="H909" s="2" t="inlineStr">
        <is>
          <t/>
        </is>
      </c>
      <c r="I909" s="2" t="inlineStr">
        <is>
          <t>1030</t>
        </is>
      </c>
      <c r="J909" s="4"/>
      <c r="K909" s="2">
        <v>10</v>
      </c>
      <c r="L909" s="6"/>
      <c r="M909" s="2" t="str">
        <f>IF(J909="",ROUND(I909*(1-IF(ISBLANK(L909),K909,L909)/100),2),ROUND(J909*(1-IF(ISBLANK(L909),K909,L909)/100),2))</f>
      </c>
      <c r="N909" s="7" t="str">
        <f>IF(NOT(AND(J909="",L909="")),IF(OR(AND(L909&lt;&gt;"",NOT(ISNUMBER(L909))),IFERROR(MOD(L909,1),1)&gt;0,AND(ISNUMBER(L909),OR(L909&lt;0,L909&gt;95))),"Введите целое число от 0 до 95",IF(OR(AND(J909&lt;&gt;"",NOT(ISNUMBER(J909))),IFERROR(MOD(J909,1),1)&gt;0,AND(ISNUMBER(J909),OR(J909&lt;50,J909&gt;20000000))),"Введите целое число от 50 до 20000000",IF(NOT(ABS(IFERROR(VALUE(LEFT(M909,FIND("-",M909)-1)),M909)*100-(5000+2000000000)/2)&lt;=ABS(5000-2000000000)/2),"Цена со скидкой должна быть от 50 до 20000000",IF(IFERROR(VALUE(LEFT(M909,FIND("-",M909)-1)),M909)*229&lt;92700,"Вы уменьшили цену в несколько раз, товар попадет в карантин цен","")))),"")</f>
      </c>
    </row>
    <row r="910">
      <c r="A910" s="2" t="inlineStr">
        <is>
          <t>CuteShop</t>
        </is>
      </c>
      <c r="B910" s="2" t="inlineStr">
        <is>
          <t>Держатели для пустышек</t>
        </is>
      </c>
      <c r="C910" s="2">
        <v>371759484</v>
      </c>
      <c r="D910" s="2" t="inlineStr">
        <is>
          <t>KirushaMish</t>
        </is>
      </c>
      <c r="E910" s="2" t="inlineStr">
        <is>
          <t>2043388182485</t>
        </is>
      </c>
      <c r="F910" s="2">
        <v>0</v>
      </c>
      <c r="G910" s="2">
        <v>1</v>
      </c>
      <c r="H910" s="2" t="inlineStr">
        <is>
          <t/>
        </is>
      </c>
      <c r="I910" s="2" t="inlineStr">
        <is>
          <t>1030</t>
        </is>
      </c>
      <c r="J910" s="4"/>
      <c r="K910" s="2">
        <v>10</v>
      </c>
      <c r="L910" s="6"/>
      <c r="M910" s="2" t="str">
        <f>IF(J910="",ROUND(I910*(1-IF(ISBLANK(L910),K910,L910)/100),2),ROUND(J910*(1-IF(ISBLANK(L910),K910,L910)/100),2))</f>
      </c>
      <c r="N910" s="7" t="str">
        <f>IF(NOT(AND(J910="",L910="")),IF(OR(AND(L910&lt;&gt;"",NOT(ISNUMBER(L910))),IFERROR(MOD(L910,1),1)&gt;0,AND(ISNUMBER(L910),OR(L910&lt;0,L910&gt;95))),"Введите целое число от 0 до 95",IF(OR(AND(J910&lt;&gt;"",NOT(ISNUMBER(J910))),IFERROR(MOD(J910,1),1)&gt;0,AND(ISNUMBER(J910),OR(J910&lt;50,J910&gt;20000000))),"Введите целое число от 50 до 20000000",IF(NOT(ABS(IFERROR(VALUE(LEFT(M910,FIND("-",M910)-1)),M910)*100-(5000+2000000000)/2)&lt;=ABS(5000-2000000000)/2),"Цена со скидкой должна быть от 50 до 20000000",IF(IFERROR(VALUE(LEFT(M910,FIND("-",M910)-1)),M910)*229&lt;92700,"Вы уменьшили цену в несколько раз, товар попадет в карантин цен","")))),"")</f>
      </c>
    </row>
    <row r="911">
      <c r="A911" s="2" t="inlineStr">
        <is>
          <t>CuteShop</t>
        </is>
      </c>
      <c r="B911" s="2" t="inlineStr">
        <is>
          <t>Держатели для пустышек</t>
        </is>
      </c>
      <c r="C911" s="2">
        <v>110413399</v>
      </c>
      <c r="D911" s="2" t="inlineStr">
        <is>
          <t>NastyaLamaPink</t>
        </is>
      </c>
      <c r="E911" s="2" t="inlineStr">
        <is>
          <t>2036555461629</t>
        </is>
      </c>
      <c r="F911" s="2">
        <v>0</v>
      </c>
      <c r="G911" s="2">
        <v>1</v>
      </c>
      <c r="H911" s="2">
        <v>0</v>
      </c>
      <c r="I911" s="2" t="inlineStr">
        <is>
          <t>1030</t>
        </is>
      </c>
      <c r="J911" s="4"/>
      <c r="K911" s="2">
        <v>10</v>
      </c>
      <c r="L911" s="6"/>
      <c r="M911" s="2" t="str">
        <f>IF(J911="",ROUND(I911*(1-IF(ISBLANK(L911),K911,L911)/100),2),ROUND(J911*(1-IF(ISBLANK(L911),K911,L911)/100),2))</f>
      </c>
      <c r="N911" s="7" t="str">
        <f>IF(NOT(AND(J911="",L911="")),IF(OR(AND(L911&lt;&gt;"",NOT(ISNUMBER(L911))),IFERROR(MOD(L911,1),1)&gt;0,AND(ISNUMBER(L911),OR(L911&lt;0,L911&gt;95))),"Введите целое число от 0 до 95",IF(OR(AND(J911&lt;&gt;"",NOT(ISNUMBER(J911))),IFERROR(MOD(J911,1),1)&gt;0,AND(ISNUMBER(J911),OR(J911&lt;50,J911&gt;20000000))),"Введите целое число от 50 до 20000000",IF(NOT(ABS(IFERROR(VALUE(LEFT(M911,FIND("-",M911)-1)),M911)*100-(5000+2000000000)/2)&lt;=ABS(5000-2000000000)/2),"Цена со скидкой должна быть от 50 до 20000000",IF(IFERROR(VALUE(LEFT(M911,FIND("-",M911)-1)),M911)*229&lt;92700,"Вы уменьшили цену в несколько раз, товар попадет в карантин цен","")))),"")</f>
      </c>
    </row>
    <row r="912">
      <c r="A912" s="2" t="inlineStr">
        <is>
          <t>CuteShop</t>
        </is>
      </c>
      <c r="B912" s="2" t="inlineStr">
        <is>
          <t>Держатели для пустышек</t>
        </is>
      </c>
      <c r="C912" s="2">
        <v>218269290</v>
      </c>
      <c r="D912" s="2" t="inlineStr">
        <is>
          <t>KamilSob</t>
        </is>
      </c>
      <c r="E912" s="2" t="inlineStr">
        <is>
          <t>2039683928873</t>
        </is>
      </c>
      <c r="F912" s="2">
        <v>0</v>
      </c>
      <c r="G912" s="2">
        <v>0</v>
      </c>
      <c r="H912" s="2" t="inlineStr">
        <is>
          <t/>
        </is>
      </c>
      <c r="I912" s="2" t="inlineStr">
        <is>
          <t>1030</t>
        </is>
      </c>
      <c r="J912" s="4"/>
      <c r="K912" s="2">
        <v>10</v>
      </c>
      <c r="L912" s="6"/>
      <c r="M912" s="2" t="str">
        <f>IF(J912="",ROUND(I912*(1-IF(ISBLANK(L912),K912,L912)/100),2),ROUND(J912*(1-IF(ISBLANK(L912),K912,L912)/100),2))</f>
      </c>
      <c r="N912" s="7" t="str">
        <f>IF(NOT(AND(J912="",L912="")),IF(OR(AND(L912&lt;&gt;"",NOT(ISNUMBER(L912))),IFERROR(MOD(L912,1),1)&gt;0,AND(ISNUMBER(L912),OR(L912&lt;0,L912&gt;95))),"Введите целое число от 0 до 95",IF(OR(AND(J912&lt;&gt;"",NOT(ISNUMBER(J912))),IFERROR(MOD(J912,1),1)&gt;0,AND(ISNUMBER(J912),OR(J912&lt;50,J912&gt;20000000))),"Введите целое число от 50 до 20000000",IF(NOT(ABS(IFERROR(VALUE(LEFT(M912,FIND("-",M912)-1)),M912)*100-(5000+2000000000)/2)&lt;=ABS(5000-2000000000)/2),"Цена со скидкой должна быть от 50 до 20000000",IF(IFERROR(VALUE(LEFT(M912,FIND("-",M912)-1)),M912)*229&lt;92700,"Вы уменьшили цену в несколько раз, товар попадет в карантин цен","")))),"")</f>
      </c>
    </row>
    <row r="913">
      <c r="A913" s="2" t="inlineStr">
        <is>
          <t>CuteShop</t>
        </is>
      </c>
      <c r="B913" s="2" t="inlineStr">
        <is>
          <t>Держатели для пустышек</t>
        </is>
      </c>
      <c r="C913" s="2">
        <v>111024637</v>
      </c>
      <c r="D913" s="2" t="inlineStr">
        <is>
          <t>KamillaBG</t>
        </is>
      </c>
      <c r="E913" s="2" t="inlineStr">
        <is>
          <t>2037458708620</t>
        </is>
      </c>
      <c r="F913" s="2">
        <v>0</v>
      </c>
      <c r="G913" s="2">
        <v>1</v>
      </c>
      <c r="H913" s="2">
        <v>0</v>
      </c>
      <c r="I913" s="2" t="inlineStr">
        <is>
          <t>790</t>
        </is>
      </c>
      <c r="J913" s="4"/>
      <c r="K913" s="2">
        <v>10</v>
      </c>
      <c r="L913" s="6"/>
      <c r="M913" s="2" t="str">
        <f>IF(J913="",ROUND(I913*(1-IF(ISBLANK(L913),K913,L913)/100),2),ROUND(J913*(1-IF(ISBLANK(L913),K913,L913)/100),2))</f>
      </c>
      <c r="N913" s="7" t="str">
        <f>IF(NOT(AND(J913="",L913="")),IF(OR(AND(L913&lt;&gt;"",NOT(ISNUMBER(L913))),IFERROR(MOD(L913,1),1)&gt;0,AND(ISNUMBER(L913),OR(L913&lt;0,L913&gt;95))),"Введите целое число от 0 до 95",IF(OR(AND(J913&lt;&gt;"",NOT(ISNUMBER(J913))),IFERROR(MOD(J913,1),1)&gt;0,AND(ISNUMBER(J913),OR(J913&lt;50,J913&gt;20000000))),"Введите целое число от 50 до 20000000",IF(NOT(ABS(IFERROR(VALUE(LEFT(M913,FIND("-",M913)-1)),M913)*100-(5000+2000000000)/2)&lt;=ABS(5000-2000000000)/2),"Цена со скидкой должна быть от 50 до 20000000",IF(IFERROR(VALUE(LEFT(M913,FIND("-",M913)-1)),M913)*229&lt;71100,"Вы уменьшили цену в несколько раз, товар попадет в карантин цен","")))),"")</f>
      </c>
    </row>
    <row r="914">
      <c r="A914" s="2" t="inlineStr">
        <is>
          <t>CuteShop</t>
        </is>
      </c>
      <c r="B914" s="2" t="inlineStr">
        <is>
          <t>Держатели для пустышек</t>
        </is>
      </c>
      <c r="C914" s="2">
        <v>111028611</v>
      </c>
      <c r="D914" s="2" t="inlineStr">
        <is>
          <t>AmeliyaBG</t>
        </is>
      </c>
      <c r="E914" s="2" t="inlineStr">
        <is>
          <t>2037460262622</t>
        </is>
      </c>
      <c r="F914" s="2">
        <v>0</v>
      </c>
      <c r="G914" s="2">
        <v>1</v>
      </c>
      <c r="H914" s="2">
        <v>1</v>
      </c>
      <c r="I914" s="2" t="inlineStr">
        <is>
          <t>790</t>
        </is>
      </c>
      <c r="J914" s="4"/>
      <c r="K914" s="2">
        <v>10</v>
      </c>
      <c r="L914" s="6"/>
      <c r="M914" s="2" t="str">
        <f>IF(J914="",ROUND(I914*(1-IF(ISBLANK(L914),K914,L914)/100),2),ROUND(J914*(1-IF(ISBLANK(L914),K914,L914)/100),2))</f>
      </c>
      <c r="N914" s="7" t="str">
        <f>IF(NOT(AND(J914="",L914="")),IF(OR(AND(L914&lt;&gt;"",NOT(ISNUMBER(L914))),IFERROR(MOD(L914,1),1)&gt;0,AND(ISNUMBER(L914),OR(L914&lt;0,L914&gt;95))),"Введите целое число от 0 до 95",IF(OR(AND(J914&lt;&gt;"",NOT(ISNUMBER(J914))),IFERROR(MOD(J914,1),1)&gt;0,AND(ISNUMBER(J914),OR(J914&lt;50,J914&gt;20000000))),"Введите целое число от 50 до 20000000",IF(NOT(ABS(IFERROR(VALUE(LEFT(M914,FIND("-",M914)-1)),M914)*100-(5000+2000000000)/2)&lt;=ABS(5000-2000000000)/2),"Цена со скидкой должна быть от 50 до 20000000",IF(IFERROR(VALUE(LEFT(M914,FIND("-",M914)-1)),M914)*229&lt;71100,"Вы уменьшили цену в несколько раз, товар попадет в карантин цен","")))),"")</f>
      </c>
    </row>
    <row r="915">
      <c r="A915" s="2" t="inlineStr">
        <is>
          <t>CuteShop</t>
        </is>
      </c>
      <c r="B915" s="2" t="inlineStr">
        <is>
          <t>Держатели для пустышек</t>
        </is>
      </c>
      <c r="C915" s="2">
        <v>111032800</v>
      </c>
      <c r="D915" s="2" t="inlineStr">
        <is>
          <t>ZlataSl</t>
        </is>
      </c>
      <c r="E915" s="2" t="inlineStr">
        <is>
          <t>2037467072620</t>
        </is>
      </c>
      <c r="F915" s="2">
        <v>0</v>
      </c>
      <c r="G915" s="2">
        <v>1</v>
      </c>
      <c r="H915" s="2">
        <v>0</v>
      </c>
      <c r="I915" s="2" t="inlineStr">
        <is>
          <t>1030</t>
        </is>
      </c>
      <c r="J915" s="4"/>
      <c r="K915" s="2">
        <v>10</v>
      </c>
      <c r="L915" s="6"/>
      <c r="M915" s="2" t="str">
        <f>IF(J915="",ROUND(I915*(1-IF(ISBLANK(L915),K915,L915)/100),2),ROUND(J915*(1-IF(ISBLANK(L915),K915,L915)/100),2))</f>
      </c>
      <c r="N915" s="7" t="str">
        <f>IF(NOT(AND(J915="",L915="")),IF(OR(AND(L915&lt;&gt;"",NOT(ISNUMBER(L915))),IFERROR(MOD(L915,1),1)&gt;0,AND(ISNUMBER(L915),OR(L915&lt;0,L915&gt;95))),"Введите целое число от 0 до 95",IF(OR(AND(J915&lt;&gt;"",NOT(ISNUMBER(J915))),IFERROR(MOD(J915,1),1)&gt;0,AND(ISNUMBER(J915),OR(J915&lt;50,J915&gt;20000000))),"Введите целое число от 50 до 20000000",IF(NOT(ABS(IFERROR(VALUE(LEFT(M915,FIND("-",M915)-1)),M915)*100-(5000+2000000000)/2)&lt;=ABS(5000-2000000000)/2),"Цена со скидкой должна быть от 50 до 20000000",IF(IFERROR(VALUE(LEFT(M915,FIND("-",M915)-1)),M915)*229&lt;92700,"Вы уменьшили цену в несколько раз, товар попадет в карантин цен","")))),"")</f>
      </c>
    </row>
    <row r="916">
      <c r="A916" s="2" t="inlineStr">
        <is>
          <t>CuteShop</t>
        </is>
      </c>
      <c r="B916" s="2" t="inlineStr">
        <is>
          <t>Держатели для пустышек</t>
        </is>
      </c>
      <c r="C916" s="2">
        <v>325398072</v>
      </c>
      <c r="D916" s="2" t="inlineStr">
        <is>
          <t>NastyaLev</t>
        </is>
      </c>
      <c r="E916" s="2" t="inlineStr">
        <is>
          <t>2042733945874</t>
        </is>
      </c>
      <c r="F916" s="2">
        <v>0</v>
      </c>
      <c r="G916" s="2">
        <v>1</v>
      </c>
      <c r="H916" s="2" t="inlineStr">
        <is>
          <t/>
        </is>
      </c>
      <c r="I916" s="2" t="inlineStr">
        <is>
          <t>1030</t>
        </is>
      </c>
      <c r="J916" s="4"/>
      <c r="K916" s="2">
        <v>10</v>
      </c>
      <c r="L916" s="6"/>
      <c r="M916" s="2" t="str">
        <f>IF(J916="",ROUND(I916*(1-IF(ISBLANK(L916),K916,L916)/100),2),ROUND(J916*(1-IF(ISBLANK(L916),K916,L916)/100),2))</f>
      </c>
      <c r="N916" s="7" t="str">
        <f>IF(NOT(AND(J916="",L916="")),IF(OR(AND(L916&lt;&gt;"",NOT(ISNUMBER(L916))),IFERROR(MOD(L916,1),1)&gt;0,AND(ISNUMBER(L916),OR(L916&lt;0,L916&gt;95))),"Введите целое число от 0 до 95",IF(OR(AND(J916&lt;&gt;"",NOT(ISNUMBER(J916))),IFERROR(MOD(J916,1),1)&gt;0,AND(ISNUMBER(J916),OR(J916&lt;50,J916&gt;20000000))),"Введите целое число от 50 до 20000000",IF(NOT(ABS(IFERROR(VALUE(LEFT(M916,FIND("-",M916)-1)),M916)*100-(5000+2000000000)/2)&lt;=ABS(5000-2000000000)/2),"Цена со скидкой должна быть от 50 до 20000000",IF(IFERROR(VALUE(LEFT(M916,FIND("-",M916)-1)),M916)*229&lt;92700,"Вы уменьшили цену в несколько раз, товар попадет в карантин цен","")))),"")</f>
      </c>
    </row>
    <row r="917">
      <c r="A917" s="2" t="inlineStr">
        <is>
          <t>CuteShop</t>
        </is>
      </c>
      <c r="B917" s="2" t="inlineStr">
        <is>
          <t>Держатели для пустышек</t>
        </is>
      </c>
      <c r="C917" s="2">
        <v>160788292</v>
      </c>
      <c r="D917" s="2" t="inlineStr">
        <is>
          <t>NastenaZay</t>
        </is>
      </c>
      <c r="E917" s="2" t="inlineStr">
        <is>
          <t>2037825938513</t>
        </is>
      </c>
      <c r="F917" s="2">
        <v>0</v>
      </c>
      <c r="G917" s="2">
        <v>0</v>
      </c>
      <c r="H917" s="2">
        <v>0</v>
      </c>
      <c r="I917" s="2" t="inlineStr">
        <is>
          <t>1030</t>
        </is>
      </c>
      <c r="J917" s="4"/>
      <c r="K917" s="2">
        <v>10</v>
      </c>
      <c r="L917" s="6"/>
      <c r="M917" s="2" t="str">
        <f>IF(J917="",ROUND(I917*(1-IF(ISBLANK(L917),K917,L917)/100),2),ROUND(J917*(1-IF(ISBLANK(L917),K917,L917)/100),2))</f>
      </c>
      <c r="N917" s="7" t="str">
        <f>IF(NOT(AND(J917="",L917="")),IF(OR(AND(L917&lt;&gt;"",NOT(ISNUMBER(L917))),IFERROR(MOD(L917,1),1)&gt;0,AND(ISNUMBER(L917),OR(L917&lt;0,L917&gt;95))),"Введите целое число от 0 до 95",IF(OR(AND(J917&lt;&gt;"",NOT(ISNUMBER(J917))),IFERROR(MOD(J917,1),1)&gt;0,AND(ISNUMBER(J917),OR(J917&lt;50,J917&gt;20000000))),"Введите целое число от 50 до 20000000",IF(NOT(ABS(IFERROR(VALUE(LEFT(M917,FIND("-",M917)-1)),M917)*100-(5000+2000000000)/2)&lt;=ABS(5000-2000000000)/2),"Цена со скидкой должна быть от 50 до 20000000",IF(IFERROR(VALUE(LEFT(M917,FIND("-",M917)-1)),M917)*229&lt;92700,"Вы уменьшили цену в несколько раз, товар попадет в карантин цен","")))),"")</f>
      </c>
    </row>
    <row r="918">
      <c r="A918" s="2" t="inlineStr">
        <is>
          <t>CuteShop</t>
        </is>
      </c>
      <c r="B918" s="2" t="inlineStr">
        <is>
          <t>Держатели для пустышек</t>
        </is>
      </c>
      <c r="C918" s="2">
        <v>111034891</v>
      </c>
      <c r="D918" s="2" t="inlineStr">
        <is>
          <t>IgorMishGol</t>
        </is>
      </c>
      <c r="E918" s="2" t="inlineStr">
        <is>
          <t>2037471282626</t>
        </is>
      </c>
      <c r="F918" s="2">
        <v>0</v>
      </c>
      <c r="G918" s="2">
        <v>1</v>
      </c>
      <c r="H918" s="2">
        <v>1</v>
      </c>
      <c r="I918" s="2" t="inlineStr">
        <is>
          <t>1030</t>
        </is>
      </c>
      <c r="J918" s="4"/>
      <c r="K918" s="2">
        <v>10</v>
      </c>
      <c r="L918" s="6"/>
      <c r="M918" s="2" t="str">
        <f>IF(J918="",ROUND(I918*(1-IF(ISBLANK(L918),K918,L918)/100),2),ROUND(J918*(1-IF(ISBLANK(L918),K918,L918)/100),2))</f>
      </c>
      <c r="N918" s="7" t="str">
        <f>IF(NOT(AND(J918="",L918="")),IF(OR(AND(L918&lt;&gt;"",NOT(ISNUMBER(L918))),IFERROR(MOD(L918,1),1)&gt;0,AND(ISNUMBER(L918),OR(L918&lt;0,L918&gt;95))),"Введите целое число от 0 до 95",IF(OR(AND(J918&lt;&gt;"",NOT(ISNUMBER(J918))),IFERROR(MOD(J918,1),1)&gt;0,AND(ISNUMBER(J918),OR(J918&lt;50,J918&gt;20000000))),"Введите целое число от 50 до 20000000",IF(NOT(ABS(IFERROR(VALUE(LEFT(M918,FIND("-",M918)-1)),M918)*100-(5000+2000000000)/2)&lt;=ABS(5000-2000000000)/2),"Цена со скидкой должна быть от 50 до 20000000",IF(IFERROR(VALUE(LEFT(M918,FIND("-",M918)-1)),M918)*229&lt;92700,"Вы уменьшили цену в несколько раз, товар попадет в карантин цен","")))),"")</f>
      </c>
    </row>
    <row r="919">
      <c r="A919" s="2" t="inlineStr">
        <is>
          <t>CuteShop</t>
        </is>
      </c>
      <c r="B919" s="2" t="inlineStr">
        <is>
          <t>Держатели для пустышек</t>
        </is>
      </c>
      <c r="C919" s="2">
        <v>173347727</v>
      </c>
      <c r="D919" s="2" t="inlineStr">
        <is>
          <t>AminaKot</t>
        </is>
      </c>
      <c r="E919" s="2" t="inlineStr">
        <is>
          <t>2038381543661</t>
        </is>
      </c>
      <c r="F919" s="2">
        <v>0</v>
      </c>
      <c r="G919" s="2">
        <v>0</v>
      </c>
      <c r="H919" s="2" t="inlineStr">
        <is>
          <t/>
        </is>
      </c>
      <c r="I919" s="2" t="inlineStr">
        <is>
          <t>1030</t>
        </is>
      </c>
      <c r="J919" s="4"/>
      <c r="K919" s="2">
        <v>10</v>
      </c>
      <c r="L919" s="6"/>
      <c r="M919" s="2" t="str">
        <f>IF(J919="",ROUND(I919*(1-IF(ISBLANK(L919),K919,L919)/100),2),ROUND(J919*(1-IF(ISBLANK(L919),K919,L919)/100),2))</f>
      </c>
      <c r="N919" s="7" t="str">
        <f>IF(NOT(AND(J919="",L919="")),IF(OR(AND(L919&lt;&gt;"",NOT(ISNUMBER(L919))),IFERROR(MOD(L919,1),1)&gt;0,AND(ISNUMBER(L919),OR(L919&lt;0,L919&gt;95))),"Введите целое число от 0 до 95",IF(OR(AND(J919&lt;&gt;"",NOT(ISNUMBER(J919))),IFERROR(MOD(J919,1),1)&gt;0,AND(ISNUMBER(J919),OR(J919&lt;50,J919&gt;20000000))),"Введите целое число от 50 до 20000000",IF(NOT(ABS(IFERROR(VALUE(LEFT(M919,FIND("-",M919)-1)),M919)*100-(5000+2000000000)/2)&lt;=ABS(5000-2000000000)/2),"Цена со скидкой должна быть от 50 до 20000000",IF(IFERROR(VALUE(LEFT(M919,FIND("-",M919)-1)),M919)*229&lt;92700,"Вы уменьшили цену в несколько раз, товар попадет в карантин цен","")))),"")</f>
      </c>
    </row>
    <row r="920">
      <c r="A920" s="2" t="inlineStr">
        <is>
          <t>CuteShop</t>
        </is>
      </c>
      <c r="B920" s="2" t="inlineStr">
        <is>
          <t>Держатели для пустышек</t>
        </is>
      </c>
      <c r="C920" s="2">
        <v>111017433</v>
      </c>
      <c r="D920" s="2" t="inlineStr">
        <is>
          <t>MarkKoala</t>
        </is>
      </c>
      <c r="E920" s="2" t="inlineStr">
        <is>
          <t>2037419597621</t>
        </is>
      </c>
      <c r="F920" s="2">
        <v>0</v>
      </c>
      <c r="G920" s="2">
        <v>0</v>
      </c>
      <c r="H920" s="2">
        <v>0</v>
      </c>
      <c r="I920" s="2" t="inlineStr">
        <is>
          <t>1030</t>
        </is>
      </c>
      <c r="J920" s="4"/>
      <c r="K920" s="2">
        <v>10</v>
      </c>
      <c r="L920" s="6"/>
      <c r="M920" s="2" t="str">
        <f>IF(J920="",ROUND(I920*(1-IF(ISBLANK(L920),K920,L920)/100),2),ROUND(J920*(1-IF(ISBLANK(L920),K920,L920)/100),2))</f>
      </c>
      <c r="N920" s="7" t="str">
        <f>IF(NOT(AND(J920="",L920="")),IF(OR(AND(L920&lt;&gt;"",NOT(ISNUMBER(L920))),IFERROR(MOD(L920,1),1)&gt;0,AND(ISNUMBER(L920),OR(L920&lt;0,L920&gt;95))),"Введите целое число от 0 до 95",IF(OR(AND(J920&lt;&gt;"",NOT(ISNUMBER(J920))),IFERROR(MOD(J920,1),1)&gt;0,AND(ISNUMBER(J920),OR(J920&lt;50,J920&gt;20000000))),"Введите целое число от 50 до 20000000",IF(NOT(ABS(IFERROR(VALUE(LEFT(M920,FIND("-",M920)-1)),M920)*100-(5000+2000000000)/2)&lt;=ABS(5000-2000000000)/2),"Цена со скидкой должна быть от 50 до 20000000",IF(IFERROR(VALUE(LEFT(M920,FIND("-",M920)-1)),M920)*229&lt;92700,"Вы уменьшили цену в несколько раз, товар попадет в карантин цен","")))),"")</f>
      </c>
    </row>
    <row r="921">
      <c r="A921" s="2" t="inlineStr">
        <is>
          <t>CuteShop</t>
        </is>
      </c>
      <c r="B921" s="2" t="inlineStr">
        <is>
          <t>Держатели для пустышек</t>
        </is>
      </c>
      <c r="C921" s="2">
        <v>111038436</v>
      </c>
      <c r="D921" s="2" t="inlineStr">
        <is>
          <t>LevaLis</t>
        </is>
      </c>
      <c r="E921" s="2" t="inlineStr">
        <is>
          <t>2037479124621</t>
        </is>
      </c>
      <c r="F921" s="2">
        <v>0</v>
      </c>
      <c r="G921" s="2">
        <v>0</v>
      </c>
      <c r="H921" s="2" t="inlineStr">
        <is>
          <t/>
        </is>
      </c>
      <c r="I921" s="2" t="inlineStr">
        <is>
          <t>1030</t>
        </is>
      </c>
      <c r="J921" s="4"/>
      <c r="K921" s="2">
        <v>10</v>
      </c>
      <c r="L921" s="6"/>
      <c r="M921" s="2" t="str">
        <f>IF(J921="",ROUND(I921*(1-IF(ISBLANK(L921),K921,L921)/100),2),ROUND(J921*(1-IF(ISBLANK(L921),K921,L921)/100),2))</f>
      </c>
      <c r="N921" s="7" t="str">
        <f>IF(NOT(AND(J921="",L921="")),IF(OR(AND(L921&lt;&gt;"",NOT(ISNUMBER(L921))),IFERROR(MOD(L921,1),1)&gt;0,AND(ISNUMBER(L921),OR(L921&lt;0,L921&gt;95))),"Введите целое число от 0 до 95",IF(OR(AND(J921&lt;&gt;"",NOT(ISNUMBER(J921))),IFERROR(MOD(J921,1),1)&gt;0,AND(ISNUMBER(J921),OR(J921&lt;50,J921&gt;20000000))),"Введите целое число от 50 до 20000000",IF(NOT(ABS(IFERROR(VALUE(LEFT(M921,FIND("-",M921)-1)),M921)*100-(5000+2000000000)/2)&lt;=ABS(5000-2000000000)/2),"Цена со скидкой должна быть от 50 до 20000000",IF(IFERROR(VALUE(LEFT(M921,FIND("-",M921)-1)),M921)*229&lt;92700,"Вы уменьшили цену в несколько раз, товар попадет в карантин цен","")))),"")</f>
      </c>
    </row>
    <row r="922">
      <c r="A922" s="2" t="inlineStr">
        <is>
          <t>CuteShop</t>
        </is>
      </c>
      <c r="B922" s="2" t="inlineStr">
        <is>
          <t>Держатели для пустышек</t>
        </is>
      </c>
      <c r="C922" s="2">
        <v>112389611</v>
      </c>
      <c r="D922" s="2" t="inlineStr">
        <is>
          <t>MishutkaBG</t>
        </is>
      </c>
      <c r="E922" s="2" t="inlineStr">
        <is>
          <t>2038785540624</t>
        </is>
      </c>
      <c r="F922" s="2">
        <v>0</v>
      </c>
      <c r="G922" s="2">
        <v>1</v>
      </c>
      <c r="H922" s="2">
        <v>0</v>
      </c>
      <c r="I922" s="2" t="inlineStr">
        <is>
          <t>790</t>
        </is>
      </c>
      <c r="J922" s="4"/>
      <c r="K922" s="2">
        <v>10</v>
      </c>
      <c r="L922" s="6"/>
      <c r="M922" s="2" t="str">
        <f>IF(J922="",ROUND(I922*(1-IF(ISBLANK(L922),K922,L922)/100),2),ROUND(J922*(1-IF(ISBLANK(L922),K922,L922)/100),2))</f>
      </c>
      <c r="N922" s="7" t="str">
        <f>IF(NOT(AND(J922="",L922="")),IF(OR(AND(L922&lt;&gt;"",NOT(ISNUMBER(L922))),IFERROR(MOD(L922,1),1)&gt;0,AND(ISNUMBER(L922),OR(L922&lt;0,L922&gt;95))),"Введите целое число от 0 до 95",IF(OR(AND(J922&lt;&gt;"",NOT(ISNUMBER(J922))),IFERROR(MOD(J922,1),1)&gt;0,AND(ISNUMBER(J922),OR(J922&lt;50,J922&gt;20000000))),"Введите целое число от 50 до 20000000",IF(NOT(ABS(IFERROR(VALUE(LEFT(M922,FIND("-",M922)-1)),M922)*100-(5000+2000000000)/2)&lt;=ABS(5000-2000000000)/2),"Цена со скидкой должна быть от 50 до 20000000",IF(IFERROR(VALUE(LEFT(M922,FIND("-",M922)-1)),M922)*229&lt;71100,"Вы уменьшили цену в несколько раз, товар попадет в карантин цен","")))),"")</f>
      </c>
    </row>
    <row r="923">
      <c r="A923" s="2" t="inlineStr">
        <is>
          <t>CuteShop</t>
        </is>
      </c>
      <c r="B923" s="2" t="inlineStr">
        <is>
          <t>Держатели для пустышек</t>
        </is>
      </c>
      <c r="C923" s="2">
        <v>118084023</v>
      </c>
      <c r="D923" s="2" t="inlineStr">
        <is>
          <t>IvanMashMyat</t>
        </is>
      </c>
      <c r="E923" s="2" t="inlineStr">
        <is>
          <t>2042645897629</t>
        </is>
      </c>
      <c r="F923" s="2">
        <v>0</v>
      </c>
      <c r="G923" s="2">
        <v>0</v>
      </c>
      <c r="H923" s="2">
        <v>0</v>
      </c>
      <c r="I923" s="2" t="inlineStr">
        <is>
          <t>1030</t>
        </is>
      </c>
      <c r="J923" s="4"/>
      <c r="K923" s="2">
        <v>10</v>
      </c>
      <c r="L923" s="6"/>
      <c r="M923" s="2" t="str">
        <f>IF(J923="",ROUND(I923*(1-IF(ISBLANK(L923),K923,L923)/100),2),ROUND(J923*(1-IF(ISBLANK(L923),K923,L923)/100),2))</f>
      </c>
      <c r="N923" s="7" t="str">
        <f>IF(NOT(AND(J923="",L923="")),IF(OR(AND(L923&lt;&gt;"",NOT(ISNUMBER(L923))),IFERROR(MOD(L923,1),1)&gt;0,AND(ISNUMBER(L923),OR(L923&lt;0,L923&gt;95))),"Введите целое число от 0 до 95",IF(OR(AND(J923&lt;&gt;"",NOT(ISNUMBER(J923))),IFERROR(MOD(J923,1),1)&gt;0,AND(ISNUMBER(J923),OR(J923&lt;50,J923&gt;20000000))),"Введите целое число от 50 до 20000000",IF(NOT(ABS(IFERROR(VALUE(LEFT(M923,FIND("-",M923)-1)),M923)*100-(5000+2000000000)/2)&lt;=ABS(5000-2000000000)/2),"Цена со скидкой должна быть от 50 до 20000000",IF(IFERROR(VALUE(LEFT(M923,FIND("-",M923)-1)),M923)*229&lt;92700,"Вы уменьшили цену в несколько раз, товар попадет в карантин цен","")))),"")</f>
      </c>
    </row>
    <row r="924">
      <c r="A924" s="2" t="inlineStr">
        <is>
          <t>CuteShop</t>
        </is>
      </c>
      <c r="B924" s="2" t="inlineStr">
        <is>
          <t>Держатели для пустышек</t>
        </is>
      </c>
      <c r="C924" s="2">
        <v>245135652</v>
      </c>
      <c r="D924" s="2" t="inlineStr">
        <is>
          <t>TemaBG</t>
        </is>
      </c>
      <c r="E924" s="2" t="inlineStr">
        <is>
          <t>2040698788598</t>
        </is>
      </c>
      <c r="F924" s="2">
        <v>0</v>
      </c>
      <c r="G924" s="2">
        <v>1</v>
      </c>
      <c r="H924" s="2" t="inlineStr">
        <is>
          <t/>
        </is>
      </c>
      <c r="I924" s="2" t="inlineStr">
        <is>
          <t>700</t>
        </is>
      </c>
      <c r="J924" s="4"/>
      <c r="K924" s="2">
        <v>10</v>
      </c>
      <c r="L924" s="6"/>
      <c r="M924" s="2" t="str">
        <f>IF(J924="",ROUND(I924*(1-IF(ISBLANK(L924),K924,L924)/100),2),ROUND(J924*(1-IF(ISBLANK(L924),K924,L924)/100),2))</f>
      </c>
      <c r="N924" s="7" t="str">
        <f>IF(NOT(AND(J924="",L924="")),IF(OR(AND(L924&lt;&gt;"",NOT(ISNUMBER(L924))),IFERROR(MOD(L924,1),1)&gt;0,AND(ISNUMBER(L924),OR(L924&lt;0,L924&gt;95))),"Введите целое число от 0 до 95",IF(OR(AND(J924&lt;&gt;"",NOT(ISNUMBER(J924))),IFERROR(MOD(J924,1),1)&gt;0,AND(ISNUMBER(J924),OR(J924&lt;50,J924&gt;20000000))),"Введите целое число от 50 до 20000000",IF(NOT(ABS(IFERROR(VALUE(LEFT(M924,FIND("-",M924)-1)),M924)*100-(5000+2000000000)/2)&lt;=ABS(5000-2000000000)/2),"Цена со скидкой должна быть от 50 до 20000000",IF(IFERROR(VALUE(LEFT(M924,FIND("-",M924)-1)),M924)*229&lt;63000,"Вы уменьшили цену в несколько раз, товар попадет в карантин цен","")))),"")</f>
      </c>
    </row>
    <row r="925">
      <c r="A925" s="2" t="inlineStr">
        <is>
          <t>CuteShop</t>
        </is>
      </c>
      <c r="B925" s="2" t="inlineStr">
        <is>
          <t>Держатели для пустышек</t>
        </is>
      </c>
      <c r="C925" s="2">
        <v>245135653</v>
      </c>
      <c r="D925" s="2" t="inlineStr">
        <is>
          <t>TemaMash</t>
        </is>
      </c>
      <c r="E925" s="2" t="inlineStr">
        <is>
          <t>2040698799822</t>
        </is>
      </c>
      <c r="F925" s="2">
        <v>0</v>
      </c>
      <c r="G925" s="2">
        <v>0</v>
      </c>
      <c r="H925" s="2" t="inlineStr">
        <is>
          <t/>
        </is>
      </c>
      <c r="I925" s="2" t="inlineStr">
        <is>
          <t>840</t>
        </is>
      </c>
      <c r="J925" s="4"/>
      <c r="K925" s="2">
        <v>10</v>
      </c>
      <c r="L925" s="6"/>
      <c r="M925" s="2" t="str">
        <f>IF(J925="",ROUND(I925*(1-IF(ISBLANK(L925),K925,L925)/100),2),ROUND(J925*(1-IF(ISBLANK(L925),K925,L925)/100),2))</f>
      </c>
      <c r="N925" s="7" t="str">
        <f>IF(NOT(AND(J925="",L925="")),IF(OR(AND(L925&lt;&gt;"",NOT(ISNUMBER(L925))),IFERROR(MOD(L925,1),1)&gt;0,AND(ISNUMBER(L925),OR(L925&lt;0,L925&gt;95))),"Введите целое число от 0 до 95",IF(OR(AND(J925&lt;&gt;"",NOT(ISNUMBER(J925))),IFERROR(MOD(J925,1),1)&gt;0,AND(ISNUMBER(J925),OR(J925&lt;50,J925&gt;20000000))),"Введите целое число от 50 до 20000000",IF(NOT(ABS(IFERROR(VALUE(LEFT(M925,FIND("-",M925)-1)),M925)*100-(5000+2000000000)/2)&lt;=ABS(5000-2000000000)/2),"Цена со скидкой должна быть от 50 до 20000000",IF(IFERROR(VALUE(LEFT(M925,FIND("-",M925)-1)),M925)*229&lt;75600,"Вы уменьшили цену в несколько раз, товар попадет в карантин цен","")))),"")</f>
      </c>
    </row>
    <row r="926">
      <c r="A926" s="2" t="inlineStr">
        <is>
          <t>CuteShop</t>
        </is>
      </c>
      <c r="B926" s="2" t="inlineStr">
        <is>
          <t>Держатели для пустышек</t>
        </is>
      </c>
      <c r="C926" s="2">
        <v>245136595</v>
      </c>
      <c r="D926" s="2" t="inlineStr">
        <is>
          <t>TimoshaKot</t>
        </is>
      </c>
      <c r="E926" s="2" t="inlineStr">
        <is>
          <t>2040698831126</t>
        </is>
      </c>
      <c r="F926" s="2">
        <v>0</v>
      </c>
      <c r="G926" s="2">
        <v>0</v>
      </c>
      <c r="H926" s="2" t="inlineStr">
        <is>
          <t/>
        </is>
      </c>
      <c r="I926" s="2" t="inlineStr">
        <is>
          <t>880</t>
        </is>
      </c>
      <c r="J926" s="4"/>
      <c r="K926" s="2">
        <v>10</v>
      </c>
      <c r="L926" s="6"/>
      <c r="M926" s="2" t="str">
        <f>IF(J926="",ROUND(I926*(1-IF(ISBLANK(L926),K926,L926)/100),2),ROUND(J926*(1-IF(ISBLANK(L926),K926,L926)/100),2))</f>
      </c>
      <c r="N926" s="7" t="str">
        <f>IF(NOT(AND(J926="",L926="")),IF(OR(AND(L926&lt;&gt;"",NOT(ISNUMBER(L926))),IFERROR(MOD(L926,1),1)&gt;0,AND(ISNUMBER(L926),OR(L926&lt;0,L926&gt;95))),"Введите целое число от 0 до 95",IF(OR(AND(J926&lt;&gt;"",NOT(ISNUMBER(J926))),IFERROR(MOD(J926,1),1)&gt;0,AND(ISNUMBER(J926),OR(J926&lt;50,J926&gt;20000000))),"Введите целое число от 50 до 20000000",IF(NOT(ABS(IFERROR(VALUE(LEFT(M926,FIND("-",M926)-1)),M926)*100-(5000+2000000000)/2)&lt;=ABS(5000-2000000000)/2),"Цена со скидкой должна быть от 50 до 20000000",IF(IFERROR(VALUE(LEFT(M926,FIND("-",M926)-1)),M926)*229&lt;79200,"Вы уменьшили цену в несколько раз, товар попадет в карантин цен","")))),"")</f>
      </c>
    </row>
    <row r="927">
      <c r="A927" s="2" t="inlineStr">
        <is>
          <t>CuteShop</t>
        </is>
      </c>
      <c r="B927" s="2" t="inlineStr">
        <is>
          <t>Держатели для пустышек</t>
        </is>
      </c>
      <c r="C927" s="2">
        <v>245137545</v>
      </c>
      <c r="D927" s="2" t="inlineStr">
        <is>
          <t>RodionBG</t>
        </is>
      </c>
      <c r="E927" s="2" t="inlineStr">
        <is>
          <t>2040698857614</t>
        </is>
      </c>
      <c r="F927" s="2">
        <v>0</v>
      </c>
      <c r="G927" s="2">
        <v>1</v>
      </c>
      <c r="H927" s="2" t="inlineStr">
        <is>
          <t/>
        </is>
      </c>
      <c r="I927" s="2" t="inlineStr">
        <is>
          <t>630</t>
        </is>
      </c>
      <c r="J927" s="4"/>
      <c r="K927" s="2">
        <v>10</v>
      </c>
      <c r="L927" s="6"/>
      <c r="M927" s="2" t="str">
        <f>IF(J927="",ROUND(I927*(1-IF(ISBLANK(L927),K927,L927)/100),2),ROUND(J927*(1-IF(ISBLANK(L927),K927,L927)/100),2))</f>
      </c>
      <c r="N927" s="7" t="str">
        <f>IF(NOT(AND(J927="",L927="")),IF(OR(AND(L927&lt;&gt;"",NOT(ISNUMBER(L927))),IFERROR(MOD(L927,1),1)&gt;0,AND(ISNUMBER(L927),OR(L927&lt;0,L927&gt;95))),"Введите целое число от 0 до 95",IF(OR(AND(J927&lt;&gt;"",NOT(ISNUMBER(J927))),IFERROR(MOD(J927,1),1)&gt;0,AND(ISNUMBER(J927),OR(J927&lt;50,J927&gt;20000000))),"Введите целое число от 50 до 20000000",IF(NOT(ABS(IFERROR(VALUE(LEFT(M927,FIND("-",M927)-1)),M927)*100-(5000+2000000000)/2)&lt;=ABS(5000-2000000000)/2),"Цена со скидкой должна быть от 50 до 20000000",IF(IFERROR(VALUE(LEFT(M927,FIND("-",M927)-1)),M927)*229&lt;56700,"Вы уменьшили цену в несколько раз, товар попадет в карантин цен","")))),"")</f>
      </c>
    </row>
    <row r="928">
      <c r="A928" s="2" t="inlineStr">
        <is>
          <t>CuteShop</t>
        </is>
      </c>
      <c r="B928" s="2" t="inlineStr">
        <is>
          <t>Держатели для пустышек</t>
        </is>
      </c>
      <c r="C928" s="2">
        <v>245142191</v>
      </c>
      <c r="D928" s="2" t="inlineStr">
        <is>
          <t>RomaBG2</t>
        </is>
      </c>
      <c r="E928" s="2" t="inlineStr">
        <is>
          <t>2040698958595</t>
        </is>
      </c>
      <c r="F928" s="2">
        <v>0</v>
      </c>
      <c r="G928" s="2">
        <v>1</v>
      </c>
      <c r="H928" s="2" t="inlineStr">
        <is>
          <t/>
        </is>
      </c>
      <c r="I928" s="2" t="inlineStr">
        <is>
          <t>660</t>
        </is>
      </c>
      <c r="J928" s="4"/>
      <c r="K928" s="2">
        <v>10</v>
      </c>
      <c r="L928" s="6"/>
      <c r="M928" s="2" t="str">
        <f>IF(J928="",ROUND(I928*(1-IF(ISBLANK(L928),K928,L928)/100),2),ROUND(J928*(1-IF(ISBLANK(L928),K928,L928)/100),2))</f>
      </c>
      <c r="N928" s="7" t="str">
        <f>IF(NOT(AND(J928="",L928="")),IF(OR(AND(L928&lt;&gt;"",NOT(ISNUMBER(L928))),IFERROR(MOD(L928,1),1)&gt;0,AND(ISNUMBER(L928),OR(L928&lt;0,L928&gt;95))),"Введите целое число от 0 до 95",IF(OR(AND(J928&lt;&gt;"",NOT(ISNUMBER(J928))),IFERROR(MOD(J928,1),1)&gt;0,AND(ISNUMBER(J928),OR(J928&lt;50,J928&gt;20000000))),"Введите целое число от 50 до 20000000",IF(NOT(ABS(IFERROR(VALUE(LEFT(M928,FIND("-",M928)-1)),M928)*100-(5000+2000000000)/2)&lt;=ABS(5000-2000000000)/2),"Цена со скидкой должна быть от 50 до 20000000",IF(IFERROR(VALUE(LEFT(M928,FIND("-",M928)-1)),M928)*229&lt;59400,"Вы уменьшили цену в несколько раз, товар попадет в карантин цен","")))),"")</f>
      </c>
    </row>
    <row r="929">
      <c r="A929" s="2" t="inlineStr">
        <is>
          <t>CuteShop</t>
        </is>
      </c>
      <c r="B929" s="2" t="inlineStr">
        <is>
          <t>Держатели для пустышек</t>
        </is>
      </c>
      <c r="C929" s="2">
        <v>146348570</v>
      </c>
      <c r="D929" s="2" t="inlineStr">
        <is>
          <t>SaveliyBG</t>
        </is>
      </c>
      <c r="E929" s="2" t="inlineStr">
        <is>
          <t>2037465478370</t>
        </is>
      </c>
      <c r="F929" s="2">
        <v>0</v>
      </c>
      <c r="G929" s="2">
        <v>1</v>
      </c>
      <c r="H929" s="2">
        <v>0</v>
      </c>
      <c r="I929" s="2" t="inlineStr">
        <is>
          <t>790</t>
        </is>
      </c>
      <c r="J929" s="4"/>
      <c r="K929" s="2">
        <v>10</v>
      </c>
      <c r="L929" s="6"/>
      <c r="M929" s="2" t="str">
        <f>IF(J929="",ROUND(I929*(1-IF(ISBLANK(L929),K929,L929)/100),2),ROUND(J929*(1-IF(ISBLANK(L929),K929,L929)/100),2))</f>
      </c>
      <c r="N929" s="7" t="str">
        <f>IF(NOT(AND(J929="",L929="")),IF(OR(AND(L929&lt;&gt;"",NOT(ISNUMBER(L929))),IFERROR(MOD(L929,1),1)&gt;0,AND(ISNUMBER(L929),OR(L929&lt;0,L929&gt;95))),"Введите целое число от 0 до 95",IF(OR(AND(J929&lt;&gt;"",NOT(ISNUMBER(J929))),IFERROR(MOD(J929,1),1)&gt;0,AND(ISNUMBER(J929),OR(J929&lt;50,J929&gt;20000000))),"Введите целое число от 50 до 20000000",IF(NOT(ABS(IFERROR(VALUE(LEFT(M929,FIND("-",M929)-1)),M929)*100-(5000+2000000000)/2)&lt;=ABS(5000-2000000000)/2),"Цена со скидкой должна быть от 50 до 20000000",IF(IFERROR(VALUE(LEFT(M929,FIND("-",M929)-1)),M929)*229&lt;71100,"Вы уменьшили цену в несколько раз, товар попадет в карантин цен","")))),"")</f>
      </c>
    </row>
    <row r="930">
      <c r="A930" s="2" t="inlineStr">
        <is>
          <t>CuteShop</t>
        </is>
      </c>
      <c r="B930" s="2" t="inlineStr">
        <is>
          <t>Держатели для пустышек</t>
        </is>
      </c>
      <c r="C930" s="2">
        <v>99297669</v>
      </c>
      <c r="D930" s="2" t="inlineStr">
        <is>
          <t>AnyutaEdin</t>
        </is>
      </c>
      <c r="E930" s="2" t="inlineStr">
        <is>
          <t>2036797072836</t>
        </is>
      </c>
      <c r="F930" s="2">
        <v>0</v>
      </c>
      <c r="G930" s="2">
        <v>0</v>
      </c>
      <c r="H930" s="2">
        <v>0</v>
      </c>
      <c r="I930" s="2" t="inlineStr">
        <is>
          <t>1030</t>
        </is>
      </c>
      <c r="J930" s="4"/>
      <c r="K930" s="2">
        <v>10</v>
      </c>
      <c r="L930" s="6"/>
      <c r="M930" s="2" t="str">
        <f>IF(J930="",ROUND(I930*(1-IF(ISBLANK(L930),K930,L930)/100),2),ROUND(J930*(1-IF(ISBLANK(L930),K930,L930)/100),2))</f>
      </c>
      <c r="N930" s="7" t="str">
        <f>IF(NOT(AND(J930="",L930="")),IF(OR(AND(L930&lt;&gt;"",NOT(ISNUMBER(L930))),IFERROR(MOD(L930,1),1)&gt;0,AND(ISNUMBER(L930),OR(L930&lt;0,L930&gt;95))),"Введите целое число от 0 до 95",IF(OR(AND(J930&lt;&gt;"",NOT(ISNUMBER(J930))),IFERROR(MOD(J930,1),1)&gt;0,AND(ISNUMBER(J930),OR(J930&lt;50,J930&gt;20000000))),"Введите целое число от 50 до 20000000",IF(NOT(ABS(IFERROR(VALUE(LEFT(M930,FIND("-",M930)-1)),M930)*100-(5000+2000000000)/2)&lt;=ABS(5000-2000000000)/2),"Цена со скидкой должна быть от 50 до 20000000",IF(IFERROR(VALUE(LEFT(M930,FIND("-",M930)-1)),M930)*229&lt;92700,"Вы уменьшили цену в несколько раз, товар попадет в карантин цен","")))),"")</f>
      </c>
    </row>
    <row r="931">
      <c r="A931" s="2" t="inlineStr">
        <is>
          <t>CuteShop</t>
        </is>
      </c>
      <c r="B931" s="2" t="inlineStr">
        <is>
          <t>Держатели для пустышек</t>
        </is>
      </c>
      <c r="C931" s="2">
        <v>146342934</v>
      </c>
      <c r="D931" s="2" t="inlineStr">
        <is>
          <t>MartaMish</t>
        </is>
      </c>
      <c r="E931" s="2" t="inlineStr">
        <is>
          <t>2037465307991</t>
        </is>
      </c>
      <c r="F931" s="2">
        <v>0</v>
      </c>
      <c r="G931" s="2">
        <v>0</v>
      </c>
      <c r="H931" s="2" t="inlineStr">
        <is>
          <t/>
        </is>
      </c>
      <c r="I931" s="2" t="inlineStr">
        <is>
          <t>1030</t>
        </is>
      </c>
      <c r="J931" s="4"/>
      <c r="K931" s="2">
        <v>10</v>
      </c>
      <c r="L931" s="6"/>
      <c r="M931" s="2" t="str">
        <f>IF(J931="",ROUND(I931*(1-IF(ISBLANK(L931),K931,L931)/100),2),ROUND(J931*(1-IF(ISBLANK(L931),K931,L931)/100),2))</f>
      </c>
      <c r="N931" s="7" t="str">
        <f>IF(NOT(AND(J931="",L931="")),IF(OR(AND(L931&lt;&gt;"",NOT(ISNUMBER(L931))),IFERROR(MOD(L931,1),1)&gt;0,AND(ISNUMBER(L931),OR(L931&lt;0,L931&gt;95))),"Введите целое число от 0 до 95",IF(OR(AND(J931&lt;&gt;"",NOT(ISNUMBER(J931))),IFERROR(MOD(J931,1),1)&gt;0,AND(ISNUMBER(J931),OR(J931&lt;50,J931&gt;20000000))),"Введите целое число от 50 до 20000000",IF(NOT(ABS(IFERROR(VALUE(LEFT(M931,FIND("-",M931)-1)),M931)*100-(5000+2000000000)/2)&lt;=ABS(5000-2000000000)/2),"Цена со скидкой должна быть от 50 до 20000000",IF(IFERROR(VALUE(LEFT(M931,FIND("-",M931)-1)),M931)*229&lt;92700,"Вы уменьшили цену в несколько раз, товар попадет в карантин цен","")))),"")</f>
      </c>
    </row>
    <row r="932">
      <c r="A932" s="2" t="inlineStr">
        <is>
          <t>CuteShop</t>
        </is>
      </c>
      <c r="B932" s="2" t="inlineStr">
        <is>
          <t>Держатели для пустышек</t>
        </is>
      </c>
      <c r="C932" s="2">
        <v>111027203</v>
      </c>
      <c r="D932" s="2" t="inlineStr">
        <is>
          <t>AlenaMishRoz</t>
        </is>
      </c>
      <c r="E932" s="2" t="inlineStr">
        <is>
          <t>2037460035622</t>
        </is>
      </c>
      <c r="F932" s="2">
        <v>0</v>
      </c>
      <c r="G932" s="2">
        <v>0</v>
      </c>
      <c r="H932" s="2">
        <v>0</v>
      </c>
      <c r="I932" s="2" t="inlineStr">
        <is>
          <t>1030</t>
        </is>
      </c>
      <c r="J932" s="4"/>
      <c r="K932" s="2">
        <v>10</v>
      </c>
      <c r="L932" s="6"/>
      <c r="M932" s="2" t="str">
        <f>IF(J932="",ROUND(I932*(1-IF(ISBLANK(L932),K932,L932)/100),2),ROUND(J932*(1-IF(ISBLANK(L932),K932,L932)/100),2))</f>
      </c>
      <c r="N932" s="7" t="str">
        <f>IF(NOT(AND(J932="",L932="")),IF(OR(AND(L932&lt;&gt;"",NOT(ISNUMBER(L932))),IFERROR(MOD(L932,1),1)&gt;0,AND(ISNUMBER(L932),OR(L932&lt;0,L932&gt;95))),"Введите целое число от 0 до 95",IF(OR(AND(J932&lt;&gt;"",NOT(ISNUMBER(J932))),IFERROR(MOD(J932,1),1)&gt;0,AND(ISNUMBER(J932),OR(J932&lt;50,J932&gt;20000000))),"Введите целое число от 50 до 20000000",IF(NOT(ABS(IFERROR(VALUE(LEFT(M932,FIND("-",M932)-1)),M932)*100-(5000+2000000000)/2)&lt;=ABS(5000-2000000000)/2),"Цена со скидкой должна быть от 50 до 20000000",IF(IFERROR(VALUE(LEFT(M932,FIND("-",M932)-1)),M932)*229&lt;92700,"Вы уменьшили цену в несколько раз, товар попадет в карантин цен","")))),"")</f>
      </c>
    </row>
    <row r="933">
      <c r="A933" s="2" t="inlineStr">
        <is>
          <t>CuteShop</t>
        </is>
      </c>
      <c r="B933" s="2" t="inlineStr">
        <is>
          <t>Держатели для пустышек</t>
        </is>
      </c>
      <c r="C933" s="2">
        <v>146342933</v>
      </c>
      <c r="D933" s="2" t="inlineStr">
        <is>
          <t>MartaZay</t>
        </is>
      </c>
      <c r="E933" s="2" t="inlineStr">
        <is>
          <t>2037465307441</t>
        </is>
      </c>
      <c r="F933" s="2">
        <v>0</v>
      </c>
      <c r="G933" s="2">
        <v>0</v>
      </c>
      <c r="H933" s="2">
        <v>0</v>
      </c>
      <c r="I933" s="2" t="inlineStr">
        <is>
          <t>1030</t>
        </is>
      </c>
      <c r="J933" s="4"/>
      <c r="K933" s="2">
        <v>10</v>
      </c>
      <c r="L933" s="6"/>
      <c r="M933" s="2" t="str">
        <f>IF(J933="",ROUND(I933*(1-IF(ISBLANK(L933),K933,L933)/100),2),ROUND(J933*(1-IF(ISBLANK(L933),K933,L933)/100),2))</f>
      </c>
      <c r="N933" s="7" t="str">
        <f>IF(NOT(AND(J933="",L933="")),IF(OR(AND(L933&lt;&gt;"",NOT(ISNUMBER(L933))),IFERROR(MOD(L933,1),1)&gt;0,AND(ISNUMBER(L933),OR(L933&lt;0,L933&gt;95))),"Введите целое число от 0 до 95",IF(OR(AND(J933&lt;&gt;"",NOT(ISNUMBER(J933))),IFERROR(MOD(J933,1),1)&gt;0,AND(ISNUMBER(J933),OR(J933&lt;50,J933&gt;20000000))),"Введите целое число от 50 до 20000000",IF(NOT(ABS(IFERROR(VALUE(LEFT(M933,FIND("-",M933)-1)),M933)*100-(5000+2000000000)/2)&lt;=ABS(5000-2000000000)/2),"Цена со скидкой должна быть от 50 до 20000000",IF(IFERROR(VALUE(LEFT(M933,FIND("-",M933)-1)),M933)*229&lt;92700,"Вы уменьшили цену в несколько раз, товар попадет в карантин цен","")))),"")</f>
      </c>
    </row>
    <row r="934">
      <c r="A934" s="2" t="inlineStr">
        <is>
          <t>CuteShop</t>
        </is>
      </c>
      <c r="B934" s="2" t="inlineStr">
        <is>
          <t>Держатели для пустышек</t>
        </is>
      </c>
      <c r="C934" s="2">
        <v>112389612</v>
      </c>
      <c r="D934" s="2" t="inlineStr">
        <is>
          <t>MishutkaLis</t>
        </is>
      </c>
      <c r="E934" s="2" t="inlineStr">
        <is>
          <t>2038785580620</t>
        </is>
      </c>
      <c r="F934" s="2">
        <v>0</v>
      </c>
      <c r="G934" s="2">
        <v>1</v>
      </c>
      <c r="H934" s="2">
        <v>0</v>
      </c>
      <c r="I934" s="2" t="inlineStr">
        <is>
          <t>1030</t>
        </is>
      </c>
      <c r="J934" s="4"/>
      <c r="K934" s="2">
        <v>10</v>
      </c>
      <c r="L934" s="6"/>
      <c r="M934" s="2" t="str">
        <f>IF(J934="",ROUND(I934*(1-IF(ISBLANK(L934),K934,L934)/100),2),ROUND(J934*(1-IF(ISBLANK(L934),K934,L934)/100),2))</f>
      </c>
      <c r="N934" s="7" t="str">
        <f>IF(NOT(AND(J934="",L934="")),IF(OR(AND(L934&lt;&gt;"",NOT(ISNUMBER(L934))),IFERROR(MOD(L934,1),1)&gt;0,AND(ISNUMBER(L934),OR(L934&lt;0,L934&gt;95))),"Введите целое число от 0 до 95",IF(OR(AND(J934&lt;&gt;"",NOT(ISNUMBER(J934))),IFERROR(MOD(J934,1),1)&gt;0,AND(ISNUMBER(J934),OR(J934&lt;50,J934&gt;20000000))),"Введите целое число от 50 до 20000000",IF(NOT(ABS(IFERROR(VALUE(LEFT(M934,FIND("-",M934)-1)),M934)*100-(5000+2000000000)/2)&lt;=ABS(5000-2000000000)/2),"Цена со скидкой должна быть от 50 до 20000000",IF(IFERROR(VALUE(LEFT(M934,FIND("-",M934)-1)),M934)*229&lt;92700,"Вы уменьшили цену в несколько раз, товар попадет в карантин цен","")))),"")</f>
      </c>
    </row>
    <row r="935">
      <c r="A935" s="2" t="inlineStr">
        <is>
          <t>CuteShop</t>
        </is>
      </c>
      <c r="B935" s="2" t="inlineStr">
        <is>
          <t>Держатели для пустышек</t>
        </is>
      </c>
      <c r="C935" s="2">
        <v>156230064</v>
      </c>
      <c r="D935" s="2" t="inlineStr">
        <is>
          <t>YanochkaEdin</t>
        </is>
      </c>
      <c r="E935" s="2" t="inlineStr">
        <is>
          <t>2037706167759</t>
        </is>
      </c>
      <c r="F935" s="2">
        <v>0</v>
      </c>
      <c r="G935" s="2">
        <v>0</v>
      </c>
      <c r="H935" s="2" t="inlineStr">
        <is>
          <t/>
        </is>
      </c>
      <c r="I935" s="2" t="inlineStr">
        <is>
          <t>1030</t>
        </is>
      </c>
      <c r="J935" s="4"/>
      <c r="K935" s="2">
        <v>10</v>
      </c>
      <c r="L935" s="6"/>
      <c r="M935" s="2" t="str">
        <f>IF(J935="",ROUND(I935*(1-IF(ISBLANK(L935),K935,L935)/100),2),ROUND(J935*(1-IF(ISBLANK(L935),K935,L935)/100),2))</f>
      </c>
      <c r="N935" s="7" t="str">
        <f>IF(NOT(AND(J935="",L935="")),IF(OR(AND(L935&lt;&gt;"",NOT(ISNUMBER(L935))),IFERROR(MOD(L935,1),1)&gt;0,AND(ISNUMBER(L935),OR(L935&lt;0,L935&gt;95))),"Введите целое число от 0 до 95",IF(OR(AND(J935&lt;&gt;"",NOT(ISNUMBER(J935))),IFERROR(MOD(J935,1),1)&gt;0,AND(ISNUMBER(J935),OR(J935&lt;50,J935&gt;20000000))),"Введите целое число от 50 до 20000000",IF(NOT(ABS(IFERROR(VALUE(LEFT(M935,FIND("-",M935)-1)),M935)*100-(5000+2000000000)/2)&lt;=ABS(5000-2000000000)/2),"Цена со скидкой должна быть от 50 до 20000000",IF(IFERROR(VALUE(LEFT(M935,FIND("-",M935)-1)),M935)*229&lt;92700,"Вы уменьшили цену в несколько раз, товар попадет в карантин цен","")))),"")</f>
      </c>
    </row>
    <row r="936">
      <c r="A936" s="2" t="inlineStr">
        <is>
          <t>CuteShop</t>
        </is>
      </c>
      <c r="B936" s="2" t="inlineStr">
        <is>
          <t>Держатели для пустышек</t>
        </is>
      </c>
      <c r="C936" s="2">
        <v>112389613</v>
      </c>
      <c r="D936" s="2" t="inlineStr">
        <is>
          <t>MishutkaMishGol</t>
        </is>
      </c>
      <c r="E936" s="2" t="inlineStr">
        <is>
          <t>2038785574629</t>
        </is>
      </c>
      <c r="F936" s="2">
        <v>0</v>
      </c>
      <c r="G936" s="2">
        <v>1</v>
      </c>
      <c r="H936" s="2">
        <v>1</v>
      </c>
      <c r="I936" s="2" t="inlineStr">
        <is>
          <t>1030</t>
        </is>
      </c>
      <c r="J936" s="4"/>
      <c r="K936" s="2">
        <v>10</v>
      </c>
      <c r="L936" s="6"/>
      <c r="M936" s="2" t="str">
        <f>IF(J936="",ROUND(I936*(1-IF(ISBLANK(L936),K936,L936)/100),2),ROUND(J936*(1-IF(ISBLANK(L936),K936,L936)/100),2))</f>
      </c>
      <c r="N936" s="7" t="str">
        <f>IF(NOT(AND(J936="",L936="")),IF(OR(AND(L936&lt;&gt;"",NOT(ISNUMBER(L936))),IFERROR(MOD(L936,1),1)&gt;0,AND(ISNUMBER(L936),OR(L936&lt;0,L936&gt;95))),"Введите целое число от 0 до 95",IF(OR(AND(J936&lt;&gt;"",NOT(ISNUMBER(J936))),IFERROR(MOD(J936,1),1)&gt;0,AND(ISNUMBER(J936),OR(J936&lt;50,J936&gt;20000000))),"Введите целое число от 50 до 20000000",IF(NOT(ABS(IFERROR(VALUE(LEFT(M936,FIND("-",M936)-1)),M936)*100-(5000+2000000000)/2)&lt;=ABS(5000-2000000000)/2),"Цена со скидкой должна быть от 50 до 20000000",IF(IFERROR(VALUE(LEFT(M936,FIND("-",M936)-1)),M936)*229&lt;92700,"Вы уменьшили цену в несколько раз, товар попадет в карантин цен","")))),"")</f>
      </c>
    </row>
    <row r="937">
      <c r="A937" s="2" t="inlineStr">
        <is>
          <t>CuteShop</t>
        </is>
      </c>
      <c r="B937" s="2" t="inlineStr">
        <is>
          <t>Держатели для пустышек</t>
        </is>
      </c>
      <c r="C937" s="2">
        <v>112389614</v>
      </c>
      <c r="D937" s="2" t="inlineStr">
        <is>
          <t>MishutkaMishSer</t>
        </is>
      </c>
      <c r="E937" s="2" t="inlineStr">
        <is>
          <t>2038785558629</t>
        </is>
      </c>
      <c r="F937" s="2">
        <v>0</v>
      </c>
      <c r="G937" s="2">
        <v>1</v>
      </c>
      <c r="H937" s="2">
        <v>0</v>
      </c>
      <c r="I937" s="2" t="inlineStr">
        <is>
          <t>1030</t>
        </is>
      </c>
      <c r="J937" s="4"/>
      <c r="K937" s="2">
        <v>10</v>
      </c>
      <c r="L937" s="6"/>
      <c r="M937" s="2" t="str">
        <f>IF(J937="",ROUND(I937*(1-IF(ISBLANK(L937),K937,L937)/100),2),ROUND(J937*(1-IF(ISBLANK(L937),K937,L937)/100),2))</f>
      </c>
      <c r="N937" s="7" t="str">
        <f>IF(NOT(AND(J937="",L937="")),IF(OR(AND(L937&lt;&gt;"",NOT(ISNUMBER(L937))),IFERROR(MOD(L937,1),1)&gt;0,AND(ISNUMBER(L937),OR(L937&lt;0,L937&gt;95))),"Введите целое число от 0 до 95",IF(OR(AND(J937&lt;&gt;"",NOT(ISNUMBER(J937))),IFERROR(MOD(J937,1),1)&gt;0,AND(ISNUMBER(J937),OR(J937&lt;50,J937&gt;20000000))),"Введите целое число от 50 до 20000000",IF(NOT(ABS(IFERROR(VALUE(LEFT(M937,FIND("-",M937)-1)),M937)*100-(5000+2000000000)/2)&lt;=ABS(5000-2000000000)/2),"Цена со скидкой должна быть от 50 до 20000000",IF(IFERROR(VALUE(LEFT(M937,FIND("-",M937)-1)),M937)*229&lt;92700,"Вы уменьшили цену в несколько раз, товар попадет в карантин цен","")))),"")</f>
      </c>
    </row>
    <row r="938">
      <c r="A938" s="2" t="inlineStr">
        <is>
          <t>CuteShop</t>
        </is>
      </c>
      <c r="B938" s="2" t="inlineStr">
        <is>
          <t>Держатели для пустышек</t>
        </is>
      </c>
      <c r="C938" s="2">
        <v>112392931</v>
      </c>
      <c r="D938" s="2" t="inlineStr">
        <is>
          <t>SerezhaBG</t>
        </is>
      </c>
      <c r="E938" s="2" t="inlineStr">
        <is>
          <t>2038787128622</t>
        </is>
      </c>
      <c r="F938" s="2">
        <v>0</v>
      </c>
      <c r="G938" s="2">
        <v>1</v>
      </c>
      <c r="H938" s="2">
        <v>0</v>
      </c>
      <c r="I938" s="2" t="inlineStr">
        <is>
          <t>790</t>
        </is>
      </c>
      <c r="J938" s="4"/>
      <c r="K938" s="2">
        <v>10</v>
      </c>
      <c r="L938" s="6"/>
      <c r="M938" s="2" t="str">
        <f>IF(J938="",ROUND(I938*(1-IF(ISBLANK(L938),K938,L938)/100),2),ROUND(J938*(1-IF(ISBLANK(L938),K938,L938)/100),2))</f>
      </c>
      <c r="N938" s="7" t="str">
        <f>IF(NOT(AND(J938="",L938="")),IF(OR(AND(L938&lt;&gt;"",NOT(ISNUMBER(L938))),IFERROR(MOD(L938,1),1)&gt;0,AND(ISNUMBER(L938),OR(L938&lt;0,L938&gt;95))),"Введите целое число от 0 до 95",IF(OR(AND(J938&lt;&gt;"",NOT(ISNUMBER(J938))),IFERROR(MOD(J938,1),1)&gt;0,AND(ISNUMBER(J938),OR(J938&lt;50,J938&gt;20000000))),"Введите целое число от 50 до 20000000",IF(NOT(ABS(IFERROR(VALUE(LEFT(M938,FIND("-",M938)-1)),M938)*100-(5000+2000000000)/2)&lt;=ABS(5000-2000000000)/2),"Цена со скидкой должна быть от 50 до 20000000",IF(IFERROR(VALUE(LEFT(M938,FIND("-",M938)-1)),M938)*229&lt;71100,"Вы уменьшили цену в несколько раз, товар попадет в карантин цен","")))),"")</f>
      </c>
    </row>
    <row r="939">
      <c r="A939" s="2" t="inlineStr">
        <is>
          <t>CuteShop</t>
        </is>
      </c>
      <c r="B939" s="2" t="inlineStr">
        <is>
          <t>Держатели для пустышек</t>
        </is>
      </c>
      <c r="C939" s="2">
        <v>112392935</v>
      </c>
      <c r="D939" s="2" t="inlineStr">
        <is>
          <t>SergeyBG</t>
        </is>
      </c>
      <c r="E939" s="2" t="inlineStr">
        <is>
          <t>2038786718626</t>
        </is>
      </c>
      <c r="F939" s="2">
        <v>0</v>
      </c>
      <c r="G939" s="2">
        <v>1</v>
      </c>
      <c r="H939" s="2">
        <v>0</v>
      </c>
      <c r="I939" s="2" t="inlineStr">
        <is>
          <t>790</t>
        </is>
      </c>
      <c r="J939" s="4"/>
      <c r="K939" s="2">
        <v>10</v>
      </c>
      <c r="L939" s="6"/>
      <c r="M939" s="2" t="str">
        <f>IF(J939="",ROUND(I939*(1-IF(ISBLANK(L939),K939,L939)/100),2),ROUND(J939*(1-IF(ISBLANK(L939),K939,L939)/100),2))</f>
      </c>
      <c r="N939" s="7" t="str">
        <f>IF(NOT(AND(J939="",L939="")),IF(OR(AND(L939&lt;&gt;"",NOT(ISNUMBER(L939))),IFERROR(MOD(L939,1),1)&gt;0,AND(ISNUMBER(L939),OR(L939&lt;0,L939&gt;95))),"Введите целое число от 0 до 95",IF(OR(AND(J939&lt;&gt;"",NOT(ISNUMBER(J939))),IFERROR(MOD(J939,1),1)&gt;0,AND(ISNUMBER(J939),OR(J939&lt;50,J939&gt;20000000))),"Введите целое число от 50 до 20000000",IF(NOT(ABS(IFERROR(VALUE(LEFT(M939,FIND("-",M939)-1)),M939)*100-(5000+2000000000)/2)&lt;=ABS(5000-2000000000)/2),"Цена со скидкой должна быть от 50 до 20000000",IF(IFERROR(VALUE(LEFT(M939,FIND("-",M939)-1)),M939)*229&lt;71100,"Вы уменьшили цену в несколько раз, товар попадет в карантин цен","")))),"")</f>
      </c>
    </row>
    <row r="940">
      <c r="A940" s="2" t="inlineStr">
        <is>
          <t>CuteShop</t>
        </is>
      </c>
      <c r="B940" s="2" t="inlineStr">
        <is>
          <t>Держатели для пустышек</t>
        </is>
      </c>
      <c r="C940" s="2">
        <v>372140242</v>
      </c>
      <c r="D940" s="2" t="inlineStr">
        <is>
          <t>SerezhaBel</t>
        </is>
      </c>
      <c r="E940" s="2" t="inlineStr">
        <is>
          <t>2043390772384</t>
        </is>
      </c>
      <c r="F940" s="2">
        <v>0</v>
      </c>
      <c r="G940" s="2">
        <v>1</v>
      </c>
      <c r="H940" s="2" t="inlineStr">
        <is>
          <t/>
        </is>
      </c>
      <c r="I940" s="2" t="inlineStr">
        <is>
          <t>1030</t>
        </is>
      </c>
      <c r="J940" s="4"/>
      <c r="K940" s="2">
        <v>10</v>
      </c>
      <c r="L940" s="6"/>
      <c r="M940" s="2" t="str">
        <f>IF(J940="",ROUND(I940*(1-IF(ISBLANK(L940),K940,L940)/100),2),ROUND(J940*(1-IF(ISBLANK(L940),K940,L940)/100),2))</f>
      </c>
      <c r="N940" s="7" t="str">
        <f>IF(NOT(AND(J940="",L940="")),IF(OR(AND(L940&lt;&gt;"",NOT(ISNUMBER(L940))),IFERROR(MOD(L940,1),1)&gt;0,AND(ISNUMBER(L940),OR(L940&lt;0,L940&gt;95))),"Введите целое число от 0 до 95",IF(OR(AND(J940&lt;&gt;"",NOT(ISNUMBER(J940))),IFERROR(MOD(J940,1),1)&gt;0,AND(ISNUMBER(J940),OR(J940&lt;50,J940&gt;20000000))),"Введите целое число от 50 до 20000000",IF(NOT(ABS(IFERROR(VALUE(LEFT(M940,FIND("-",M940)-1)),M940)*100-(5000+2000000000)/2)&lt;=ABS(5000-2000000000)/2),"Цена со скидкой должна быть от 50 до 20000000",IF(IFERROR(VALUE(LEFT(M940,FIND("-",M940)-1)),M940)*229&lt;92700,"Вы уменьшили цену в несколько раз, товар попадет в карантин цен","")))),"")</f>
      </c>
    </row>
    <row r="941">
      <c r="A941" s="2" t="inlineStr">
        <is>
          <t>CuteShop</t>
        </is>
      </c>
      <c r="B941" s="2" t="inlineStr">
        <is>
          <t>Держатели для пустышек</t>
        </is>
      </c>
      <c r="C941" s="2">
        <v>132195809</v>
      </c>
      <c r="D941" s="2" t="inlineStr">
        <is>
          <t>ArinaLis</t>
        </is>
      </c>
      <c r="E941" s="2" t="inlineStr">
        <is>
          <t>2037042221757</t>
        </is>
      </c>
      <c r="F941" s="2">
        <v>0</v>
      </c>
      <c r="G941" s="2">
        <v>0</v>
      </c>
      <c r="H941" s="2" t="inlineStr">
        <is>
          <t/>
        </is>
      </c>
      <c r="I941" s="2" t="inlineStr">
        <is>
          <t>1030</t>
        </is>
      </c>
      <c r="J941" s="4"/>
      <c r="K941" s="2">
        <v>10</v>
      </c>
      <c r="L941" s="6"/>
      <c r="M941" s="2" t="str">
        <f>IF(J941="",ROUND(I941*(1-IF(ISBLANK(L941),K941,L941)/100),2),ROUND(J941*(1-IF(ISBLANK(L941),K941,L941)/100),2))</f>
      </c>
      <c r="N941" s="7" t="str">
        <f>IF(NOT(AND(J941="",L941="")),IF(OR(AND(L941&lt;&gt;"",NOT(ISNUMBER(L941))),IFERROR(MOD(L941,1),1)&gt;0,AND(ISNUMBER(L941),OR(L941&lt;0,L941&gt;95))),"Введите целое число от 0 до 95",IF(OR(AND(J941&lt;&gt;"",NOT(ISNUMBER(J941))),IFERROR(MOD(J941,1),1)&gt;0,AND(ISNUMBER(J941),OR(J941&lt;50,J941&gt;20000000))),"Введите целое число от 50 до 20000000",IF(NOT(ABS(IFERROR(VALUE(LEFT(M941,FIND("-",M941)-1)),M941)*100-(5000+2000000000)/2)&lt;=ABS(5000-2000000000)/2),"Цена со скидкой должна быть от 50 до 20000000",IF(IFERROR(VALUE(LEFT(M941,FIND("-",M941)-1)),M941)*229&lt;92700,"Вы уменьшили цену в несколько раз, товар попадет в карантин цен","")))),"")</f>
      </c>
    </row>
    <row r="942">
      <c r="A942" s="2" t="inlineStr">
        <is>
          <t>CuteShop</t>
        </is>
      </c>
      <c r="B942" s="2" t="inlineStr">
        <is>
          <t>Держатели для пустышек</t>
        </is>
      </c>
      <c r="C942" s="2">
        <v>132225092</v>
      </c>
      <c r="D942" s="2" t="inlineStr">
        <is>
          <t>MariyaMashaBG</t>
        </is>
      </c>
      <c r="E942" s="2" t="inlineStr">
        <is>
          <t>2037042594585</t>
        </is>
      </c>
      <c r="F942" s="2">
        <v>0</v>
      </c>
      <c r="G942" s="2">
        <v>1</v>
      </c>
      <c r="H942" s="2">
        <v>0</v>
      </c>
      <c r="I942" s="2" t="inlineStr">
        <is>
          <t>790</t>
        </is>
      </c>
      <c r="J942" s="4"/>
      <c r="K942" s="2">
        <v>10</v>
      </c>
      <c r="L942" s="6"/>
      <c r="M942" s="2" t="str">
        <f>IF(J942="",ROUND(I942*(1-IF(ISBLANK(L942),K942,L942)/100),2),ROUND(J942*(1-IF(ISBLANK(L942),K942,L942)/100),2))</f>
      </c>
      <c r="N942" s="7" t="str">
        <f>IF(NOT(AND(J942="",L942="")),IF(OR(AND(L942&lt;&gt;"",NOT(ISNUMBER(L942))),IFERROR(MOD(L942,1),1)&gt;0,AND(ISNUMBER(L942),OR(L942&lt;0,L942&gt;95))),"Введите целое число от 0 до 95",IF(OR(AND(J942&lt;&gt;"",NOT(ISNUMBER(J942))),IFERROR(MOD(J942,1),1)&gt;0,AND(ISNUMBER(J942),OR(J942&lt;50,J942&gt;20000000))),"Введите целое число от 50 до 20000000",IF(NOT(ABS(IFERROR(VALUE(LEFT(M942,FIND("-",M942)-1)),M942)*100-(5000+2000000000)/2)&lt;=ABS(5000-2000000000)/2),"Цена со скидкой должна быть от 50 до 20000000",IF(IFERROR(VALUE(LEFT(M942,FIND("-",M942)-1)),M942)*229&lt;71100,"Вы уменьшили цену в несколько раз, товар попадет в карантин цен","")))),"")</f>
      </c>
    </row>
    <row r="943">
      <c r="A943" s="2" t="inlineStr">
        <is>
          <t>CuteShop</t>
        </is>
      </c>
      <c r="B943" s="2" t="inlineStr">
        <is>
          <t>Держатели для пустышек</t>
        </is>
      </c>
      <c r="C943" s="2">
        <v>146345606</v>
      </c>
      <c r="D943" s="2" t="inlineStr">
        <is>
          <t>LukaMish</t>
        </is>
      </c>
      <c r="E943" s="2" t="inlineStr">
        <is>
          <t>2037465390764</t>
        </is>
      </c>
      <c r="F943" s="2">
        <v>0</v>
      </c>
      <c r="G943" s="2">
        <v>0</v>
      </c>
      <c r="H943" s="2" t="inlineStr">
        <is>
          <t/>
        </is>
      </c>
      <c r="I943" s="2" t="inlineStr">
        <is>
          <t>1030</t>
        </is>
      </c>
      <c r="J943" s="4"/>
      <c r="K943" s="2">
        <v>10</v>
      </c>
      <c r="L943" s="6"/>
      <c r="M943" s="2" t="str">
        <f>IF(J943="",ROUND(I943*(1-IF(ISBLANK(L943),K943,L943)/100),2),ROUND(J943*(1-IF(ISBLANK(L943),K943,L943)/100),2))</f>
      </c>
      <c r="N943" s="7" t="str">
        <f>IF(NOT(AND(J943="",L943="")),IF(OR(AND(L943&lt;&gt;"",NOT(ISNUMBER(L943))),IFERROR(MOD(L943,1),1)&gt;0,AND(ISNUMBER(L943),OR(L943&lt;0,L943&gt;95))),"Введите целое число от 0 до 95",IF(OR(AND(J943&lt;&gt;"",NOT(ISNUMBER(J943))),IFERROR(MOD(J943,1),1)&gt;0,AND(ISNUMBER(J943),OR(J943&lt;50,J943&gt;20000000))),"Введите целое число от 50 до 20000000",IF(NOT(ABS(IFERROR(VALUE(LEFT(M943,FIND("-",M943)-1)),M943)*100-(5000+2000000000)/2)&lt;=ABS(5000-2000000000)/2),"Цена со скидкой должна быть от 50 до 20000000",IF(IFERROR(VALUE(LEFT(M943,FIND("-",M943)-1)),M943)*229&lt;92700,"Вы уменьшили цену в несколько раз, товар попадет в карантин цен","")))),"")</f>
      </c>
    </row>
    <row r="944">
      <c r="A944" s="2" t="inlineStr">
        <is>
          <t>CuteShop</t>
        </is>
      </c>
      <c r="B944" s="2" t="inlineStr">
        <is>
          <t>Держатели для пустышек</t>
        </is>
      </c>
      <c r="C944" s="2">
        <v>146345610</v>
      </c>
      <c r="D944" s="2" t="inlineStr">
        <is>
          <t>LukaSob</t>
        </is>
      </c>
      <c r="E944" s="2" t="inlineStr">
        <is>
          <t>2037465400111</t>
        </is>
      </c>
      <c r="F944" s="2">
        <v>0</v>
      </c>
      <c r="G944" s="2">
        <v>0</v>
      </c>
      <c r="H944" s="2" t="inlineStr">
        <is>
          <t/>
        </is>
      </c>
      <c r="I944" s="2" t="inlineStr">
        <is>
          <t>1030</t>
        </is>
      </c>
      <c r="J944" s="4"/>
      <c r="K944" s="2">
        <v>10</v>
      </c>
      <c r="L944" s="6"/>
      <c r="M944" s="2" t="str">
        <f>IF(J944="",ROUND(I944*(1-IF(ISBLANK(L944),K944,L944)/100),2),ROUND(J944*(1-IF(ISBLANK(L944),K944,L944)/100),2))</f>
      </c>
      <c r="N944" s="7" t="str">
        <f>IF(NOT(AND(J944="",L944="")),IF(OR(AND(L944&lt;&gt;"",NOT(ISNUMBER(L944))),IFERROR(MOD(L944,1),1)&gt;0,AND(ISNUMBER(L944),OR(L944&lt;0,L944&gt;95))),"Введите целое число от 0 до 95",IF(OR(AND(J944&lt;&gt;"",NOT(ISNUMBER(J944))),IFERROR(MOD(J944,1),1)&gt;0,AND(ISNUMBER(J944),OR(J944&lt;50,J944&gt;20000000))),"Введите целое число от 50 до 20000000",IF(NOT(ABS(IFERROR(VALUE(LEFT(M944,FIND("-",M944)-1)),M944)*100-(5000+2000000000)/2)&lt;=ABS(5000-2000000000)/2),"Цена со скидкой должна быть от 50 до 20000000",IF(IFERROR(VALUE(LEFT(M944,FIND("-",M944)-1)),M944)*229&lt;92700,"Вы уменьшили цену в несколько раз, товар попадет в карантин цен","")))),"")</f>
      </c>
    </row>
    <row r="945">
      <c r="A945" s="2" t="inlineStr">
        <is>
          <t>CuteShop</t>
        </is>
      </c>
      <c r="B945" s="2" t="inlineStr">
        <is>
          <t>Держатели для пустышек</t>
        </is>
      </c>
      <c r="C945" s="2">
        <v>146348573</v>
      </c>
      <c r="D945" s="2" t="inlineStr">
        <is>
          <t>SaveliyMish2</t>
        </is>
      </c>
      <c r="E945" s="2" t="inlineStr">
        <is>
          <t>2037465483848</t>
        </is>
      </c>
      <c r="F945" s="2">
        <v>0</v>
      </c>
      <c r="G945" s="2">
        <v>0</v>
      </c>
      <c r="H945" s="2">
        <v>0</v>
      </c>
      <c r="I945" s="2" t="inlineStr">
        <is>
          <t>1030</t>
        </is>
      </c>
      <c r="J945" s="4"/>
      <c r="K945" s="2">
        <v>10</v>
      </c>
      <c r="L945" s="6"/>
      <c r="M945" s="2" t="str">
        <f>IF(J945="",ROUND(I945*(1-IF(ISBLANK(L945),K945,L945)/100),2),ROUND(J945*(1-IF(ISBLANK(L945),K945,L945)/100),2))</f>
      </c>
      <c r="N945" s="7" t="str">
        <f>IF(NOT(AND(J945="",L945="")),IF(OR(AND(L945&lt;&gt;"",NOT(ISNUMBER(L945))),IFERROR(MOD(L945,1),1)&gt;0,AND(ISNUMBER(L945),OR(L945&lt;0,L945&gt;95))),"Введите целое число от 0 до 95",IF(OR(AND(J945&lt;&gt;"",NOT(ISNUMBER(J945))),IFERROR(MOD(J945,1),1)&gt;0,AND(ISNUMBER(J945),OR(J945&lt;50,J945&gt;20000000))),"Введите целое число от 50 до 20000000",IF(NOT(ABS(IFERROR(VALUE(LEFT(M945,FIND("-",M945)-1)),M945)*100-(5000+2000000000)/2)&lt;=ABS(5000-2000000000)/2),"Цена со скидкой должна быть от 50 до 20000000",IF(IFERROR(VALUE(LEFT(M945,FIND("-",M945)-1)),M945)*229&lt;92700,"Вы уменьшили цену в несколько раз, товар попадет в карантин цен","")))),"")</f>
      </c>
    </row>
    <row r="946">
      <c r="A946" s="2" t="inlineStr">
        <is>
          <t>CuteShop</t>
        </is>
      </c>
      <c r="B946" s="2" t="inlineStr">
        <is>
          <t>Держатели для пустышек</t>
        </is>
      </c>
      <c r="C946" s="2">
        <v>147192021</v>
      </c>
      <c r="D946" s="2" t="inlineStr">
        <is>
          <t>RomaMish</t>
        </is>
      </c>
      <c r="E946" s="2" t="inlineStr">
        <is>
          <t>2037486106023</t>
        </is>
      </c>
      <c r="F946" s="2">
        <v>0</v>
      </c>
      <c r="G946" s="2">
        <v>1</v>
      </c>
      <c r="H946" s="2">
        <v>1</v>
      </c>
      <c r="I946" s="2" t="inlineStr">
        <is>
          <t>1020</t>
        </is>
      </c>
      <c r="J946" s="4"/>
      <c r="K946" s="2">
        <v>10</v>
      </c>
      <c r="L946" s="6"/>
      <c r="M946" s="2" t="str">
        <f>IF(J946="",ROUND(I946*(1-IF(ISBLANK(L946),K946,L946)/100),2),ROUND(J946*(1-IF(ISBLANK(L946),K946,L946)/100),2))</f>
      </c>
      <c r="N946" s="7" t="str">
        <f>IF(NOT(AND(J946="",L946="")),IF(OR(AND(L946&lt;&gt;"",NOT(ISNUMBER(L946))),IFERROR(MOD(L946,1),1)&gt;0,AND(ISNUMBER(L946),OR(L946&lt;0,L946&gt;95))),"Введите целое число от 0 до 95",IF(OR(AND(J946&lt;&gt;"",NOT(ISNUMBER(J946))),IFERROR(MOD(J946,1),1)&gt;0,AND(ISNUMBER(J946),OR(J946&lt;50,J946&gt;20000000))),"Введите целое число от 50 до 20000000",IF(NOT(ABS(IFERROR(VALUE(LEFT(M946,FIND("-",M946)-1)),M946)*100-(5000+2000000000)/2)&lt;=ABS(5000-2000000000)/2),"Цена со скидкой должна быть от 50 до 20000000",IF(IFERROR(VALUE(LEFT(M946,FIND("-",M946)-1)),M946)*229&lt;91800,"Вы уменьшили цену в несколько раз, товар попадет в карантин цен","")))),"")</f>
      </c>
    </row>
    <row r="947">
      <c r="A947" s="2" t="inlineStr">
        <is>
          <t>CuteShop</t>
        </is>
      </c>
      <c r="B947" s="2" t="inlineStr">
        <is>
          <t>Держатели для пустышек</t>
        </is>
      </c>
      <c r="C947" s="2">
        <v>138637459</v>
      </c>
      <c r="D947" s="2" t="inlineStr">
        <is>
          <t>TanechkaBG</t>
        </is>
      </c>
      <c r="E947" s="2" t="inlineStr">
        <is>
          <t>2037249298224</t>
        </is>
      </c>
      <c r="F947" s="2">
        <v>0</v>
      </c>
      <c r="G947" s="2">
        <v>1</v>
      </c>
      <c r="H947" s="2">
        <v>0</v>
      </c>
      <c r="I947" s="2" t="inlineStr">
        <is>
          <t>1030</t>
        </is>
      </c>
      <c r="J947" s="4"/>
      <c r="K947" s="2">
        <v>10</v>
      </c>
      <c r="L947" s="6"/>
      <c r="M947" s="2" t="str">
        <f>IF(J947="",ROUND(I947*(1-IF(ISBLANK(L947),K947,L947)/100),2),ROUND(J947*(1-IF(ISBLANK(L947),K947,L947)/100),2))</f>
      </c>
      <c r="N947" s="7" t="str">
        <f>IF(NOT(AND(J947="",L947="")),IF(OR(AND(L947&lt;&gt;"",NOT(ISNUMBER(L947))),IFERROR(MOD(L947,1),1)&gt;0,AND(ISNUMBER(L947),OR(L947&lt;0,L947&gt;95))),"Введите целое число от 0 до 95",IF(OR(AND(J947&lt;&gt;"",NOT(ISNUMBER(J947))),IFERROR(MOD(J947,1),1)&gt;0,AND(ISNUMBER(J947),OR(J947&lt;50,J947&gt;20000000))),"Введите целое число от 50 до 20000000",IF(NOT(ABS(IFERROR(VALUE(LEFT(M947,FIND("-",M947)-1)),M947)*100-(5000+2000000000)/2)&lt;=ABS(5000-2000000000)/2),"Цена со скидкой должна быть от 50 до 20000000",IF(IFERROR(VALUE(LEFT(M947,FIND("-",M947)-1)),M947)*229&lt;92700,"Вы уменьшили цену в несколько раз, товар попадет в карантин цен","")))),"")</f>
      </c>
    </row>
    <row r="948">
      <c r="A948" s="2" t="inlineStr">
        <is>
          <t>CuteShop</t>
        </is>
      </c>
      <c r="B948" s="2" t="inlineStr">
        <is>
          <t>Держатели для пустышек</t>
        </is>
      </c>
      <c r="C948" s="2">
        <v>183439096</v>
      </c>
      <c r="D948" s="2" t="inlineStr">
        <is>
          <t>StasKoala</t>
        </is>
      </c>
      <c r="E948" s="2" t="inlineStr">
        <is>
          <t>2038824596544</t>
        </is>
      </c>
      <c r="F948" s="2">
        <v>0</v>
      </c>
      <c r="G948" s="2">
        <v>1</v>
      </c>
      <c r="H948" s="2" t="inlineStr">
        <is>
          <t/>
        </is>
      </c>
      <c r="I948" s="2" t="inlineStr">
        <is>
          <t>1030</t>
        </is>
      </c>
      <c r="J948" s="4"/>
      <c r="K948" s="2">
        <v>10</v>
      </c>
      <c r="L948" s="6"/>
      <c r="M948" s="2" t="str">
        <f>IF(J948="",ROUND(I948*(1-IF(ISBLANK(L948),K948,L948)/100),2),ROUND(J948*(1-IF(ISBLANK(L948),K948,L948)/100),2))</f>
      </c>
      <c r="N948" s="7" t="str">
        <f>IF(NOT(AND(J948="",L948="")),IF(OR(AND(L948&lt;&gt;"",NOT(ISNUMBER(L948))),IFERROR(MOD(L948,1),1)&gt;0,AND(ISNUMBER(L948),OR(L948&lt;0,L948&gt;95))),"Введите целое число от 0 до 95",IF(OR(AND(J948&lt;&gt;"",NOT(ISNUMBER(J948))),IFERROR(MOD(J948,1),1)&gt;0,AND(ISNUMBER(J948),OR(J948&lt;50,J948&gt;20000000))),"Введите целое число от 50 до 20000000",IF(NOT(ABS(IFERROR(VALUE(LEFT(M948,FIND("-",M948)-1)),M948)*100-(5000+2000000000)/2)&lt;=ABS(5000-2000000000)/2),"Цена со скидкой должна быть от 50 до 20000000",IF(IFERROR(VALUE(LEFT(M948,FIND("-",M948)-1)),M948)*229&lt;92700,"Вы уменьшили цену в несколько раз, товар попадет в карантин цен","")))),"")</f>
      </c>
    </row>
    <row r="949">
      <c r="A949" s="2" t="inlineStr">
        <is>
          <t>CuteShop</t>
        </is>
      </c>
      <c r="B949" s="2" t="inlineStr">
        <is>
          <t>Держатели для пустышек</t>
        </is>
      </c>
      <c r="C949" s="2">
        <v>138607451</v>
      </c>
      <c r="D949" s="2" t="inlineStr">
        <is>
          <t>TanushaBG</t>
        </is>
      </c>
      <c r="E949" s="2" t="inlineStr">
        <is>
          <t>2037248930095</t>
        </is>
      </c>
      <c r="F949" s="2">
        <v>0</v>
      </c>
      <c r="G949" s="2">
        <v>1</v>
      </c>
      <c r="H949" s="2">
        <v>0</v>
      </c>
      <c r="I949" s="2" t="inlineStr">
        <is>
          <t>790</t>
        </is>
      </c>
      <c r="J949" s="4"/>
      <c r="K949" s="2">
        <v>10</v>
      </c>
      <c r="L949" s="6"/>
      <c r="M949" s="2" t="str">
        <f>IF(J949="",ROUND(I949*(1-IF(ISBLANK(L949),K949,L949)/100),2),ROUND(J949*(1-IF(ISBLANK(L949),K949,L949)/100),2))</f>
      </c>
      <c r="N949" s="7" t="str">
        <f>IF(NOT(AND(J949="",L949="")),IF(OR(AND(L949&lt;&gt;"",NOT(ISNUMBER(L949))),IFERROR(MOD(L949,1),1)&gt;0,AND(ISNUMBER(L949),OR(L949&lt;0,L949&gt;95))),"Введите целое число от 0 до 95",IF(OR(AND(J949&lt;&gt;"",NOT(ISNUMBER(J949))),IFERROR(MOD(J949,1),1)&gt;0,AND(ISNUMBER(J949),OR(J949&lt;50,J949&gt;20000000))),"Введите целое число от 50 до 20000000",IF(NOT(ABS(IFERROR(VALUE(LEFT(M949,FIND("-",M949)-1)),M949)*100-(5000+2000000000)/2)&lt;=ABS(5000-2000000000)/2),"Цена со скидкой должна быть от 50 до 20000000",IF(IFERROR(VALUE(LEFT(M949,FIND("-",M949)-1)),M949)*229&lt;71100,"Вы уменьшили цену в несколько раз, товар попадет в карантин цен","")))),"")</f>
      </c>
    </row>
    <row r="950">
      <c r="A950" s="2" t="inlineStr">
        <is>
          <t>CuteShop</t>
        </is>
      </c>
      <c r="B950" s="2" t="inlineStr">
        <is>
          <t>Держатели для пустышек</t>
        </is>
      </c>
      <c r="C950" s="2">
        <v>372152045</v>
      </c>
      <c r="D950" s="2" t="inlineStr">
        <is>
          <t>SerezhaMish</t>
        </is>
      </c>
      <c r="E950" s="2" t="inlineStr">
        <is>
          <t>2043390971824</t>
        </is>
      </c>
      <c r="F950" s="2">
        <v>0</v>
      </c>
      <c r="G950" s="2">
        <v>1</v>
      </c>
      <c r="H950" s="2" t="inlineStr">
        <is>
          <t/>
        </is>
      </c>
      <c r="I950" s="2" t="inlineStr">
        <is>
          <t>1030</t>
        </is>
      </c>
      <c r="J950" s="4"/>
      <c r="K950" s="2">
        <v>10</v>
      </c>
      <c r="L950" s="6"/>
      <c r="M950" s="2" t="str">
        <f>IF(J950="",ROUND(I950*(1-IF(ISBLANK(L950),K950,L950)/100),2),ROUND(J950*(1-IF(ISBLANK(L950),K950,L950)/100),2))</f>
      </c>
      <c r="N950" s="7" t="str">
        <f>IF(NOT(AND(J950="",L950="")),IF(OR(AND(L950&lt;&gt;"",NOT(ISNUMBER(L950))),IFERROR(MOD(L950,1),1)&gt;0,AND(ISNUMBER(L950),OR(L950&lt;0,L950&gt;95))),"Введите целое число от 0 до 95",IF(OR(AND(J950&lt;&gt;"",NOT(ISNUMBER(J950))),IFERROR(MOD(J950,1),1)&gt;0,AND(ISNUMBER(J950),OR(J950&lt;50,J950&gt;20000000))),"Введите целое число от 50 до 20000000",IF(NOT(ABS(IFERROR(VALUE(LEFT(M950,FIND("-",M950)-1)),M950)*100-(5000+2000000000)/2)&lt;=ABS(5000-2000000000)/2),"Цена со скидкой должна быть от 50 до 20000000",IF(IFERROR(VALUE(LEFT(M950,FIND("-",M950)-1)),M950)*229&lt;92700,"Вы уменьшили цену в несколько раз, товар попадет в карантин цен","")))),"")</f>
      </c>
    </row>
    <row r="951">
      <c r="A951" s="2" t="inlineStr">
        <is>
          <t>CuteShop</t>
        </is>
      </c>
      <c r="B951" s="2" t="inlineStr">
        <is>
          <t>Держатели для пустышек</t>
        </is>
      </c>
      <c r="C951" s="2">
        <v>200698384</v>
      </c>
      <c r="D951" s="2" t="inlineStr">
        <is>
          <t>PashaSob</t>
        </is>
      </c>
      <c r="E951" s="2" t="inlineStr">
        <is>
          <t>2039320748048</t>
        </is>
      </c>
      <c r="F951" s="2">
        <v>0</v>
      </c>
      <c r="G951" s="2">
        <v>0</v>
      </c>
      <c r="H951" s="2" t="inlineStr">
        <is>
          <t/>
        </is>
      </c>
      <c r="I951" s="2" t="inlineStr">
        <is>
          <t>1030</t>
        </is>
      </c>
      <c r="J951" s="4"/>
      <c r="K951" s="2">
        <v>10</v>
      </c>
      <c r="L951" s="6"/>
      <c r="M951" s="2" t="str">
        <f>IF(J951="",ROUND(I951*(1-IF(ISBLANK(L951),K951,L951)/100),2),ROUND(J951*(1-IF(ISBLANK(L951),K951,L951)/100),2))</f>
      </c>
      <c r="N951" s="7" t="str">
        <f>IF(NOT(AND(J951="",L951="")),IF(OR(AND(L951&lt;&gt;"",NOT(ISNUMBER(L951))),IFERROR(MOD(L951,1),1)&gt;0,AND(ISNUMBER(L951),OR(L951&lt;0,L951&gt;95))),"Введите целое число от 0 до 95",IF(OR(AND(J951&lt;&gt;"",NOT(ISNUMBER(J951))),IFERROR(MOD(J951,1),1)&gt;0,AND(ISNUMBER(J951),OR(J951&lt;50,J951&gt;20000000))),"Введите целое число от 50 до 20000000",IF(NOT(ABS(IFERROR(VALUE(LEFT(M951,FIND("-",M951)-1)),M951)*100-(5000+2000000000)/2)&lt;=ABS(5000-2000000000)/2),"Цена со скидкой должна быть от 50 до 20000000",IF(IFERROR(VALUE(LEFT(M951,FIND("-",M951)-1)),M951)*229&lt;92700,"Вы уменьшили цену в несколько раз, товар попадет в карантин цен","")))),"")</f>
      </c>
    </row>
    <row r="952">
      <c r="A952" s="2" t="inlineStr">
        <is>
          <t>CuteShop</t>
        </is>
      </c>
      <c r="B952" s="2" t="inlineStr">
        <is>
          <t>Держатели для пустышек</t>
        </is>
      </c>
      <c r="C952" s="2">
        <v>138600811</v>
      </c>
      <c r="D952" s="2" t="inlineStr">
        <is>
          <t>TanushkaBG</t>
        </is>
      </c>
      <c r="E952" s="2" t="inlineStr">
        <is>
          <t>2037248834041</t>
        </is>
      </c>
      <c r="F952" s="2">
        <v>0</v>
      </c>
      <c r="G952" s="2">
        <v>0</v>
      </c>
      <c r="H952" s="2">
        <v>0</v>
      </c>
      <c r="I952" s="2" t="inlineStr">
        <is>
          <t>790</t>
        </is>
      </c>
      <c r="J952" s="4"/>
      <c r="K952" s="2">
        <v>10</v>
      </c>
      <c r="L952" s="6"/>
      <c r="M952" s="2" t="str">
        <f>IF(J952="",ROUND(I952*(1-IF(ISBLANK(L952),K952,L952)/100),2),ROUND(J952*(1-IF(ISBLANK(L952),K952,L952)/100),2))</f>
      </c>
      <c r="N952" s="7" t="str">
        <f>IF(NOT(AND(J952="",L952="")),IF(OR(AND(L952&lt;&gt;"",NOT(ISNUMBER(L952))),IFERROR(MOD(L952,1),1)&gt;0,AND(ISNUMBER(L952),OR(L952&lt;0,L952&gt;95))),"Введите целое число от 0 до 95",IF(OR(AND(J952&lt;&gt;"",NOT(ISNUMBER(J952))),IFERROR(MOD(J952,1),1)&gt;0,AND(ISNUMBER(J952),OR(J952&lt;50,J952&gt;20000000))),"Введите целое число от 50 до 20000000",IF(NOT(ABS(IFERROR(VALUE(LEFT(M952,FIND("-",M952)-1)),M952)*100-(5000+2000000000)/2)&lt;=ABS(5000-2000000000)/2),"Цена со скидкой должна быть от 50 до 20000000",IF(IFERROR(VALUE(LEFT(M952,FIND("-",M952)-1)),M952)*229&lt;71100,"Вы уменьшили цену в несколько раз, товар попадет в карантин цен","")))),"")</f>
      </c>
    </row>
    <row r="953">
      <c r="A953" s="2" t="inlineStr">
        <is>
          <t>CuteShop</t>
        </is>
      </c>
      <c r="B953" s="2" t="inlineStr">
        <is>
          <t>Держатели для пустышек</t>
        </is>
      </c>
      <c r="C953" s="2">
        <v>147192020</v>
      </c>
      <c r="D953" s="2" t="inlineStr">
        <is>
          <t>RomaSob</t>
        </is>
      </c>
      <c r="E953" s="2" t="inlineStr">
        <is>
          <t>2037486105187</t>
        </is>
      </c>
      <c r="F953" s="2">
        <v>0</v>
      </c>
      <c r="G953" s="2">
        <v>0</v>
      </c>
      <c r="H953" s="2">
        <v>0</v>
      </c>
      <c r="I953" s="2" t="inlineStr">
        <is>
          <t>1020</t>
        </is>
      </c>
      <c r="J953" s="4"/>
      <c r="K953" s="2">
        <v>10</v>
      </c>
      <c r="L953" s="6"/>
      <c r="M953" s="2" t="str">
        <f>IF(J953="",ROUND(I953*(1-IF(ISBLANK(L953),K953,L953)/100),2),ROUND(J953*(1-IF(ISBLANK(L953),K953,L953)/100),2))</f>
      </c>
      <c r="N953" s="7" t="str">
        <f>IF(NOT(AND(J953="",L953="")),IF(OR(AND(L953&lt;&gt;"",NOT(ISNUMBER(L953))),IFERROR(MOD(L953,1),1)&gt;0,AND(ISNUMBER(L953),OR(L953&lt;0,L953&gt;95))),"Введите целое число от 0 до 95",IF(OR(AND(J953&lt;&gt;"",NOT(ISNUMBER(J953))),IFERROR(MOD(J953,1),1)&gt;0,AND(ISNUMBER(J953),OR(J953&lt;50,J953&gt;20000000))),"Введите целое число от 50 до 20000000",IF(NOT(ABS(IFERROR(VALUE(LEFT(M953,FIND("-",M953)-1)),M953)*100-(5000+2000000000)/2)&lt;=ABS(5000-2000000000)/2),"Цена со скидкой должна быть от 50 до 20000000",IF(IFERROR(VALUE(LEFT(M953,FIND("-",M953)-1)),M953)*229&lt;91800,"Вы уменьшили цену в несколько раз, товар попадет в карантин цен","")))),"")</f>
      </c>
    </row>
    <row r="954">
      <c r="A954" s="2" t="inlineStr">
        <is>
          <t>CuteShop</t>
        </is>
      </c>
      <c r="B954" s="2" t="inlineStr">
        <is>
          <t>Держатели для пустышек</t>
        </is>
      </c>
      <c r="C954" s="2">
        <v>200698383</v>
      </c>
      <c r="D954" s="2" t="inlineStr">
        <is>
          <t>PashaOlen</t>
        </is>
      </c>
      <c r="E954" s="2" t="inlineStr">
        <is>
          <t>2039320747171</t>
        </is>
      </c>
      <c r="F954" s="2">
        <v>0</v>
      </c>
      <c r="G954" s="2">
        <v>0</v>
      </c>
      <c r="H954" s="2" t="inlineStr">
        <is>
          <t/>
        </is>
      </c>
      <c r="I954" s="2" t="inlineStr">
        <is>
          <t>1030</t>
        </is>
      </c>
      <c r="J954" s="4"/>
      <c r="K954" s="2">
        <v>10</v>
      </c>
      <c r="L954" s="6"/>
      <c r="M954" s="2" t="str">
        <f>IF(J954="",ROUND(I954*(1-IF(ISBLANK(L954),K954,L954)/100),2),ROUND(J954*(1-IF(ISBLANK(L954),K954,L954)/100),2))</f>
      </c>
      <c r="N954" s="7" t="str">
        <f>IF(NOT(AND(J954="",L954="")),IF(OR(AND(L954&lt;&gt;"",NOT(ISNUMBER(L954))),IFERROR(MOD(L954,1),1)&gt;0,AND(ISNUMBER(L954),OR(L954&lt;0,L954&gt;95))),"Введите целое число от 0 до 95",IF(OR(AND(J954&lt;&gt;"",NOT(ISNUMBER(J954))),IFERROR(MOD(J954,1),1)&gt;0,AND(ISNUMBER(J954),OR(J954&lt;50,J954&gt;20000000))),"Введите целое число от 50 до 20000000",IF(NOT(ABS(IFERROR(VALUE(LEFT(M954,FIND("-",M954)-1)),M954)*100-(5000+2000000000)/2)&lt;=ABS(5000-2000000000)/2),"Цена со скидкой должна быть от 50 до 20000000",IF(IFERROR(VALUE(LEFT(M954,FIND("-",M954)-1)),M954)*229&lt;92700,"Вы уменьшили цену в несколько раз, товар попадет в карантин цен","")))),"")</f>
      </c>
    </row>
    <row r="955">
      <c r="A955" s="2" t="inlineStr">
        <is>
          <t>CuteShop</t>
        </is>
      </c>
      <c r="B955" s="2" t="inlineStr">
        <is>
          <t>Держатели для пустышек</t>
        </is>
      </c>
      <c r="C955" s="2">
        <v>142231411</v>
      </c>
      <c r="D955" s="2" t="inlineStr">
        <is>
          <t>NastyaMish</t>
        </is>
      </c>
      <c r="E955" s="2" t="inlineStr">
        <is>
          <t>2037352157562</t>
        </is>
      </c>
      <c r="F955" s="2">
        <v>0</v>
      </c>
      <c r="G955" s="2">
        <v>1</v>
      </c>
      <c r="H955" s="2">
        <v>0</v>
      </c>
      <c r="I955" s="2" t="inlineStr">
        <is>
          <t>1030</t>
        </is>
      </c>
      <c r="J955" s="4"/>
      <c r="K955" s="2">
        <v>10</v>
      </c>
      <c r="L955" s="6"/>
      <c r="M955" s="2" t="str">
        <f>IF(J955="",ROUND(I955*(1-IF(ISBLANK(L955),K955,L955)/100),2),ROUND(J955*(1-IF(ISBLANK(L955),K955,L955)/100),2))</f>
      </c>
      <c r="N955" s="7" t="str">
        <f>IF(NOT(AND(J955="",L955="")),IF(OR(AND(L955&lt;&gt;"",NOT(ISNUMBER(L955))),IFERROR(MOD(L955,1),1)&gt;0,AND(ISNUMBER(L955),OR(L955&lt;0,L955&gt;95))),"Введите целое число от 0 до 95",IF(OR(AND(J955&lt;&gt;"",NOT(ISNUMBER(J955))),IFERROR(MOD(J955,1),1)&gt;0,AND(ISNUMBER(J955),OR(J955&lt;50,J955&gt;20000000))),"Введите целое число от 50 до 20000000",IF(NOT(ABS(IFERROR(VALUE(LEFT(M955,FIND("-",M955)-1)),M955)*100-(5000+2000000000)/2)&lt;=ABS(5000-2000000000)/2),"Цена со скидкой должна быть от 50 до 20000000",IF(IFERROR(VALUE(LEFT(M955,FIND("-",M955)-1)),M955)*229&lt;92700,"Вы уменьшили цену в несколько раз, товар попадет в карантин цен","")))),"")</f>
      </c>
    </row>
    <row r="956">
      <c r="A956" s="2" t="inlineStr">
        <is>
          <t>CuteShop</t>
        </is>
      </c>
      <c r="B956" s="2" t="inlineStr">
        <is>
          <t>Держатели для пустышек</t>
        </is>
      </c>
      <c r="C956" s="2">
        <v>156230063</v>
      </c>
      <c r="D956" s="2" t="inlineStr">
        <is>
          <t>YanochkaBG</t>
        </is>
      </c>
      <c r="E956" s="2" t="inlineStr">
        <is>
          <t>2037706166592</t>
        </is>
      </c>
      <c r="F956" s="2">
        <v>0</v>
      </c>
      <c r="G956" s="2">
        <v>1</v>
      </c>
      <c r="H956" s="2">
        <v>0</v>
      </c>
      <c r="I956" s="2" t="inlineStr">
        <is>
          <t>790</t>
        </is>
      </c>
      <c r="J956" s="4"/>
      <c r="K956" s="2">
        <v>10</v>
      </c>
      <c r="L956" s="6"/>
      <c r="M956" s="2" t="str">
        <f>IF(J956="",ROUND(I956*(1-IF(ISBLANK(L956),K956,L956)/100),2),ROUND(J956*(1-IF(ISBLANK(L956),K956,L956)/100),2))</f>
      </c>
      <c r="N956" s="7" t="str">
        <f>IF(NOT(AND(J956="",L956="")),IF(OR(AND(L956&lt;&gt;"",NOT(ISNUMBER(L956))),IFERROR(MOD(L956,1),1)&gt;0,AND(ISNUMBER(L956),OR(L956&lt;0,L956&gt;95))),"Введите целое число от 0 до 95",IF(OR(AND(J956&lt;&gt;"",NOT(ISNUMBER(J956))),IFERROR(MOD(J956,1),1)&gt;0,AND(ISNUMBER(J956),OR(J956&lt;50,J956&gt;20000000))),"Введите целое число от 50 до 20000000",IF(NOT(ABS(IFERROR(VALUE(LEFT(M956,FIND("-",M956)-1)),M956)*100-(5000+2000000000)/2)&lt;=ABS(5000-2000000000)/2),"Цена со скидкой должна быть от 50 до 20000000",IF(IFERROR(VALUE(LEFT(M956,FIND("-",M956)-1)),M956)*229&lt;71100,"Вы уменьшили цену в несколько раз, товар попадет в карантин цен","")))),"")</f>
      </c>
    </row>
    <row r="957">
      <c r="A957" s="2" t="inlineStr">
        <is>
          <t>CuteShop</t>
        </is>
      </c>
      <c r="B957" s="2" t="inlineStr">
        <is>
          <t>Держатели для пустышек</t>
        </is>
      </c>
      <c r="C957" s="2">
        <v>314740630</v>
      </c>
      <c r="D957" s="2" t="inlineStr">
        <is>
          <t>DemaBG</t>
        </is>
      </c>
      <c r="E957" s="2" t="inlineStr">
        <is>
          <t>2042540615526</t>
        </is>
      </c>
      <c r="F957" s="2">
        <v>0</v>
      </c>
      <c r="G957" s="2">
        <v>1</v>
      </c>
      <c r="H957" s="2" t="inlineStr">
        <is>
          <t/>
        </is>
      </c>
      <c r="I957" s="2" t="inlineStr">
        <is>
          <t>790</t>
        </is>
      </c>
      <c r="J957" s="4"/>
      <c r="K957" s="2">
        <v>10</v>
      </c>
      <c r="L957" s="6"/>
      <c r="M957" s="2" t="str">
        <f>IF(J957="",ROUND(I957*(1-IF(ISBLANK(L957),K957,L957)/100),2),ROUND(J957*(1-IF(ISBLANK(L957),K957,L957)/100),2))</f>
      </c>
      <c r="N957" s="7" t="str">
        <f>IF(NOT(AND(J957="",L957="")),IF(OR(AND(L957&lt;&gt;"",NOT(ISNUMBER(L957))),IFERROR(MOD(L957,1),1)&gt;0,AND(ISNUMBER(L957),OR(L957&lt;0,L957&gt;95))),"Введите целое число от 0 до 95",IF(OR(AND(J957&lt;&gt;"",NOT(ISNUMBER(J957))),IFERROR(MOD(J957,1),1)&gt;0,AND(ISNUMBER(J957),OR(J957&lt;50,J957&gt;20000000))),"Введите целое число от 50 до 20000000",IF(NOT(ABS(IFERROR(VALUE(LEFT(M957,FIND("-",M957)-1)),M957)*100-(5000+2000000000)/2)&lt;=ABS(5000-2000000000)/2),"Цена со скидкой должна быть от 50 до 20000000",IF(IFERROR(VALUE(LEFT(M957,FIND("-",M957)-1)),M957)*229&lt;71100,"Вы уменьшили цену в несколько раз, товар попадет в карантин цен","")))),"")</f>
      </c>
    </row>
    <row r="958">
      <c r="A958" s="2" t="inlineStr">
        <is>
          <t>CuteShop</t>
        </is>
      </c>
      <c r="B958" s="2" t="inlineStr">
        <is>
          <t>Держатели для пустышек</t>
        </is>
      </c>
      <c r="C958" s="2">
        <v>147192018</v>
      </c>
      <c r="D958" s="2" t="inlineStr">
        <is>
          <t>RomaBG</t>
        </is>
      </c>
      <c r="E958" s="2" t="inlineStr">
        <is>
          <t>2037486088695</t>
        </is>
      </c>
      <c r="F958" s="2">
        <v>0</v>
      </c>
      <c r="G958" s="2">
        <v>1</v>
      </c>
      <c r="H958" s="2">
        <v>0</v>
      </c>
      <c r="I958" s="2" t="inlineStr">
        <is>
          <t>790</t>
        </is>
      </c>
      <c r="J958" s="4"/>
      <c r="K958" s="2">
        <v>10</v>
      </c>
      <c r="L958" s="6"/>
      <c r="M958" s="2" t="str">
        <f>IF(J958="",ROUND(I958*(1-IF(ISBLANK(L958),K958,L958)/100),2),ROUND(J958*(1-IF(ISBLANK(L958),K958,L958)/100),2))</f>
      </c>
      <c r="N958" s="7" t="str">
        <f>IF(NOT(AND(J958="",L958="")),IF(OR(AND(L958&lt;&gt;"",NOT(ISNUMBER(L958))),IFERROR(MOD(L958,1),1)&gt;0,AND(ISNUMBER(L958),OR(L958&lt;0,L958&gt;95))),"Введите целое число от 0 до 95",IF(OR(AND(J958&lt;&gt;"",NOT(ISNUMBER(J958))),IFERROR(MOD(J958,1),1)&gt;0,AND(ISNUMBER(J958),OR(J958&lt;50,J958&gt;20000000))),"Введите целое число от 50 до 20000000",IF(NOT(ABS(IFERROR(VALUE(LEFT(M958,FIND("-",M958)-1)),M958)*100-(5000+2000000000)/2)&lt;=ABS(5000-2000000000)/2),"Цена со скидкой должна быть от 50 до 20000000",IF(IFERROR(VALUE(LEFT(M958,FIND("-",M958)-1)),M958)*229&lt;71100,"Вы уменьшили цену в несколько раз, товар попадет в карантин цен","")))),"")</f>
      </c>
    </row>
    <row r="959">
      <c r="A959" s="2" t="inlineStr">
        <is>
          <t>CuteShop</t>
        </is>
      </c>
      <c r="B959" s="2" t="inlineStr">
        <is>
          <t>Держатели для пустышек</t>
        </is>
      </c>
      <c r="C959" s="2">
        <v>161022983</v>
      </c>
      <c r="D959" s="2" t="inlineStr">
        <is>
          <t>TeonaKosh</t>
        </is>
      </c>
      <c r="E959" s="2" t="inlineStr">
        <is>
          <t>2037837710794</t>
        </is>
      </c>
      <c r="F959" s="2">
        <v>0</v>
      </c>
      <c r="G959" s="2">
        <v>0</v>
      </c>
      <c r="H959" s="2">
        <v>0</v>
      </c>
      <c r="I959" s="2" t="inlineStr">
        <is>
          <t>1030</t>
        </is>
      </c>
      <c r="J959" s="4"/>
      <c r="K959" s="2">
        <v>10</v>
      </c>
      <c r="L959" s="6"/>
      <c r="M959" s="2" t="str">
        <f>IF(J959="",ROUND(I959*(1-IF(ISBLANK(L959),K959,L959)/100),2),ROUND(J959*(1-IF(ISBLANK(L959),K959,L959)/100),2))</f>
      </c>
      <c r="N959" s="7" t="str">
        <f>IF(NOT(AND(J959="",L959="")),IF(OR(AND(L959&lt;&gt;"",NOT(ISNUMBER(L959))),IFERROR(MOD(L959,1),1)&gt;0,AND(ISNUMBER(L959),OR(L959&lt;0,L959&gt;95))),"Введите целое число от 0 до 95",IF(OR(AND(J959&lt;&gt;"",NOT(ISNUMBER(J959))),IFERROR(MOD(J959,1),1)&gt;0,AND(ISNUMBER(J959),OR(J959&lt;50,J959&gt;20000000))),"Введите целое число от 50 до 20000000",IF(NOT(ABS(IFERROR(VALUE(LEFT(M959,FIND("-",M959)-1)),M959)*100-(5000+2000000000)/2)&lt;=ABS(5000-2000000000)/2),"Цена со скидкой должна быть от 50 до 20000000",IF(IFERROR(VALUE(LEFT(M959,FIND("-",M959)-1)),M959)*229&lt;92700,"Вы уменьшили цену в несколько раз, товар попадет в карантин цен","")))),"")</f>
      </c>
    </row>
    <row r="960">
      <c r="A960" s="2" t="inlineStr">
        <is>
          <t>CuteShop</t>
        </is>
      </c>
      <c r="B960" s="2" t="inlineStr">
        <is>
          <t>Держатели для пустышек</t>
        </is>
      </c>
      <c r="C960" s="2">
        <v>111581973</v>
      </c>
      <c r="D960" s="2" t="inlineStr">
        <is>
          <t>MironBG1</t>
        </is>
      </c>
      <c r="E960" s="2" t="inlineStr">
        <is>
          <t>2038163492620</t>
        </is>
      </c>
      <c r="F960" s="2">
        <v>0</v>
      </c>
      <c r="G960" s="2">
        <v>1</v>
      </c>
      <c r="H960" s="2">
        <v>0</v>
      </c>
      <c r="I960" s="2" t="inlineStr">
        <is>
          <t>790</t>
        </is>
      </c>
      <c r="J960" s="4"/>
      <c r="K960" s="2">
        <v>10</v>
      </c>
      <c r="L960" s="6"/>
      <c r="M960" s="2" t="str">
        <f>IF(J960="",ROUND(I960*(1-IF(ISBLANK(L960),K960,L960)/100),2),ROUND(J960*(1-IF(ISBLANK(L960),K960,L960)/100),2))</f>
      </c>
      <c r="N960" s="7" t="str">
        <f>IF(NOT(AND(J960="",L960="")),IF(OR(AND(L960&lt;&gt;"",NOT(ISNUMBER(L960))),IFERROR(MOD(L960,1),1)&gt;0,AND(ISNUMBER(L960),OR(L960&lt;0,L960&gt;95))),"Введите целое число от 0 до 95",IF(OR(AND(J960&lt;&gt;"",NOT(ISNUMBER(J960))),IFERROR(MOD(J960,1),1)&gt;0,AND(ISNUMBER(J960),OR(J960&lt;50,J960&gt;20000000))),"Введите целое число от 50 до 20000000",IF(NOT(ABS(IFERROR(VALUE(LEFT(M960,FIND("-",M960)-1)),M960)*100-(5000+2000000000)/2)&lt;=ABS(5000-2000000000)/2),"Цена со скидкой должна быть от 50 до 20000000",IF(IFERROR(VALUE(LEFT(M960,FIND("-",M960)-1)),M960)*229&lt;71100,"Вы уменьшили цену в несколько раз, товар попадет в карантин цен","")))),"")</f>
      </c>
    </row>
    <row r="961">
      <c r="A961" s="2" t="inlineStr">
        <is>
          <t>CuteShop</t>
        </is>
      </c>
      <c r="B961" s="2" t="inlineStr">
        <is>
          <t>Держатели для пустышек</t>
        </is>
      </c>
      <c r="C961" s="2">
        <v>172404978</v>
      </c>
      <c r="D961" s="2" t="inlineStr">
        <is>
          <t>AglayaBel</t>
        </is>
      </c>
      <c r="E961" s="2" t="inlineStr">
        <is>
          <t>2038312287268</t>
        </is>
      </c>
      <c r="F961" s="2">
        <v>0</v>
      </c>
      <c r="G961" s="2">
        <v>0</v>
      </c>
      <c r="H961" s="2" t="inlineStr">
        <is>
          <t/>
        </is>
      </c>
      <c r="I961" s="2" t="inlineStr">
        <is>
          <t>1030</t>
        </is>
      </c>
      <c r="J961" s="4"/>
      <c r="K961" s="2">
        <v>10</v>
      </c>
      <c r="L961" s="6"/>
      <c r="M961" s="2" t="str">
        <f>IF(J961="",ROUND(I961*(1-IF(ISBLANK(L961),K961,L961)/100),2),ROUND(J961*(1-IF(ISBLANK(L961),K961,L961)/100),2))</f>
      </c>
      <c r="N961" s="7" t="str">
        <f>IF(NOT(AND(J961="",L961="")),IF(OR(AND(L961&lt;&gt;"",NOT(ISNUMBER(L961))),IFERROR(MOD(L961,1),1)&gt;0,AND(ISNUMBER(L961),OR(L961&lt;0,L961&gt;95))),"Введите целое число от 0 до 95",IF(OR(AND(J961&lt;&gt;"",NOT(ISNUMBER(J961))),IFERROR(MOD(J961,1),1)&gt;0,AND(ISNUMBER(J961),OR(J961&lt;50,J961&gt;20000000))),"Введите целое число от 50 до 20000000",IF(NOT(ABS(IFERROR(VALUE(LEFT(M961,FIND("-",M961)-1)),M961)*100-(5000+2000000000)/2)&lt;=ABS(5000-2000000000)/2),"Цена со скидкой должна быть от 50 до 20000000",IF(IFERROR(VALUE(LEFT(M961,FIND("-",M961)-1)),M961)*229&lt;92700,"Вы уменьшили цену в несколько раз, товар попадет в карантин цен","")))),"")</f>
      </c>
    </row>
    <row r="962">
      <c r="A962" s="2" t="inlineStr">
        <is>
          <t>CuteShop</t>
        </is>
      </c>
      <c r="B962" s="2" t="inlineStr">
        <is>
          <t>Держатели для пустышек</t>
        </is>
      </c>
      <c r="C962" s="2">
        <v>372170054</v>
      </c>
      <c r="D962" s="2" t="inlineStr">
        <is>
          <t>MiroshaBG</t>
        </is>
      </c>
      <c r="E962" s="2" t="inlineStr">
        <is>
          <t>2043391166052</t>
        </is>
      </c>
      <c r="F962" s="2">
        <v>0</v>
      </c>
      <c r="G962" s="2">
        <v>1</v>
      </c>
      <c r="H962" s="2" t="inlineStr">
        <is>
          <t/>
        </is>
      </c>
      <c r="I962" s="2" t="inlineStr">
        <is>
          <t>790</t>
        </is>
      </c>
      <c r="J962" s="4"/>
      <c r="K962" s="2">
        <v>10</v>
      </c>
      <c r="L962" s="6"/>
      <c r="M962" s="2" t="str">
        <f>IF(J962="",ROUND(I962*(1-IF(ISBLANK(L962),K962,L962)/100),2),ROUND(J962*(1-IF(ISBLANK(L962),K962,L962)/100),2))</f>
      </c>
      <c r="N962" s="7" t="str">
        <f>IF(NOT(AND(J962="",L962="")),IF(OR(AND(L962&lt;&gt;"",NOT(ISNUMBER(L962))),IFERROR(MOD(L962,1),1)&gt;0,AND(ISNUMBER(L962),OR(L962&lt;0,L962&gt;95))),"Введите целое число от 0 до 95",IF(OR(AND(J962&lt;&gt;"",NOT(ISNUMBER(J962))),IFERROR(MOD(J962,1),1)&gt;0,AND(ISNUMBER(J962),OR(J962&lt;50,J962&gt;20000000))),"Введите целое число от 50 до 20000000",IF(NOT(ABS(IFERROR(VALUE(LEFT(M962,FIND("-",M962)-1)),M962)*100-(5000+2000000000)/2)&lt;=ABS(5000-2000000000)/2),"Цена со скидкой должна быть от 50 до 20000000",IF(IFERROR(VALUE(LEFT(M962,FIND("-",M962)-1)),M962)*229&lt;71100,"Вы уменьшили цену в несколько раз, товар попадет в карантин цен","")))),"")</f>
      </c>
    </row>
    <row r="963">
      <c r="A963" s="2" t="inlineStr">
        <is>
          <t>CuteShop</t>
        </is>
      </c>
      <c r="B963" s="2" t="inlineStr">
        <is>
          <t>Держатели для пустышек</t>
        </is>
      </c>
      <c r="C963" s="2">
        <v>111581974</v>
      </c>
      <c r="D963" s="2" t="inlineStr">
        <is>
          <t>MironMish</t>
        </is>
      </c>
      <c r="E963" s="2" t="inlineStr">
        <is>
          <t>2038164197623</t>
        </is>
      </c>
      <c r="F963" s="2">
        <v>0</v>
      </c>
      <c r="G963" s="2">
        <v>1</v>
      </c>
      <c r="H963" s="2">
        <v>1</v>
      </c>
      <c r="I963" s="2" t="inlineStr">
        <is>
          <t>1030</t>
        </is>
      </c>
      <c r="J963" s="4"/>
      <c r="K963" s="2">
        <v>10</v>
      </c>
      <c r="L963" s="6"/>
      <c r="M963" s="2" t="str">
        <f>IF(J963="",ROUND(I963*(1-IF(ISBLANK(L963),K963,L963)/100),2),ROUND(J963*(1-IF(ISBLANK(L963),K963,L963)/100),2))</f>
      </c>
      <c r="N963" s="7" t="str">
        <f>IF(NOT(AND(J963="",L963="")),IF(OR(AND(L963&lt;&gt;"",NOT(ISNUMBER(L963))),IFERROR(MOD(L963,1),1)&gt;0,AND(ISNUMBER(L963),OR(L963&lt;0,L963&gt;95))),"Введите целое число от 0 до 95",IF(OR(AND(J963&lt;&gt;"",NOT(ISNUMBER(J963))),IFERROR(MOD(J963,1),1)&gt;0,AND(ISNUMBER(J963),OR(J963&lt;50,J963&gt;20000000))),"Введите целое число от 50 до 20000000",IF(NOT(ABS(IFERROR(VALUE(LEFT(M963,FIND("-",M963)-1)),M963)*100-(5000+2000000000)/2)&lt;=ABS(5000-2000000000)/2),"Цена со скидкой должна быть от 50 до 20000000",IF(IFERROR(VALUE(LEFT(M963,FIND("-",M963)-1)),M963)*229&lt;92700,"Вы уменьшили цену в несколько раз, товар попадет в карантин цен","")))),"")</f>
      </c>
    </row>
    <row r="964">
      <c r="A964" s="2" t="inlineStr">
        <is>
          <t>CuteShop</t>
        </is>
      </c>
      <c r="B964" s="2" t="inlineStr">
        <is>
          <t>Держатели для пустышек</t>
        </is>
      </c>
      <c r="C964" s="2">
        <v>111581975</v>
      </c>
      <c r="D964" s="2" t="inlineStr">
        <is>
          <t>MironMish1</t>
        </is>
      </c>
      <c r="E964" s="2" t="inlineStr">
        <is>
          <t>2038164426624</t>
        </is>
      </c>
      <c r="F964" s="2">
        <v>0</v>
      </c>
      <c r="G964" s="2">
        <v>1</v>
      </c>
      <c r="H964" s="2">
        <v>0</v>
      </c>
      <c r="I964" s="2" t="inlineStr">
        <is>
          <t>1030</t>
        </is>
      </c>
      <c r="J964" s="4"/>
      <c r="K964" s="2">
        <v>10</v>
      </c>
      <c r="L964" s="6"/>
      <c r="M964" s="2" t="str">
        <f>IF(J964="",ROUND(I964*(1-IF(ISBLANK(L964),K964,L964)/100),2),ROUND(J964*(1-IF(ISBLANK(L964),K964,L964)/100),2))</f>
      </c>
      <c r="N964" s="7" t="str">
        <f>IF(NOT(AND(J964="",L964="")),IF(OR(AND(L964&lt;&gt;"",NOT(ISNUMBER(L964))),IFERROR(MOD(L964,1),1)&gt;0,AND(ISNUMBER(L964),OR(L964&lt;0,L964&gt;95))),"Введите целое число от 0 до 95",IF(OR(AND(J964&lt;&gt;"",NOT(ISNUMBER(J964))),IFERROR(MOD(J964,1),1)&gt;0,AND(ISNUMBER(J964),OR(J964&lt;50,J964&gt;20000000))),"Введите целое число от 50 до 20000000",IF(NOT(ABS(IFERROR(VALUE(LEFT(M964,FIND("-",M964)-1)),M964)*100-(5000+2000000000)/2)&lt;=ABS(5000-2000000000)/2),"Цена со скидкой должна быть от 50 до 20000000",IF(IFERROR(VALUE(LEFT(M964,FIND("-",M964)-1)),M964)*229&lt;92700,"Вы уменьшили цену в несколько раз, товар попадет в карантин цен","")))),"")</f>
      </c>
    </row>
    <row r="965">
      <c r="A965" s="2" t="inlineStr">
        <is>
          <t>CuteShop</t>
        </is>
      </c>
      <c r="B965" s="2" t="inlineStr">
        <is>
          <t>Держатели для пустышек</t>
        </is>
      </c>
      <c r="C965" s="2">
        <v>111581976</v>
      </c>
      <c r="D965" s="2" t="inlineStr">
        <is>
          <t>MironMish2</t>
        </is>
      </c>
      <c r="E965" s="2" t="inlineStr">
        <is>
          <t>2038164660622</t>
        </is>
      </c>
      <c r="F965" s="2">
        <v>0</v>
      </c>
      <c r="G965" s="2">
        <v>1</v>
      </c>
      <c r="H965" s="2">
        <v>0</v>
      </c>
      <c r="I965" s="2" t="inlineStr">
        <is>
          <t>1030</t>
        </is>
      </c>
      <c r="J965" s="4"/>
      <c r="K965" s="2">
        <v>10</v>
      </c>
      <c r="L965" s="6"/>
      <c r="M965" s="2" t="str">
        <f>IF(J965="",ROUND(I965*(1-IF(ISBLANK(L965),K965,L965)/100),2),ROUND(J965*(1-IF(ISBLANK(L965),K965,L965)/100),2))</f>
      </c>
      <c r="N965" s="7" t="str">
        <f>IF(NOT(AND(J965="",L965="")),IF(OR(AND(L965&lt;&gt;"",NOT(ISNUMBER(L965))),IFERROR(MOD(L965,1),1)&gt;0,AND(ISNUMBER(L965),OR(L965&lt;0,L965&gt;95))),"Введите целое число от 0 до 95",IF(OR(AND(J965&lt;&gt;"",NOT(ISNUMBER(J965))),IFERROR(MOD(J965,1),1)&gt;0,AND(ISNUMBER(J965),OR(J965&lt;50,J965&gt;20000000))),"Введите целое число от 50 до 20000000",IF(NOT(ABS(IFERROR(VALUE(LEFT(M965,FIND("-",M965)-1)),M965)*100-(5000+2000000000)/2)&lt;=ABS(5000-2000000000)/2),"Цена со скидкой должна быть от 50 до 20000000",IF(IFERROR(VALUE(LEFT(M965,FIND("-",M965)-1)),M965)*229&lt;92700,"Вы уменьшили цену в несколько раз, товар попадет в карантин цен","")))),"")</f>
      </c>
    </row>
    <row r="966">
      <c r="A966" s="2" t="inlineStr">
        <is>
          <t>CuteShop</t>
        </is>
      </c>
      <c r="B966" s="2" t="inlineStr">
        <is>
          <t>Держатели для пустышек</t>
        </is>
      </c>
      <c r="C966" s="2">
        <v>111581977</v>
      </c>
      <c r="D966" s="2" t="inlineStr">
        <is>
          <t>MironOlen1</t>
        </is>
      </c>
      <c r="E966" s="2" t="inlineStr">
        <is>
          <t>2038164920627</t>
        </is>
      </c>
      <c r="F966" s="2">
        <v>0</v>
      </c>
      <c r="G966" s="2">
        <v>0</v>
      </c>
      <c r="H966" s="2">
        <v>1</v>
      </c>
      <c r="I966" s="2" t="inlineStr">
        <is>
          <t>920</t>
        </is>
      </c>
      <c r="J966" s="4"/>
      <c r="K966" s="2">
        <v>10</v>
      </c>
      <c r="L966" s="6"/>
      <c r="M966" s="2" t="str">
        <f>IF(J966="",ROUND(I966*(1-IF(ISBLANK(L966),K966,L966)/100),2),ROUND(J966*(1-IF(ISBLANK(L966),K966,L966)/100),2))</f>
      </c>
      <c r="N966" s="7" t="str">
        <f>IF(NOT(AND(J966="",L966="")),IF(OR(AND(L966&lt;&gt;"",NOT(ISNUMBER(L966))),IFERROR(MOD(L966,1),1)&gt;0,AND(ISNUMBER(L966),OR(L966&lt;0,L966&gt;95))),"Введите целое число от 0 до 95",IF(OR(AND(J966&lt;&gt;"",NOT(ISNUMBER(J966))),IFERROR(MOD(J966,1),1)&gt;0,AND(ISNUMBER(J966),OR(J966&lt;50,J966&gt;20000000))),"Введите целое число от 50 до 20000000",IF(NOT(ABS(IFERROR(VALUE(LEFT(M966,FIND("-",M966)-1)),M966)*100-(5000+2000000000)/2)&lt;=ABS(5000-2000000000)/2),"Цена со скидкой должна быть от 50 до 20000000",IF(IFERROR(VALUE(LEFT(M966,FIND("-",M966)-1)),M966)*229&lt;82800,"Вы уменьшили цену в несколько раз, товар попадет в карантин цен","")))),"")</f>
      </c>
    </row>
    <row r="967">
      <c r="A967" s="2" t="inlineStr">
        <is>
          <t>CuteShop</t>
        </is>
      </c>
      <c r="B967" s="2" t="inlineStr">
        <is>
          <t>Держатели для пустышек</t>
        </is>
      </c>
      <c r="C967" s="2">
        <v>372205418</v>
      </c>
      <c r="D967" s="2" t="inlineStr">
        <is>
          <t>MiroshaMish2</t>
        </is>
      </c>
      <c r="E967" s="2" t="inlineStr">
        <is>
          <t>2043391434557</t>
        </is>
      </c>
      <c r="F967" s="2">
        <v>0</v>
      </c>
      <c r="G967" s="2">
        <v>1</v>
      </c>
      <c r="H967" s="2" t="inlineStr">
        <is>
          <t/>
        </is>
      </c>
      <c r="I967" s="2" t="inlineStr">
        <is>
          <t>1030</t>
        </is>
      </c>
      <c r="J967" s="4"/>
      <c r="K967" s="2">
        <v>10</v>
      </c>
      <c r="L967" s="6"/>
      <c r="M967" s="2" t="str">
        <f>IF(J967="",ROUND(I967*(1-IF(ISBLANK(L967),K967,L967)/100),2),ROUND(J967*(1-IF(ISBLANK(L967),K967,L967)/100),2))</f>
      </c>
      <c r="N967" s="7" t="str">
        <f>IF(NOT(AND(J967="",L967="")),IF(OR(AND(L967&lt;&gt;"",NOT(ISNUMBER(L967))),IFERROR(MOD(L967,1),1)&gt;0,AND(ISNUMBER(L967),OR(L967&lt;0,L967&gt;95))),"Введите целое число от 0 до 95",IF(OR(AND(J967&lt;&gt;"",NOT(ISNUMBER(J967))),IFERROR(MOD(J967,1),1)&gt;0,AND(ISNUMBER(J967),OR(J967&lt;50,J967&gt;20000000))),"Введите целое число от 50 до 20000000",IF(NOT(ABS(IFERROR(VALUE(LEFT(M967,FIND("-",M967)-1)),M967)*100-(5000+2000000000)/2)&lt;=ABS(5000-2000000000)/2),"Цена со скидкой должна быть от 50 до 20000000",IF(IFERROR(VALUE(LEFT(M967,FIND("-",M967)-1)),M967)*229&lt;92700,"Вы уменьшили цену в несколько раз, товар попадет в карантин цен","")))),"")</f>
      </c>
    </row>
    <row r="968">
      <c r="A968" s="2" t="inlineStr">
        <is>
          <t>CuteShop</t>
        </is>
      </c>
      <c r="B968" s="2" t="inlineStr">
        <is>
          <t>Держатели для пустышек</t>
        </is>
      </c>
      <c r="C968" s="2">
        <v>147473617</v>
      </c>
      <c r="D968" s="2" t="inlineStr">
        <is>
          <t>DianaBG1</t>
        </is>
      </c>
      <c r="E968" s="2" t="inlineStr">
        <is>
          <t>2037493778817</t>
        </is>
      </c>
      <c r="F968" s="2">
        <v>0</v>
      </c>
      <c r="G968" s="2">
        <v>1</v>
      </c>
      <c r="H968" s="2">
        <v>0</v>
      </c>
      <c r="I968" s="2" t="inlineStr">
        <is>
          <t>790</t>
        </is>
      </c>
      <c r="J968" s="4"/>
      <c r="K968" s="2">
        <v>10</v>
      </c>
      <c r="L968" s="6"/>
      <c r="M968" s="2" t="str">
        <f>IF(J968="",ROUND(I968*(1-IF(ISBLANK(L968),K968,L968)/100),2),ROUND(J968*(1-IF(ISBLANK(L968),K968,L968)/100),2))</f>
      </c>
      <c r="N968" s="7" t="str">
        <f>IF(NOT(AND(J968="",L968="")),IF(OR(AND(L968&lt;&gt;"",NOT(ISNUMBER(L968))),IFERROR(MOD(L968,1),1)&gt;0,AND(ISNUMBER(L968),OR(L968&lt;0,L968&gt;95))),"Введите целое число от 0 до 95",IF(OR(AND(J968&lt;&gt;"",NOT(ISNUMBER(J968))),IFERROR(MOD(J968,1),1)&gt;0,AND(ISNUMBER(J968),OR(J968&lt;50,J968&gt;20000000))),"Введите целое число от 50 до 20000000",IF(NOT(ABS(IFERROR(VALUE(LEFT(M968,FIND("-",M968)-1)),M968)*100-(5000+2000000000)/2)&lt;=ABS(5000-2000000000)/2),"Цена со скидкой должна быть от 50 до 20000000",IF(IFERROR(VALUE(LEFT(M968,FIND("-",M968)-1)),M968)*229&lt;71100,"Вы уменьшили цену в несколько раз, товар попадет в карантин цен","")))),"")</f>
      </c>
    </row>
    <row r="969">
      <c r="A969" s="2" t="inlineStr">
        <is>
          <t>CuteShop</t>
        </is>
      </c>
      <c r="B969" s="2" t="inlineStr">
        <is>
          <t>Держатели для пустышек</t>
        </is>
      </c>
      <c r="C969" s="2">
        <v>147641324</v>
      </c>
      <c r="D969" s="2" t="inlineStr">
        <is>
          <t>RomanSob</t>
        </is>
      </c>
      <c r="E969" s="2" t="inlineStr">
        <is>
          <t>2037497875659</t>
        </is>
      </c>
      <c r="F969" s="2">
        <v>0</v>
      </c>
      <c r="G969" s="2">
        <v>0</v>
      </c>
      <c r="H969" s="2" t="inlineStr">
        <is>
          <t/>
        </is>
      </c>
      <c r="I969" s="2" t="inlineStr">
        <is>
          <t>1020</t>
        </is>
      </c>
      <c r="J969" s="4"/>
      <c r="K969" s="2">
        <v>10</v>
      </c>
      <c r="L969" s="6"/>
      <c r="M969" s="2" t="str">
        <f>IF(J969="",ROUND(I969*(1-IF(ISBLANK(L969),K969,L969)/100),2),ROUND(J969*(1-IF(ISBLANK(L969),K969,L969)/100),2))</f>
      </c>
      <c r="N969" s="7" t="str">
        <f>IF(NOT(AND(J969="",L969="")),IF(OR(AND(L969&lt;&gt;"",NOT(ISNUMBER(L969))),IFERROR(MOD(L969,1),1)&gt;0,AND(ISNUMBER(L969),OR(L969&lt;0,L969&gt;95))),"Введите целое число от 0 до 95",IF(OR(AND(J969&lt;&gt;"",NOT(ISNUMBER(J969))),IFERROR(MOD(J969,1),1)&gt;0,AND(ISNUMBER(J969),OR(J969&lt;50,J969&gt;20000000))),"Введите целое число от 50 до 20000000",IF(NOT(ABS(IFERROR(VALUE(LEFT(M969,FIND("-",M969)-1)),M969)*100-(5000+2000000000)/2)&lt;=ABS(5000-2000000000)/2),"Цена со скидкой должна быть от 50 до 20000000",IF(IFERROR(VALUE(LEFT(M969,FIND("-",M969)-1)),M969)*229&lt;91800,"Вы уменьшили цену в несколько раз, товар попадет в карантин цен","")))),"")</f>
      </c>
    </row>
    <row r="970">
      <c r="A970" s="2" t="inlineStr">
        <is>
          <t>CuteShop</t>
        </is>
      </c>
      <c r="B970" s="2" t="inlineStr">
        <is>
          <t>Держатели для пустышек</t>
        </is>
      </c>
      <c r="C970" s="2">
        <v>173480526</v>
      </c>
      <c r="D970" s="2" t="inlineStr">
        <is>
          <t>MilashaBel</t>
        </is>
      </c>
      <c r="E970" s="2" t="inlineStr">
        <is>
          <t>2038389808274</t>
        </is>
      </c>
      <c r="F970" s="2">
        <v>0</v>
      </c>
      <c r="G970" s="2">
        <v>1</v>
      </c>
      <c r="H970" s="2">
        <v>1</v>
      </c>
      <c r="I970" s="2" t="inlineStr">
        <is>
          <t>1030</t>
        </is>
      </c>
      <c r="J970" s="4"/>
      <c r="K970" s="2">
        <v>10</v>
      </c>
      <c r="L970" s="6"/>
      <c r="M970" s="2" t="str">
        <f>IF(J970="",ROUND(I970*(1-IF(ISBLANK(L970),K970,L970)/100),2),ROUND(J970*(1-IF(ISBLANK(L970),K970,L970)/100),2))</f>
      </c>
      <c r="N970" s="7" t="str">
        <f>IF(NOT(AND(J970="",L970="")),IF(OR(AND(L970&lt;&gt;"",NOT(ISNUMBER(L970))),IFERROR(MOD(L970,1),1)&gt;0,AND(ISNUMBER(L970),OR(L970&lt;0,L970&gt;95))),"Введите целое число от 0 до 95",IF(OR(AND(J970&lt;&gt;"",NOT(ISNUMBER(J970))),IFERROR(MOD(J970,1),1)&gt;0,AND(ISNUMBER(J970),OR(J970&lt;50,J970&gt;20000000))),"Введите целое число от 50 до 20000000",IF(NOT(ABS(IFERROR(VALUE(LEFT(M970,FIND("-",M970)-1)),M970)*100-(5000+2000000000)/2)&lt;=ABS(5000-2000000000)/2),"Цена со скидкой должна быть от 50 до 20000000",IF(IFERROR(VALUE(LEFT(M970,FIND("-",M970)-1)),M970)*229&lt;92700,"Вы уменьшили цену в несколько раз, товар попадет в карантин цен","")))),"")</f>
      </c>
    </row>
    <row r="971">
      <c r="A971" s="2" t="inlineStr">
        <is>
          <t>CuteShop</t>
        </is>
      </c>
      <c r="B971" s="2" t="inlineStr">
        <is>
          <t>Держатели для пустышек</t>
        </is>
      </c>
      <c r="C971" s="2">
        <v>218269293</v>
      </c>
      <c r="D971" s="2" t="inlineStr">
        <is>
          <t>KamilKoala2</t>
        </is>
      </c>
      <c r="E971" s="2" t="inlineStr">
        <is>
          <t>2039683930814</t>
        </is>
      </c>
      <c r="F971" s="2">
        <v>0</v>
      </c>
      <c r="G971" s="2">
        <v>0</v>
      </c>
      <c r="H971" s="2" t="inlineStr">
        <is>
          <t/>
        </is>
      </c>
      <c r="I971" s="2" t="inlineStr">
        <is>
          <t>1030</t>
        </is>
      </c>
      <c r="J971" s="4"/>
      <c r="K971" s="2">
        <v>10</v>
      </c>
      <c r="L971" s="6"/>
      <c r="M971" s="2" t="str">
        <f>IF(J971="",ROUND(I971*(1-IF(ISBLANK(L971),K971,L971)/100),2),ROUND(J971*(1-IF(ISBLANK(L971),K971,L971)/100),2))</f>
      </c>
      <c r="N971" s="7" t="str">
        <f>IF(NOT(AND(J971="",L971="")),IF(OR(AND(L971&lt;&gt;"",NOT(ISNUMBER(L971))),IFERROR(MOD(L971,1),1)&gt;0,AND(ISNUMBER(L971),OR(L971&lt;0,L971&gt;95))),"Введите целое число от 0 до 95",IF(OR(AND(J971&lt;&gt;"",NOT(ISNUMBER(J971))),IFERROR(MOD(J971,1),1)&gt;0,AND(ISNUMBER(J971),OR(J971&lt;50,J971&gt;20000000))),"Введите целое число от 50 до 20000000",IF(NOT(ABS(IFERROR(VALUE(LEFT(M971,FIND("-",M971)-1)),M971)*100-(5000+2000000000)/2)&lt;=ABS(5000-2000000000)/2),"Цена со скидкой должна быть от 50 до 20000000",IF(IFERROR(VALUE(LEFT(M971,FIND("-",M971)-1)),M971)*229&lt;92700,"Вы уменьшили цену в несколько раз, товар попадет в карантин цен","")))),"")</f>
      </c>
    </row>
    <row r="972">
      <c r="A972" s="2" t="inlineStr">
        <is>
          <t>CuteShop</t>
        </is>
      </c>
      <c r="B972" s="2" t="inlineStr">
        <is>
          <t>Держатели для пустышек</t>
        </is>
      </c>
      <c r="C972" s="2">
        <v>175405996</v>
      </c>
      <c r="D972" s="2" t="inlineStr">
        <is>
          <t>LevLvenokLis</t>
        </is>
      </c>
      <c r="E972" s="2" t="inlineStr">
        <is>
          <t>2038540079109</t>
        </is>
      </c>
      <c r="F972" s="2">
        <v>0</v>
      </c>
      <c r="G972" s="2">
        <v>0</v>
      </c>
      <c r="H972" s="2" t="inlineStr">
        <is>
          <t/>
        </is>
      </c>
      <c r="I972" s="2" t="inlineStr">
        <is>
          <t>1030</t>
        </is>
      </c>
      <c r="J972" s="4"/>
      <c r="K972" s="2">
        <v>10</v>
      </c>
      <c r="L972" s="6"/>
      <c r="M972" s="2" t="str">
        <f>IF(J972="",ROUND(I972*(1-IF(ISBLANK(L972),K972,L972)/100),2),ROUND(J972*(1-IF(ISBLANK(L972),K972,L972)/100),2))</f>
      </c>
      <c r="N972" s="7" t="str">
        <f>IF(NOT(AND(J972="",L972="")),IF(OR(AND(L972&lt;&gt;"",NOT(ISNUMBER(L972))),IFERROR(MOD(L972,1),1)&gt;0,AND(ISNUMBER(L972),OR(L972&lt;0,L972&gt;95))),"Введите целое число от 0 до 95",IF(OR(AND(J972&lt;&gt;"",NOT(ISNUMBER(J972))),IFERROR(MOD(J972,1),1)&gt;0,AND(ISNUMBER(J972),OR(J972&lt;50,J972&gt;20000000))),"Введите целое число от 50 до 20000000",IF(NOT(ABS(IFERROR(VALUE(LEFT(M972,FIND("-",M972)-1)),M972)*100-(5000+2000000000)/2)&lt;=ABS(5000-2000000000)/2),"Цена со скидкой должна быть от 50 до 20000000",IF(IFERROR(VALUE(LEFT(M972,FIND("-",M972)-1)),M972)*229&lt;92700,"Вы уменьшили цену в несколько раз, товар попадет в карантин цен","")))),"")</f>
      </c>
    </row>
    <row r="973">
      <c r="A973" s="2" t="inlineStr">
        <is>
          <t>CuteShop</t>
        </is>
      </c>
      <c r="B973" s="2" t="inlineStr">
        <is>
          <t>Держатели для пустышек</t>
        </is>
      </c>
      <c r="C973" s="2">
        <v>314742384</v>
      </c>
      <c r="D973" s="2" t="inlineStr">
        <is>
          <t>DemaMish</t>
        </is>
      </c>
      <c r="E973" s="2" t="inlineStr">
        <is>
          <t>2042540690578</t>
        </is>
      </c>
      <c r="F973" s="2">
        <v>0</v>
      </c>
      <c r="G973" s="2">
        <v>1</v>
      </c>
      <c r="H973" s="2" t="inlineStr">
        <is>
          <t/>
        </is>
      </c>
      <c r="I973" s="2" t="inlineStr">
        <is>
          <t>1030</t>
        </is>
      </c>
      <c r="J973" s="4"/>
      <c r="K973" s="2">
        <v>10</v>
      </c>
      <c r="L973" s="6"/>
      <c r="M973" s="2" t="str">
        <f>IF(J973="",ROUND(I973*(1-IF(ISBLANK(L973),K973,L973)/100),2),ROUND(J973*(1-IF(ISBLANK(L973),K973,L973)/100),2))</f>
      </c>
      <c r="N973" s="7" t="str">
        <f>IF(NOT(AND(J973="",L973="")),IF(OR(AND(L973&lt;&gt;"",NOT(ISNUMBER(L973))),IFERROR(MOD(L973,1),1)&gt;0,AND(ISNUMBER(L973),OR(L973&lt;0,L973&gt;95))),"Введите целое число от 0 до 95",IF(OR(AND(J973&lt;&gt;"",NOT(ISNUMBER(J973))),IFERROR(MOD(J973,1),1)&gt;0,AND(ISNUMBER(J973),OR(J973&lt;50,J973&gt;20000000))),"Введите целое число от 50 до 20000000",IF(NOT(ABS(IFERROR(VALUE(LEFT(M973,FIND("-",M973)-1)),M973)*100-(5000+2000000000)/2)&lt;=ABS(5000-2000000000)/2),"Цена со скидкой должна быть от 50 до 20000000",IF(IFERROR(VALUE(LEFT(M973,FIND("-",M973)-1)),M973)*229&lt;92700,"Вы уменьшили цену в несколько раз, товар попадет в карантин цен","")))),"")</f>
      </c>
    </row>
    <row r="974">
      <c r="A974" s="2" t="inlineStr">
        <is>
          <t>CuteShop</t>
        </is>
      </c>
      <c r="B974" s="2" t="inlineStr">
        <is>
          <t>Держатели для пустышек</t>
        </is>
      </c>
      <c r="C974" s="2">
        <v>176261145</v>
      </c>
      <c r="D974" s="2" t="inlineStr">
        <is>
          <t>LizochkaBG</t>
        </is>
      </c>
      <c r="E974" s="2" t="inlineStr">
        <is>
          <t>2038588309510</t>
        </is>
      </c>
      <c r="F974" s="2">
        <v>0</v>
      </c>
      <c r="G974" s="2">
        <v>0</v>
      </c>
      <c r="H974" s="2">
        <v>0</v>
      </c>
      <c r="I974" s="2" t="inlineStr">
        <is>
          <t>790</t>
        </is>
      </c>
      <c r="J974" s="4"/>
      <c r="K974" s="2">
        <v>10</v>
      </c>
      <c r="L974" s="6"/>
      <c r="M974" s="2" t="str">
        <f>IF(J974="",ROUND(I974*(1-IF(ISBLANK(L974),K974,L974)/100),2),ROUND(J974*(1-IF(ISBLANK(L974),K974,L974)/100),2))</f>
      </c>
      <c r="N974" s="7" t="str">
        <f>IF(NOT(AND(J974="",L974="")),IF(OR(AND(L974&lt;&gt;"",NOT(ISNUMBER(L974))),IFERROR(MOD(L974,1),1)&gt;0,AND(ISNUMBER(L974),OR(L974&lt;0,L974&gt;95))),"Введите целое число от 0 до 95",IF(OR(AND(J974&lt;&gt;"",NOT(ISNUMBER(J974))),IFERROR(MOD(J974,1),1)&gt;0,AND(ISNUMBER(J974),OR(J974&lt;50,J974&gt;20000000))),"Введите целое число от 50 до 20000000",IF(NOT(ABS(IFERROR(VALUE(LEFT(M974,FIND("-",M974)-1)),M974)*100-(5000+2000000000)/2)&lt;=ABS(5000-2000000000)/2),"Цена со скидкой должна быть от 50 до 20000000",IF(IFERROR(VALUE(LEFT(M974,FIND("-",M974)-1)),M974)*229&lt;71100,"Вы уменьшили цену в несколько раз, товар попадет в карантин цен","")))),"")</f>
      </c>
    </row>
    <row r="975">
      <c r="A975" s="2" t="inlineStr">
        <is>
          <t>CuteShop</t>
        </is>
      </c>
      <c r="B975" s="2" t="inlineStr">
        <is>
          <t>Держатели для пустышек</t>
        </is>
      </c>
      <c r="C975" s="2">
        <v>371723138</v>
      </c>
      <c r="D975" s="2" t="inlineStr">
        <is>
          <t>KirushaBG</t>
        </is>
      </c>
      <c r="E975" s="2" t="inlineStr">
        <is>
          <t>2043387690776</t>
        </is>
      </c>
      <c r="F975" s="2">
        <v>0</v>
      </c>
      <c r="G975" s="2">
        <v>1</v>
      </c>
      <c r="H975" s="2" t="inlineStr">
        <is>
          <t/>
        </is>
      </c>
      <c r="I975" s="2" t="inlineStr">
        <is>
          <t>790</t>
        </is>
      </c>
      <c r="J975" s="4"/>
      <c r="K975" s="2">
        <v>10</v>
      </c>
      <c r="L975" s="6"/>
      <c r="M975" s="2" t="str">
        <f>IF(J975="",ROUND(I975*(1-IF(ISBLANK(L975),K975,L975)/100),2),ROUND(J975*(1-IF(ISBLANK(L975),K975,L975)/100),2))</f>
      </c>
      <c r="N975" s="7" t="str">
        <f>IF(NOT(AND(J975="",L975="")),IF(OR(AND(L975&lt;&gt;"",NOT(ISNUMBER(L975))),IFERROR(MOD(L975,1),1)&gt;0,AND(ISNUMBER(L975),OR(L975&lt;0,L975&gt;95))),"Введите целое число от 0 до 95",IF(OR(AND(J975&lt;&gt;"",NOT(ISNUMBER(J975))),IFERROR(MOD(J975,1),1)&gt;0,AND(ISNUMBER(J975),OR(J975&lt;50,J975&gt;20000000))),"Введите целое число от 50 до 20000000",IF(NOT(ABS(IFERROR(VALUE(LEFT(M975,FIND("-",M975)-1)),M975)*100-(5000+2000000000)/2)&lt;=ABS(5000-2000000000)/2),"Цена со скидкой должна быть от 50 до 20000000",IF(IFERROR(VALUE(LEFT(M975,FIND("-",M975)-1)),M975)*229&lt;71100,"Вы уменьшили цену в несколько раз, товар попадет в карантин цен","")))),"")</f>
      </c>
    </row>
    <row r="976">
      <c r="A976" s="2" t="inlineStr">
        <is>
          <t>CuteShop</t>
        </is>
      </c>
      <c r="B976" s="2" t="inlineStr">
        <is>
          <t>Держатели для пустышек</t>
        </is>
      </c>
      <c r="C976" s="2">
        <v>228746284</v>
      </c>
      <c r="D976" s="2" t="inlineStr">
        <is>
          <t>AmalBG</t>
        </is>
      </c>
      <c r="E976" s="2" t="inlineStr">
        <is>
          <t>2039924880113</t>
        </is>
      </c>
      <c r="F976" s="2">
        <v>0</v>
      </c>
      <c r="G976" s="2">
        <v>1</v>
      </c>
      <c r="H976" s="2" t="inlineStr">
        <is>
          <t/>
        </is>
      </c>
      <c r="I976" s="2" t="inlineStr">
        <is>
          <t>790</t>
        </is>
      </c>
      <c r="J976" s="4"/>
      <c r="K976" s="2">
        <v>10</v>
      </c>
      <c r="L976" s="6"/>
      <c r="M976" s="2" t="str">
        <f>IF(J976="",ROUND(I976*(1-IF(ISBLANK(L976),K976,L976)/100),2),ROUND(J976*(1-IF(ISBLANK(L976),K976,L976)/100),2))</f>
      </c>
      <c r="N976" s="7" t="str">
        <f>IF(NOT(AND(J976="",L976="")),IF(OR(AND(L976&lt;&gt;"",NOT(ISNUMBER(L976))),IFERROR(MOD(L976,1),1)&gt;0,AND(ISNUMBER(L976),OR(L976&lt;0,L976&gt;95))),"Введите целое число от 0 до 95",IF(OR(AND(J976&lt;&gt;"",NOT(ISNUMBER(J976))),IFERROR(MOD(J976,1),1)&gt;0,AND(ISNUMBER(J976),OR(J976&lt;50,J976&gt;20000000))),"Введите целое число от 50 до 20000000",IF(NOT(ABS(IFERROR(VALUE(LEFT(M976,FIND("-",M976)-1)),M976)*100-(5000+2000000000)/2)&lt;=ABS(5000-2000000000)/2),"Цена со скидкой должна быть от 50 до 20000000",IF(IFERROR(VALUE(LEFT(M976,FIND("-",M976)-1)),M976)*229&lt;71100,"Вы уменьшили цену в несколько раз, товар попадет в карантин цен","")))),"")</f>
      </c>
    </row>
    <row r="977">
      <c r="A977" s="2" t="inlineStr">
        <is>
          <t>CuteShop</t>
        </is>
      </c>
      <c r="B977" s="2" t="inlineStr">
        <is>
          <t>Держатели для пустышек</t>
        </is>
      </c>
      <c r="C977" s="2">
        <v>314675626</v>
      </c>
      <c r="D977" s="2" t="inlineStr">
        <is>
          <t>EgorBel</t>
        </is>
      </c>
      <c r="E977" s="2" t="inlineStr">
        <is>
          <t>2042539232093</t>
        </is>
      </c>
      <c r="F977" s="2">
        <v>0</v>
      </c>
      <c r="G977" s="2">
        <v>1</v>
      </c>
      <c r="H977" s="2" t="inlineStr">
        <is>
          <t/>
        </is>
      </c>
      <c r="I977" s="2" t="inlineStr">
        <is>
          <t>1030</t>
        </is>
      </c>
      <c r="J977" s="4"/>
      <c r="K977" s="2">
        <v>10</v>
      </c>
      <c r="L977" s="6"/>
      <c r="M977" s="2" t="str">
        <f>IF(J977="",ROUND(I977*(1-IF(ISBLANK(L977),K977,L977)/100),2),ROUND(J977*(1-IF(ISBLANK(L977),K977,L977)/100),2))</f>
      </c>
      <c r="N977" s="7" t="str">
        <f>IF(NOT(AND(J977="",L977="")),IF(OR(AND(L977&lt;&gt;"",NOT(ISNUMBER(L977))),IFERROR(MOD(L977,1),1)&gt;0,AND(ISNUMBER(L977),OR(L977&lt;0,L977&gt;95))),"Введите целое число от 0 до 95",IF(OR(AND(J977&lt;&gt;"",NOT(ISNUMBER(J977))),IFERROR(MOD(J977,1),1)&gt;0,AND(ISNUMBER(J977),OR(J977&lt;50,J977&gt;20000000))),"Введите целое число от 50 до 20000000",IF(NOT(ABS(IFERROR(VALUE(LEFT(M977,FIND("-",M977)-1)),M977)*100-(5000+2000000000)/2)&lt;=ABS(5000-2000000000)/2),"Цена со скидкой должна быть от 50 до 20000000",IF(IFERROR(VALUE(LEFT(M977,FIND("-",M977)-1)),M977)*229&lt;92700,"Вы уменьшили цену в несколько раз, товар попадет в карантин цен","")))),"")</f>
      </c>
    </row>
    <row r="978">
      <c r="A978" s="2" t="inlineStr">
        <is>
          <t>CuteShop</t>
        </is>
      </c>
      <c r="B978" s="2" t="inlineStr">
        <is>
          <t>Держатели для пустышек</t>
        </is>
      </c>
      <c r="C978" s="2">
        <v>200698382</v>
      </c>
      <c r="D978" s="2" t="inlineStr">
        <is>
          <t>PashaMish</t>
        </is>
      </c>
      <c r="E978" s="2" t="inlineStr">
        <is>
          <t>2039320746372</t>
        </is>
      </c>
      <c r="F978" s="2">
        <v>0</v>
      </c>
      <c r="G978" s="2">
        <v>1</v>
      </c>
      <c r="H978" s="2">
        <v>1</v>
      </c>
      <c r="I978" s="2" t="inlineStr">
        <is>
          <t>1030</t>
        </is>
      </c>
      <c r="J978" s="4"/>
      <c r="K978" s="2">
        <v>10</v>
      </c>
      <c r="L978" s="6"/>
      <c r="M978" s="2" t="str">
        <f>IF(J978="",ROUND(I978*(1-IF(ISBLANK(L978),K978,L978)/100),2),ROUND(J978*(1-IF(ISBLANK(L978),K978,L978)/100),2))</f>
      </c>
      <c r="N978" s="7" t="str">
        <f>IF(NOT(AND(J978="",L978="")),IF(OR(AND(L978&lt;&gt;"",NOT(ISNUMBER(L978))),IFERROR(MOD(L978,1),1)&gt;0,AND(ISNUMBER(L978),OR(L978&lt;0,L978&gt;95))),"Введите целое число от 0 до 95",IF(OR(AND(J978&lt;&gt;"",NOT(ISNUMBER(J978))),IFERROR(MOD(J978,1),1)&gt;0,AND(ISNUMBER(J978),OR(J978&lt;50,J978&gt;20000000))),"Введите целое число от 50 до 20000000",IF(NOT(ABS(IFERROR(VALUE(LEFT(M978,FIND("-",M978)-1)),M978)*100-(5000+2000000000)/2)&lt;=ABS(5000-2000000000)/2),"Цена со скидкой должна быть от 50 до 20000000",IF(IFERROR(VALUE(LEFT(M978,FIND("-",M978)-1)),M978)*229&lt;92700,"Вы уменьшили цену в несколько раз, товар попадет в карантин цен","")))),"")</f>
      </c>
    </row>
    <row r="979">
      <c r="A979" s="2" t="inlineStr">
        <is>
          <t>CuteShop</t>
        </is>
      </c>
      <c r="B979" s="2" t="inlineStr">
        <is>
          <t>Держатели для пустышек</t>
        </is>
      </c>
      <c r="C979" s="2">
        <v>217865757</v>
      </c>
      <c r="D979" s="2" t="inlineStr">
        <is>
          <t>EvgTigr</t>
        </is>
      </c>
      <c r="E979" s="2" t="inlineStr">
        <is>
          <t>2039672016307</t>
        </is>
      </c>
      <c r="F979" s="2">
        <v>0</v>
      </c>
      <c r="G979" s="2">
        <v>1</v>
      </c>
      <c r="H979" s="2" t="inlineStr">
        <is>
          <t/>
        </is>
      </c>
      <c r="I979" s="2" t="inlineStr">
        <is>
          <t>1030</t>
        </is>
      </c>
      <c r="J979" s="4"/>
      <c r="K979" s="2">
        <v>10</v>
      </c>
      <c r="L979" s="6"/>
      <c r="M979" s="2" t="str">
        <f>IF(J979="",ROUND(I979*(1-IF(ISBLANK(L979),K979,L979)/100),2),ROUND(J979*(1-IF(ISBLANK(L979),K979,L979)/100),2))</f>
      </c>
      <c r="N979" s="7" t="str">
        <f>IF(NOT(AND(J979="",L979="")),IF(OR(AND(L979&lt;&gt;"",NOT(ISNUMBER(L979))),IFERROR(MOD(L979,1),1)&gt;0,AND(ISNUMBER(L979),OR(L979&lt;0,L979&gt;95))),"Введите целое число от 0 до 95",IF(OR(AND(J979&lt;&gt;"",NOT(ISNUMBER(J979))),IFERROR(MOD(J979,1),1)&gt;0,AND(ISNUMBER(J979),OR(J979&lt;50,J979&gt;20000000))),"Введите целое число от 50 до 20000000",IF(NOT(ABS(IFERROR(VALUE(LEFT(M979,FIND("-",M979)-1)),M979)*100-(5000+2000000000)/2)&lt;=ABS(5000-2000000000)/2),"Цена со скидкой должна быть от 50 до 20000000",IF(IFERROR(VALUE(LEFT(M979,FIND("-",M979)-1)),M979)*229&lt;92700,"Вы уменьшили цену в несколько раз, товар попадет в карантин цен","")))),"")</f>
      </c>
    </row>
    <row r="980">
      <c r="A980" s="2" t="inlineStr">
        <is>
          <t>CuteShop</t>
        </is>
      </c>
      <c r="B980" s="2" t="inlineStr">
        <is>
          <t>Держатели для пустышек</t>
        </is>
      </c>
      <c r="C980" s="2">
        <v>314687311</v>
      </c>
      <c r="D980" s="2" t="inlineStr">
        <is>
          <t>EgorMish2</t>
        </is>
      </c>
      <c r="E980" s="2" t="inlineStr">
        <is>
          <t>2042539357727</t>
        </is>
      </c>
      <c r="F980" s="2">
        <v>0</v>
      </c>
      <c r="G980" s="2">
        <v>1</v>
      </c>
      <c r="H980" s="2" t="inlineStr">
        <is>
          <t/>
        </is>
      </c>
      <c r="I980" s="2" t="inlineStr">
        <is>
          <t>1030</t>
        </is>
      </c>
      <c r="J980" s="4"/>
      <c r="K980" s="2">
        <v>10</v>
      </c>
      <c r="L980" s="6"/>
      <c r="M980" s="2" t="str">
        <f>IF(J980="",ROUND(I980*(1-IF(ISBLANK(L980),K980,L980)/100),2),ROUND(J980*(1-IF(ISBLANK(L980),K980,L980)/100),2))</f>
      </c>
      <c r="N980" s="7" t="str">
        <f>IF(NOT(AND(J980="",L980="")),IF(OR(AND(L980&lt;&gt;"",NOT(ISNUMBER(L980))),IFERROR(MOD(L980,1),1)&gt;0,AND(ISNUMBER(L980),OR(L980&lt;0,L980&gt;95))),"Введите целое число от 0 до 95",IF(OR(AND(J980&lt;&gt;"",NOT(ISNUMBER(J980))),IFERROR(MOD(J980,1),1)&gt;0,AND(ISNUMBER(J980),OR(J980&lt;50,J980&gt;20000000))),"Введите целое число от 50 до 20000000",IF(NOT(ABS(IFERROR(VALUE(LEFT(M980,FIND("-",M980)-1)),M980)*100-(5000+2000000000)/2)&lt;=ABS(5000-2000000000)/2),"Цена со скидкой должна быть от 50 до 20000000",IF(IFERROR(VALUE(LEFT(M980,FIND("-",M980)-1)),M980)*229&lt;92700,"Вы уменьшили цену в несколько раз, товар попадет в карантин цен","")))),"")</f>
      </c>
    </row>
    <row r="981">
      <c r="A981" s="2" t="inlineStr">
        <is>
          <t>CuteShop</t>
        </is>
      </c>
      <c r="B981" s="2" t="inlineStr">
        <is>
          <t>Держатели для пустышек</t>
        </is>
      </c>
      <c r="C981" s="2">
        <v>314704276</v>
      </c>
      <c r="D981" s="2" t="inlineStr">
        <is>
          <t>DenisLis</t>
        </is>
      </c>
      <c r="E981" s="2" t="inlineStr">
        <is>
          <t>2042539637812</t>
        </is>
      </c>
      <c r="F981" s="2">
        <v>0</v>
      </c>
      <c r="G981" s="2">
        <v>1</v>
      </c>
      <c r="H981" s="2" t="inlineStr">
        <is>
          <t/>
        </is>
      </c>
      <c r="I981" s="2" t="inlineStr">
        <is>
          <t>1030</t>
        </is>
      </c>
      <c r="J981" s="4"/>
      <c r="K981" s="2">
        <v>10</v>
      </c>
      <c r="L981" s="6"/>
      <c r="M981" s="2" t="str">
        <f>IF(J981="",ROUND(I981*(1-IF(ISBLANK(L981),K981,L981)/100),2),ROUND(J981*(1-IF(ISBLANK(L981),K981,L981)/100),2))</f>
      </c>
      <c r="N981" s="7" t="str">
        <f>IF(NOT(AND(J981="",L981="")),IF(OR(AND(L981&lt;&gt;"",NOT(ISNUMBER(L981))),IFERROR(MOD(L981,1),1)&gt;0,AND(ISNUMBER(L981),OR(L981&lt;0,L981&gt;95))),"Введите целое число от 0 до 95",IF(OR(AND(J981&lt;&gt;"",NOT(ISNUMBER(J981))),IFERROR(MOD(J981,1),1)&gt;0,AND(ISNUMBER(J981),OR(J981&lt;50,J981&gt;20000000))),"Введите целое число от 50 до 20000000",IF(NOT(ABS(IFERROR(VALUE(LEFT(M981,FIND("-",M981)-1)),M981)*100-(5000+2000000000)/2)&lt;=ABS(5000-2000000000)/2),"Цена со скидкой должна быть от 50 до 20000000",IF(IFERROR(VALUE(LEFT(M981,FIND("-",M981)-1)),M981)*229&lt;92700,"Вы уменьшили цену в несколько раз, товар попадет в карантин цен","")))),"")</f>
      </c>
    </row>
    <row r="982">
      <c r="A982" s="2" t="inlineStr">
        <is>
          <t>CuteShop</t>
        </is>
      </c>
      <c r="B982" s="2" t="inlineStr">
        <is>
          <t>Держатели для пустышек</t>
        </is>
      </c>
      <c r="C982" s="2">
        <v>230344208</v>
      </c>
      <c r="D982" s="2" t="inlineStr">
        <is>
          <t>KamilaKot</t>
        </is>
      </c>
      <c r="E982" s="2" t="inlineStr">
        <is>
          <t>2039967529819</t>
        </is>
      </c>
      <c r="F982" s="2">
        <v>0</v>
      </c>
      <c r="G982" s="2">
        <v>0</v>
      </c>
      <c r="H982" s="2" t="inlineStr">
        <is>
          <t/>
        </is>
      </c>
      <c r="I982" s="2" t="inlineStr">
        <is>
          <t>1030</t>
        </is>
      </c>
      <c r="J982" s="4"/>
      <c r="K982" s="2">
        <v>10</v>
      </c>
      <c r="L982" s="6"/>
      <c r="M982" s="2" t="str">
        <f>IF(J982="",ROUND(I982*(1-IF(ISBLANK(L982),K982,L982)/100),2),ROUND(J982*(1-IF(ISBLANK(L982),K982,L982)/100),2))</f>
      </c>
      <c r="N982" s="7" t="str">
        <f>IF(NOT(AND(J982="",L982="")),IF(OR(AND(L982&lt;&gt;"",NOT(ISNUMBER(L982))),IFERROR(MOD(L982,1),1)&gt;0,AND(ISNUMBER(L982),OR(L982&lt;0,L982&gt;95))),"Введите целое число от 0 до 95",IF(OR(AND(J982&lt;&gt;"",NOT(ISNUMBER(J982))),IFERROR(MOD(J982,1),1)&gt;0,AND(ISNUMBER(J982),OR(J982&lt;50,J982&gt;20000000))),"Введите целое число от 50 до 20000000",IF(NOT(ABS(IFERROR(VALUE(LEFT(M982,FIND("-",M982)-1)),M982)*100-(5000+2000000000)/2)&lt;=ABS(5000-2000000000)/2),"Цена со скидкой должна быть от 50 до 20000000",IF(IFERROR(VALUE(LEFT(M982,FIND("-",M982)-1)),M982)*229&lt;92700,"Вы уменьшили цену в несколько раз, товар попадет в карантин цен","")))),"")</f>
      </c>
    </row>
    <row r="983">
      <c r="A983" s="2" t="inlineStr">
        <is>
          <t>CuteShop</t>
        </is>
      </c>
      <c r="B983" s="2" t="inlineStr">
        <is>
          <t>Держатели для пустышек</t>
        </is>
      </c>
      <c r="C983" s="2">
        <v>314706793</v>
      </c>
      <c r="D983" s="2" t="inlineStr">
        <is>
          <t>DenisMish2</t>
        </is>
      </c>
      <c r="E983" s="2" t="inlineStr">
        <is>
          <t>2042539667475</t>
        </is>
      </c>
      <c r="F983" s="2">
        <v>0</v>
      </c>
      <c r="G983" s="2">
        <v>1</v>
      </c>
      <c r="H983" s="2" t="inlineStr">
        <is>
          <t/>
        </is>
      </c>
      <c r="I983" s="2" t="inlineStr">
        <is>
          <t>1030</t>
        </is>
      </c>
      <c r="J983" s="4"/>
      <c r="K983" s="2">
        <v>10</v>
      </c>
      <c r="L983" s="6"/>
      <c r="M983" s="2" t="str">
        <f>IF(J983="",ROUND(I983*(1-IF(ISBLANK(L983),K983,L983)/100),2),ROUND(J983*(1-IF(ISBLANK(L983),K983,L983)/100),2))</f>
      </c>
      <c r="N983" s="7" t="str">
        <f>IF(NOT(AND(J983="",L983="")),IF(OR(AND(L983&lt;&gt;"",NOT(ISNUMBER(L983))),IFERROR(MOD(L983,1),1)&gt;0,AND(ISNUMBER(L983),OR(L983&lt;0,L983&gt;95))),"Введите целое число от 0 до 95",IF(OR(AND(J983&lt;&gt;"",NOT(ISNUMBER(J983))),IFERROR(MOD(J983,1),1)&gt;0,AND(ISNUMBER(J983),OR(J983&lt;50,J983&gt;20000000))),"Введите целое число от 50 до 20000000",IF(NOT(ABS(IFERROR(VALUE(LEFT(M983,FIND("-",M983)-1)),M983)*100-(5000+2000000000)/2)&lt;=ABS(5000-2000000000)/2),"Цена со скидкой должна быть от 50 до 20000000",IF(IFERROR(VALUE(LEFT(M983,FIND("-",M983)-1)),M983)*229&lt;92700,"Вы уменьшили цену в несколько раз, товар попадет в карантин цен","")))),"")</f>
      </c>
    </row>
    <row r="984">
      <c r="A984" s="2" t="inlineStr">
        <is>
          <t>CuteShop</t>
        </is>
      </c>
      <c r="B984" s="2" t="inlineStr">
        <is>
          <t>Держатели для пустышек</t>
        </is>
      </c>
      <c r="C984" s="2">
        <v>269141972</v>
      </c>
      <c r="D984" s="2" t="inlineStr">
        <is>
          <t>YuliyaMish_New</t>
        </is>
      </c>
      <c r="E984" s="2" t="inlineStr">
        <is>
          <t>2041429647702</t>
        </is>
      </c>
      <c r="F984" s="2">
        <v>0</v>
      </c>
      <c r="G984" s="2">
        <v>1</v>
      </c>
      <c r="H984" s="2" t="inlineStr">
        <is>
          <t/>
        </is>
      </c>
      <c r="I984" s="2" t="inlineStr">
        <is>
          <t>1030</t>
        </is>
      </c>
      <c r="J984" s="4"/>
      <c r="K984" s="2">
        <v>10</v>
      </c>
      <c r="L984" s="6"/>
      <c r="M984" s="2" t="str">
        <f>IF(J984="",ROUND(I984*(1-IF(ISBLANK(L984),K984,L984)/100),2),ROUND(J984*(1-IF(ISBLANK(L984),K984,L984)/100),2))</f>
      </c>
      <c r="N984" s="7" t="str">
        <f>IF(NOT(AND(J984="",L984="")),IF(OR(AND(L984&lt;&gt;"",NOT(ISNUMBER(L984))),IFERROR(MOD(L984,1),1)&gt;0,AND(ISNUMBER(L984),OR(L984&lt;0,L984&gt;95))),"Введите целое число от 0 до 95",IF(OR(AND(J984&lt;&gt;"",NOT(ISNUMBER(J984))),IFERROR(MOD(J984,1),1)&gt;0,AND(ISNUMBER(J984),OR(J984&lt;50,J984&gt;20000000))),"Введите целое число от 50 до 20000000",IF(NOT(ABS(IFERROR(VALUE(LEFT(M984,FIND("-",M984)-1)),M984)*100-(5000+2000000000)/2)&lt;=ABS(5000-2000000000)/2),"Цена со скидкой должна быть от 50 до 20000000",IF(IFERROR(VALUE(LEFT(M984,FIND("-",M984)-1)),M984)*229&lt;92700,"Вы уменьшили цену в несколько раз, товар попадет в карантин цен","")))),"")</f>
      </c>
    </row>
    <row r="985">
      <c r="A985" s="2" t="inlineStr">
        <is>
          <t>CuteShop</t>
        </is>
      </c>
      <c r="B985" s="2" t="inlineStr">
        <is>
          <t>Держатели для пустышек</t>
        </is>
      </c>
      <c r="C985" s="2">
        <v>269143760</v>
      </c>
      <c r="D985" s="2" t="inlineStr">
        <is>
          <t>YulechkaSlon</t>
        </is>
      </c>
      <c r="E985" s="2" t="inlineStr">
        <is>
          <t>2041429750327</t>
        </is>
      </c>
      <c r="F985" s="2">
        <v>0</v>
      </c>
      <c r="G985" s="2">
        <v>1</v>
      </c>
      <c r="H985" s="2" t="inlineStr">
        <is>
          <t/>
        </is>
      </c>
      <c r="I985" s="2" t="inlineStr">
        <is>
          <t>1030</t>
        </is>
      </c>
      <c r="J985" s="4"/>
      <c r="K985" s="2">
        <v>10</v>
      </c>
      <c r="L985" s="6"/>
      <c r="M985" s="2" t="str">
        <f>IF(J985="",ROUND(I985*(1-IF(ISBLANK(L985),K985,L985)/100),2),ROUND(J985*(1-IF(ISBLANK(L985),K985,L985)/100),2))</f>
      </c>
      <c r="N985" s="7" t="str">
        <f>IF(NOT(AND(J985="",L985="")),IF(OR(AND(L985&lt;&gt;"",NOT(ISNUMBER(L985))),IFERROR(MOD(L985,1),1)&gt;0,AND(ISNUMBER(L985),OR(L985&lt;0,L985&gt;95))),"Введите целое число от 0 до 95",IF(OR(AND(J985&lt;&gt;"",NOT(ISNUMBER(J985))),IFERROR(MOD(J985,1),1)&gt;0,AND(ISNUMBER(J985),OR(J985&lt;50,J985&gt;20000000))),"Введите целое число от 50 до 20000000",IF(NOT(ABS(IFERROR(VALUE(LEFT(M985,FIND("-",M985)-1)),M985)*100-(5000+2000000000)/2)&lt;=ABS(5000-2000000000)/2),"Цена со скидкой должна быть от 50 до 20000000",IF(IFERROR(VALUE(LEFT(M985,FIND("-",M985)-1)),M985)*229&lt;92700,"Вы уменьшили цену в несколько раз, товар попадет в карантин цен","")))),"")</f>
      </c>
    </row>
    <row r="986">
      <c r="A986" s="2" t="inlineStr">
        <is>
          <t>CuteShop</t>
        </is>
      </c>
      <c r="B986" s="2" t="inlineStr">
        <is>
          <t>Держатели для пустышек</t>
        </is>
      </c>
      <c r="C986" s="2">
        <v>314741266</v>
      </c>
      <c r="D986" s="2" t="inlineStr">
        <is>
          <t>DemaBel</t>
        </is>
      </c>
      <c r="E986" s="2" t="inlineStr">
        <is>
          <t>2042540626300</t>
        </is>
      </c>
      <c r="F986" s="2">
        <v>0</v>
      </c>
      <c r="G986" s="2">
        <v>1</v>
      </c>
      <c r="H986" s="2" t="inlineStr">
        <is>
          <t/>
        </is>
      </c>
      <c r="I986" s="2" t="inlineStr">
        <is>
          <t>1030</t>
        </is>
      </c>
      <c r="J986" s="4"/>
      <c r="K986" s="2">
        <v>10</v>
      </c>
      <c r="L986" s="6"/>
      <c r="M986" s="2" t="str">
        <f>IF(J986="",ROUND(I986*(1-IF(ISBLANK(L986),K986,L986)/100),2),ROUND(J986*(1-IF(ISBLANK(L986),K986,L986)/100),2))</f>
      </c>
      <c r="N986" s="7" t="str">
        <f>IF(NOT(AND(J986="",L986="")),IF(OR(AND(L986&lt;&gt;"",NOT(ISNUMBER(L986))),IFERROR(MOD(L986,1),1)&gt;0,AND(ISNUMBER(L986),OR(L986&lt;0,L986&gt;95))),"Введите целое число от 0 до 95",IF(OR(AND(J986&lt;&gt;"",NOT(ISNUMBER(J986))),IFERROR(MOD(J986,1),1)&gt;0,AND(ISNUMBER(J986),OR(J986&lt;50,J986&gt;20000000))),"Введите целое число от 50 до 20000000",IF(NOT(ABS(IFERROR(VALUE(LEFT(M986,FIND("-",M986)-1)),M986)*100-(5000+2000000000)/2)&lt;=ABS(5000-2000000000)/2),"Цена со скидкой должна быть от 50 до 20000000",IF(IFERROR(VALUE(LEFT(M986,FIND("-",M986)-1)),M986)*229&lt;92700,"Вы уменьшили цену в несколько раз, товар попадет в карантин цен","")))),"")</f>
      </c>
    </row>
    <row r="987">
      <c r="A987" s="2" t="inlineStr">
        <is>
          <t>CuteShop</t>
        </is>
      </c>
      <c r="B987" s="2" t="inlineStr">
        <is>
          <t>Держатели для пустышек</t>
        </is>
      </c>
      <c r="C987" s="2">
        <v>314743847</v>
      </c>
      <c r="D987" s="2" t="inlineStr">
        <is>
          <t>DemaLis</t>
        </is>
      </c>
      <c r="E987" s="2" t="inlineStr">
        <is>
          <t>2042540699670</t>
        </is>
      </c>
      <c r="F987" s="2">
        <v>0</v>
      </c>
      <c r="G987" s="2">
        <v>1</v>
      </c>
      <c r="H987" s="2" t="inlineStr">
        <is>
          <t/>
        </is>
      </c>
      <c r="I987" s="2" t="inlineStr">
        <is>
          <t>1030</t>
        </is>
      </c>
      <c r="J987" s="4"/>
      <c r="K987" s="2">
        <v>10</v>
      </c>
      <c r="L987" s="6"/>
      <c r="M987" s="2" t="str">
        <f>IF(J987="",ROUND(I987*(1-IF(ISBLANK(L987),K987,L987)/100),2),ROUND(J987*(1-IF(ISBLANK(L987),K987,L987)/100),2))</f>
      </c>
      <c r="N987" s="7" t="str">
        <f>IF(NOT(AND(J987="",L987="")),IF(OR(AND(L987&lt;&gt;"",NOT(ISNUMBER(L987))),IFERROR(MOD(L987,1),1)&gt;0,AND(ISNUMBER(L987),OR(L987&lt;0,L987&gt;95))),"Введите целое число от 0 до 95",IF(OR(AND(J987&lt;&gt;"",NOT(ISNUMBER(J987))),IFERROR(MOD(J987,1),1)&gt;0,AND(ISNUMBER(J987),OR(J987&lt;50,J987&gt;20000000))),"Введите целое число от 50 до 20000000",IF(NOT(ABS(IFERROR(VALUE(LEFT(M987,FIND("-",M987)-1)),M987)*100-(5000+2000000000)/2)&lt;=ABS(5000-2000000000)/2),"Цена со скидкой должна быть от 50 до 20000000",IF(IFERROR(VALUE(LEFT(M987,FIND("-",M987)-1)),M987)*229&lt;92700,"Вы уменьшили цену в несколько раз, товар попадет в карантин цен","")))),"")</f>
      </c>
    </row>
    <row r="988">
      <c r="A988" s="2" t="inlineStr">
        <is>
          <t>CuteShop</t>
        </is>
      </c>
      <c r="B988" s="2" t="inlineStr">
        <is>
          <t>Держатели для пустышек</t>
        </is>
      </c>
      <c r="C988" s="2">
        <v>279836548</v>
      </c>
      <c r="D988" s="2" t="inlineStr">
        <is>
          <t>Derzh-Prost1</t>
        </is>
      </c>
      <c r="E988" s="2" t="inlineStr">
        <is>
          <t>2041720904436</t>
        </is>
      </c>
      <c r="F988" s="2">
        <v>0</v>
      </c>
      <c r="G988" s="2">
        <v>1</v>
      </c>
      <c r="H988" s="2" t="inlineStr">
        <is>
          <t/>
        </is>
      </c>
      <c r="I988" s="2" t="inlineStr">
        <is>
          <t>390</t>
        </is>
      </c>
      <c r="J988" s="4"/>
      <c r="K988" s="2">
        <v>3</v>
      </c>
      <c r="L988" s="6"/>
      <c r="M988" s="2" t="str">
        <f>IF(J988="",ROUND(I988*(1-IF(ISBLANK(L988),K988,L988)/100),2),ROUND(J988*(1-IF(ISBLANK(L988),K988,L988)/100),2))</f>
      </c>
      <c r="N988" s="7" t="str">
        <f>IF(NOT(AND(J988="",L988="")),IF(OR(AND(L988&lt;&gt;"",NOT(ISNUMBER(L988))),IFERROR(MOD(L988,1),1)&gt;0,AND(ISNUMBER(L988),OR(L988&lt;0,L988&gt;95))),"Введите целое число от 0 до 95",IF(OR(AND(J988&lt;&gt;"",NOT(ISNUMBER(J988))),IFERROR(MOD(J988,1),1)&gt;0,AND(ISNUMBER(J988),OR(J988&lt;50,J988&gt;20000000))),"Введите целое число от 50 до 20000000",IF(NOT(ABS(IFERROR(VALUE(LEFT(M988,FIND("-",M988)-1)),M988)*100-(5000+2000000000)/2)&lt;=ABS(5000-2000000000)/2),"Цена со скидкой должна быть от 50 до 20000000",IF(IFERROR(VALUE(LEFT(M988,FIND("-",M988)-1)),M988)*229&lt;37830,"Вы уменьшили цену в несколько раз, товар попадет в карантин цен","")))),"")</f>
      </c>
    </row>
    <row r="989">
      <c r="A989" s="2" t="inlineStr">
        <is>
          <t>CuteShop</t>
        </is>
      </c>
      <c r="B989" s="2" t="inlineStr">
        <is>
          <t>Держатели для пустышек</t>
        </is>
      </c>
      <c r="C989" s="2">
        <v>245142192</v>
      </c>
      <c r="D989" s="2" t="inlineStr">
        <is>
          <t>RomaOlen</t>
        </is>
      </c>
      <c r="E989" s="2" t="inlineStr">
        <is>
          <t>2040698965760</t>
        </is>
      </c>
      <c r="F989" s="2">
        <v>0</v>
      </c>
      <c r="G989" s="2">
        <v>0</v>
      </c>
      <c r="H989" s="2" t="inlineStr">
        <is>
          <t/>
        </is>
      </c>
      <c r="I989" s="2" t="inlineStr">
        <is>
          <t>900</t>
        </is>
      </c>
      <c r="J989" s="4"/>
      <c r="K989" s="2">
        <v>10</v>
      </c>
      <c r="L989" s="6"/>
      <c r="M989" s="2" t="str">
        <f>IF(J989="",ROUND(I989*(1-IF(ISBLANK(L989),K989,L989)/100),2),ROUND(J989*(1-IF(ISBLANK(L989),K989,L989)/100),2))</f>
      </c>
      <c r="N989" s="7" t="str">
        <f>IF(NOT(AND(J989="",L989="")),IF(OR(AND(L989&lt;&gt;"",NOT(ISNUMBER(L989))),IFERROR(MOD(L989,1),1)&gt;0,AND(ISNUMBER(L989),OR(L989&lt;0,L989&gt;95))),"Введите целое число от 0 до 95",IF(OR(AND(J989&lt;&gt;"",NOT(ISNUMBER(J989))),IFERROR(MOD(J989,1),1)&gt;0,AND(ISNUMBER(J989),OR(J989&lt;50,J989&gt;20000000))),"Введите целое число от 50 до 20000000",IF(NOT(ABS(IFERROR(VALUE(LEFT(M989,FIND("-",M989)-1)),M989)*100-(5000+2000000000)/2)&lt;=ABS(5000-2000000000)/2),"Цена со скидкой должна быть от 50 до 20000000",IF(IFERROR(VALUE(LEFT(M989,FIND("-",M989)-1)),M989)*229&lt;81000,"Вы уменьшили цену в несколько раз, товар попадет в карантин цен","")))),"")</f>
      </c>
    </row>
    <row r="990">
      <c r="A990" s="2" t="inlineStr">
        <is>
          <t>CuteShop</t>
        </is>
      </c>
      <c r="B990" s="2" t="inlineStr">
        <is>
          <t>Держатели для пустышек</t>
        </is>
      </c>
      <c r="C990" s="2">
        <v>110884109</v>
      </c>
      <c r="D990" s="2" t="inlineStr">
        <is>
          <t>Sofiya1Zay</t>
        </is>
      </c>
      <c r="E990" s="2" t="inlineStr">
        <is>
          <t>2037218230620</t>
        </is>
      </c>
      <c r="F990" s="2">
        <v>0</v>
      </c>
      <c r="G990" s="2">
        <v>0</v>
      </c>
      <c r="H990" s="2">
        <v>0</v>
      </c>
      <c r="I990" s="2" t="inlineStr">
        <is>
          <t>1030</t>
        </is>
      </c>
      <c r="J990" s="4"/>
      <c r="K990" s="2">
        <v>10</v>
      </c>
      <c r="L990" s="6"/>
      <c r="M990" s="2" t="str">
        <f>IF(J990="",ROUND(I990*(1-IF(ISBLANK(L990),K990,L990)/100),2),ROUND(J990*(1-IF(ISBLANK(L990),K990,L990)/100),2))</f>
      </c>
      <c r="N990" s="7" t="str">
        <f>IF(NOT(AND(J990="",L990="")),IF(OR(AND(L990&lt;&gt;"",NOT(ISNUMBER(L990))),IFERROR(MOD(L990,1),1)&gt;0,AND(ISNUMBER(L990),OR(L990&lt;0,L990&gt;95))),"Введите целое число от 0 до 95",IF(OR(AND(J990&lt;&gt;"",NOT(ISNUMBER(J990))),IFERROR(MOD(J990,1),1)&gt;0,AND(ISNUMBER(J990),OR(J990&lt;50,J990&gt;20000000))),"Введите целое число от 50 до 20000000",IF(NOT(ABS(IFERROR(VALUE(LEFT(M990,FIND("-",M990)-1)),M990)*100-(5000+2000000000)/2)&lt;=ABS(5000-2000000000)/2),"Цена со скидкой должна быть от 50 до 20000000",IF(IFERROR(VALUE(LEFT(M990,FIND("-",M990)-1)),M990)*229&lt;92700,"Вы уменьшили цену в несколько раз, товар попадет в карантин цен","")))),"")</f>
      </c>
    </row>
    <row r="991">
      <c r="A991" s="2" t="inlineStr">
        <is>
          <t>CuteShop</t>
        </is>
      </c>
      <c r="B991" s="2" t="inlineStr">
        <is>
          <t>Держатели для пустышек</t>
        </is>
      </c>
      <c r="C991" s="2">
        <v>228724806</v>
      </c>
      <c r="D991" s="2" t="inlineStr">
        <is>
          <t>Derzh-Dev5</t>
        </is>
      </c>
      <c r="E991" s="2" t="inlineStr">
        <is>
          <t>2039924598636</t>
        </is>
      </c>
      <c r="F991" s="2">
        <v>0</v>
      </c>
      <c r="G991" s="2">
        <v>2</v>
      </c>
      <c r="H991" s="2" t="inlineStr">
        <is>
          <t/>
        </is>
      </c>
      <c r="I991" s="2" t="inlineStr">
        <is>
          <t>370</t>
        </is>
      </c>
      <c r="J991" s="4"/>
      <c r="K991" s="2">
        <v>3</v>
      </c>
      <c r="L991" s="6"/>
      <c r="M991" s="2" t="str">
        <f>IF(J991="",ROUND(I991*(1-IF(ISBLANK(L991),K991,L991)/100),2),ROUND(J991*(1-IF(ISBLANK(L991),K991,L991)/100),2))</f>
      </c>
      <c r="N991" s="7" t="str">
        <f>IF(NOT(AND(J991="",L991="")),IF(OR(AND(L991&lt;&gt;"",NOT(ISNUMBER(L991))),IFERROR(MOD(L991,1),1)&gt;0,AND(ISNUMBER(L991),OR(L991&lt;0,L991&gt;95))),"Введите целое число от 0 до 95",IF(OR(AND(J991&lt;&gt;"",NOT(ISNUMBER(J991))),IFERROR(MOD(J991,1),1)&gt;0,AND(ISNUMBER(J991),OR(J991&lt;50,J991&gt;20000000))),"Введите целое число от 50 до 20000000",IF(NOT(ABS(IFERROR(VALUE(LEFT(M991,FIND("-",M991)-1)),M991)*100-(5000+2000000000)/2)&lt;=ABS(5000-2000000000)/2),"Цена со скидкой должна быть от 50 до 20000000",IF(IFERROR(VALUE(LEFT(M991,FIND("-",M991)-1)),M991)*229&lt;35890,"Вы уменьшили цену в несколько раз, товар попадет в карантин цен","")))),"")</f>
      </c>
    </row>
    <row r="992">
      <c r="A992" s="2" t="inlineStr">
        <is>
          <t>CuteShop</t>
        </is>
      </c>
      <c r="B992" s="2" t="inlineStr">
        <is>
          <t>Держатели для пустышек</t>
        </is>
      </c>
      <c r="C992" s="2">
        <v>245106145</v>
      </c>
      <c r="D992" s="2" t="inlineStr">
        <is>
          <t>VanyaOlen</t>
        </is>
      </c>
      <c r="E992" s="2" t="inlineStr">
        <is>
          <t>2040697863555</t>
        </is>
      </c>
      <c r="F992" s="2">
        <v>0</v>
      </c>
      <c r="G992" s="2">
        <v>0</v>
      </c>
      <c r="H992" s="2" t="inlineStr">
        <is>
          <t/>
        </is>
      </c>
      <c r="I992" s="2" t="inlineStr">
        <is>
          <t>830</t>
        </is>
      </c>
      <c r="J992" s="4"/>
      <c r="K992" s="2">
        <v>10</v>
      </c>
      <c r="L992" s="6"/>
      <c r="M992" s="2" t="str">
        <f>IF(J992="",ROUND(I992*(1-IF(ISBLANK(L992),K992,L992)/100),2),ROUND(J992*(1-IF(ISBLANK(L992),K992,L992)/100),2))</f>
      </c>
      <c r="N992" s="7" t="str">
        <f>IF(NOT(AND(J992="",L992="")),IF(OR(AND(L992&lt;&gt;"",NOT(ISNUMBER(L992))),IFERROR(MOD(L992,1),1)&gt;0,AND(ISNUMBER(L992),OR(L992&lt;0,L992&gt;95))),"Введите целое число от 0 до 95",IF(OR(AND(J992&lt;&gt;"",NOT(ISNUMBER(J992))),IFERROR(MOD(J992,1),1)&gt;0,AND(ISNUMBER(J992),OR(J992&lt;50,J992&gt;20000000))),"Введите целое число от 50 до 20000000",IF(NOT(ABS(IFERROR(VALUE(LEFT(M992,FIND("-",M992)-1)),M992)*100-(5000+2000000000)/2)&lt;=ABS(5000-2000000000)/2),"Цена со скидкой должна быть от 50 до 20000000",IF(IFERROR(VALUE(LEFT(M992,FIND("-",M992)-1)),M992)*229&lt;74700,"Вы уменьшили цену в несколько раз, товар попадет в карантин цен","")))),"")</f>
      </c>
    </row>
    <row r="993">
      <c r="A993" s="2" t="inlineStr">
        <is>
          <t>CuteShop</t>
        </is>
      </c>
      <c r="B993" s="2" t="inlineStr">
        <is>
          <t>Держатели для пустышек</t>
        </is>
      </c>
      <c r="C993" s="2">
        <v>371768137</v>
      </c>
      <c r="D993" s="2" t="inlineStr">
        <is>
          <t>KirushaKit</t>
        </is>
      </c>
      <c r="E993" s="2" t="inlineStr">
        <is>
          <t>2043388275132</t>
        </is>
      </c>
      <c r="F993" s="2">
        <v>0</v>
      </c>
      <c r="G993" s="2">
        <v>0</v>
      </c>
      <c r="H993" s="2" t="inlineStr">
        <is>
          <t/>
        </is>
      </c>
      <c r="I993" s="2" t="inlineStr">
        <is>
          <t>1030</t>
        </is>
      </c>
      <c r="J993" s="4"/>
      <c r="K993" s="2">
        <v>10</v>
      </c>
      <c r="L993" s="6"/>
      <c r="M993" s="2" t="str">
        <f>IF(J993="",ROUND(I993*(1-IF(ISBLANK(L993),K993,L993)/100),2),ROUND(J993*(1-IF(ISBLANK(L993),K993,L993)/100),2))</f>
      </c>
      <c r="N993" s="7" t="str">
        <f>IF(NOT(AND(J993="",L993="")),IF(OR(AND(L993&lt;&gt;"",NOT(ISNUMBER(L993))),IFERROR(MOD(L993,1),1)&gt;0,AND(ISNUMBER(L993),OR(L993&lt;0,L993&gt;95))),"Введите целое число от 0 до 95",IF(OR(AND(J993&lt;&gt;"",NOT(ISNUMBER(J993))),IFERROR(MOD(J993,1),1)&gt;0,AND(ISNUMBER(J993),OR(J993&lt;50,J993&gt;20000000))),"Введите целое число от 50 до 20000000",IF(NOT(ABS(IFERROR(VALUE(LEFT(M993,FIND("-",M993)-1)),M993)*100-(5000+2000000000)/2)&lt;=ABS(5000-2000000000)/2),"Цена со скидкой должна быть от 50 до 20000000",IF(IFERROR(VALUE(LEFT(M993,FIND("-",M993)-1)),M993)*229&lt;92700,"Вы уменьшили цену в несколько раз, товар попадет в карантин цен","")))),"")</f>
      </c>
    </row>
    <row r="994">
      <c r="A994" s="2" t="inlineStr">
        <is>
          <t>CuteShop</t>
        </is>
      </c>
      <c r="B994" s="2" t="inlineStr">
        <is>
          <t>Держатели для пустышек</t>
        </is>
      </c>
      <c r="C994" s="2">
        <v>111024337</v>
      </c>
      <c r="D994" s="2" t="inlineStr">
        <is>
          <t>KamilaEdin</t>
        </is>
      </c>
      <c r="E994" s="2" t="inlineStr">
        <is>
          <t>2037458471623</t>
        </is>
      </c>
      <c r="F994" s="2">
        <v>0</v>
      </c>
      <c r="G994" s="2">
        <v>0</v>
      </c>
      <c r="H994" s="2">
        <v>0</v>
      </c>
      <c r="I994" s="2" t="inlineStr">
        <is>
          <t>1030</t>
        </is>
      </c>
      <c r="J994" s="4"/>
      <c r="K994" s="2">
        <v>10</v>
      </c>
      <c r="L994" s="6"/>
      <c r="M994" s="2" t="str">
        <f>IF(J994="",ROUND(I994*(1-IF(ISBLANK(L994),K994,L994)/100),2),ROUND(J994*(1-IF(ISBLANK(L994),K994,L994)/100),2))</f>
      </c>
      <c r="N994" s="7" t="str">
        <f>IF(NOT(AND(J994="",L994="")),IF(OR(AND(L994&lt;&gt;"",NOT(ISNUMBER(L994))),IFERROR(MOD(L994,1),1)&gt;0,AND(ISNUMBER(L994),OR(L994&lt;0,L994&gt;95))),"Введите целое число от 0 до 95",IF(OR(AND(J994&lt;&gt;"",NOT(ISNUMBER(J994))),IFERROR(MOD(J994,1),1)&gt;0,AND(ISNUMBER(J994),OR(J994&lt;50,J994&gt;20000000))),"Введите целое число от 50 до 20000000",IF(NOT(ABS(IFERROR(VALUE(LEFT(M994,FIND("-",M994)-1)),M994)*100-(5000+2000000000)/2)&lt;=ABS(5000-2000000000)/2),"Цена со скидкой должна быть от 50 до 20000000",IF(IFERROR(VALUE(LEFT(M994,FIND("-",M994)-1)),M994)*229&lt;92700,"Вы уменьшили цену в несколько раз, товар попадет в карантин цен","")))),"")</f>
      </c>
    </row>
    <row r="995">
      <c r="A995" s="2" t="inlineStr">
        <is>
          <t>CuteShop</t>
        </is>
      </c>
      <c r="B995" s="2" t="inlineStr">
        <is>
          <t>Держатели для пустышек</t>
        </is>
      </c>
      <c r="C995" s="2">
        <v>111031398</v>
      </c>
      <c r="D995" s="2" t="inlineStr">
        <is>
          <t>MatveyBG</t>
        </is>
      </c>
      <c r="E995" s="2" t="inlineStr">
        <is>
          <t>2037463445626</t>
        </is>
      </c>
      <c r="F995" s="2">
        <v>0</v>
      </c>
      <c r="G995" s="2">
        <v>1</v>
      </c>
      <c r="H995" s="2">
        <v>0</v>
      </c>
      <c r="I995" s="2" t="inlineStr">
        <is>
          <t>790</t>
        </is>
      </c>
      <c r="J995" s="4"/>
      <c r="K995" s="2">
        <v>10</v>
      </c>
      <c r="L995" s="6"/>
      <c r="M995" s="2" t="str">
        <f>IF(J995="",ROUND(I995*(1-IF(ISBLANK(L995),K995,L995)/100),2),ROUND(J995*(1-IF(ISBLANK(L995),K995,L995)/100),2))</f>
      </c>
      <c r="N995" s="7" t="str">
        <f>IF(NOT(AND(J995="",L995="")),IF(OR(AND(L995&lt;&gt;"",NOT(ISNUMBER(L995))),IFERROR(MOD(L995,1),1)&gt;0,AND(ISNUMBER(L995),OR(L995&lt;0,L995&gt;95))),"Введите целое число от 0 до 95",IF(OR(AND(J995&lt;&gt;"",NOT(ISNUMBER(J995))),IFERROR(MOD(J995,1),1)&gt;0,AND(ISNUMBER(J995),OR(J995&lt;50,J995&gt;20000000))),"Введите целое число от 50 до 20000000",IF(NOT(ABS(IFERROR(VALUE(LEFT(M995,FIND("-",M995)-1)),M995)*100-(5000+2000000000)/2)&lt;=ABS(5000-2000000000)/2),"Цена со скидкой должна быть от 50 до 20000000",IF(IFERROR(VALUE(LEFT(M995,FIND("-",M995)-1)),M995)*229&lt;71100,"Вы уменьшили цену в несколько раз, товар попадет в карантин цен","")))),"")</f>
      </c>
    </row>
    <row r="996">
      <c r="A996" s="2" t="inlineStr">
        <is>
          <t>CuteShop</t>
        </is>
      </c>
      <c r="B996" s="2" t="inlineStr">
        <is>
          <t>Держатели для пустышек</t>
        </is>
      </c>
      <c r="C996" s="2">
        <v>111024638</v>
      </c>
      <c r="D996" s="2" t="inlineStr">
        <is>
          <t>KamillaZay</t>
        </is>
      </c>
      <c r="E996" s="2" t="inlineStr">
        <is>
          <t>2037458714621</t>
        </is>
      </c>
      <c r="F996" s="2">
        <v>0</v>
      </c>
      <c r="G996" s="2">
        <v>0</v>
      </c>
      <c r="H996" s="2" t="inlineStr">
        <is>
          <t/>
        </is>
      </c>
      <c r="I996" s="2" t="inlineStr">
        <is>
          <t>1030</t>
        </is>
      </c>
      <c r="J996" s="4"/>
      <c r="K996" s="2">
        <v>10</v>
      </c>
      <c r="L996" s="6"/>
      <c r="M996" s="2" t="str">
        <f>IF(J996="",ROUND(I996*(1-IF(ISBLANK(L996),K996,L996)/100),2),ROUND(J996*(1-IF(ISBLANK(L996),K996,L996)/100),2))</f>
      </c>
      <c r="N996" s="7" t="str">
        <f>IF(NOT(AND(J996="",L996="")),IF(OR(AND(L996&lt;&gt;"",NOT(ISNUMBER(L996))),IFERROR(MOD(L996,1),1)&gt;0,AND(ISNUMBER(L996),OR(L996&lt;0,L996&gt;95))),"Введите целое число от 0 до 95",IF(OR(AND(J996&lt;&gt;"",NOT(ISNUMBER(J996))),IFERROR(MOD(J996,1),1)&gt;0,AND(ISNUMBER(J996),OR(J996&lt;50,J996&gt;20000000))),"Введите целое число от 50 до 20000000",IF(NOT(ABS(IFERROR(VALUE(LEFT(M996,FIND("-",M996)-1)),M996)*100-(5000+2000000000)/2)&lt;=ABS(5000-2000000000)/2),"Цена со скидкой должна быть от 50 до 20000000",IF(IFERROR(VALUE(LEFT(M996,FIND("-",M996)-1)),M996)*229&lt;92700,"Вы уменьшили цену в несколько раз, товар попадет в карантин цен","")))),"")</f>
      </c>
    </row>
    <row r="997">
      <c r="A997" s="2" t="inlineStr">
        <is>
          <t>CuteShop</t>
        </is>
      </c>
      <c r="B997" s="2" t="inlineStr">
        <is>
          <t>Держатели для пустышек</t>
        </is>
      </c>
      <c r="C997" s="2">
        <v>111036553</v>
      </c>
      <c r="D997" s="2" t="inlineStr">
        <is>
          <t>KarinaLisSer</t>
        </is>
      </c>
      <c r="E997" s="2" t="inlineStr">
        <is>
          <t>2037474976621</t>
        </is>
      </c>
      <c r="F997" s="2">
        <v>0</v>
      </c>
      <c r="G997" s="2">
        <v>1</v>
      </c>
      <c r="H997" s="2" t="inlineStr">
        <is>
          <t/>
        </is>
      </c>
      <c r="I997" s="2" t="inlineStr">
        <is>
          <t>1030</t>
        </is>
      </c>
      <c r="J997" s="4"/>
      <c r="K997" s="2">
        <v>10</v>
      </c>
      <c r="L997" s="6"/>
      <c r="M997" s="2" t="str">
        <f>IF(J997="",ROUND(I997*(1-IF(ISBLANK(L997),K997,L997)/100),2),ROUND(J997*(1-IF(ISBLANK(L997),K997,L997)/100),2))</f>
      </c>
      <c r="N997" s="7" t="str">
        <f>IF(NOT(AND(J997="",L997="")),IF(OR(AND(L997&lt;&gt;"",NOT(ISNUMBER(L997))),IFERROR(MOD(L997,1),1)&gt;0,AND(ISNUMBER(L997),OR(L997&lt;0,L997&gt;95))),"Введите целое число от 0 до 95",IF(OR(AND(J997&lt;&gt;"",NOT(ISNUMBER(J997))),IFERROR(MOD(J997,1),1)&gt;0,AND(ISNUMBER(J997),OR(J997&lt;50,J997&gt;20000000))),"Введите целое число от 50 до 20000000",IF(NOT(ABS(IFERROR(VALUE(LEFT(M997,FIND("-",M997)-1)),M997)*100-(5000+2000000000)/2)&lt;=ABS(5000-2000000000)/2),"Цена со скидкой должна быть от 50 до 20000000",IF(IFERROR(VALUE(LEFT(M997,FIND("-",M997)-1)),M997)*229&lt;92700,"Вы уменьшили цену в несколько раз, товар попадет в карантин цен","")))),"")</f>
      </c>
    </row>
    <row r="998">
      <c r="A998" s="2" t="inlineStr">
        <is>
          <t>CuteShop</t>
        </is>
      </c>
      <c r="B998" s="2" t="inlineStr">
        <is>
          <t>Держатели для пустышек</t>
        </is>
      </c>
      <c r="C998" s="2">
        <v>118070113</v>
      </c>
      <c r="D998" s="2" t="inlineStr">
        <is>
          <t>MatveyMishBlue</t>
        </is>
      </c>
      <c r="E998" s="2" t="inlineStr">
        <is>
          <t>2042630914621</t>
        </is>
      </c>
      <c r="F998" s="2">
        <v>0</v>
      </c>
      <c r="G998" s="2">
        <v>0</v>
      </c>
      <c r="H998" s="2">
        <v>1</v>
      </c>
      <c r="I998" s="2" t="inlineStr">
        <is>
          <t>1030</t>
        </is>
      </c>
      <c r="J998" s="4"/>
      <c r="K998" s="2">
        <v>10</v>
      </c>
      <c r="L998" s="6"/>
      <c r="M998" s="2" t="str">
        <f>IF(J998="",ROUND(I998*(1-IF(ISBLANK(L998),K998,L998)/100),2),ROUND(J998*(1-IF(ISBLANK(L998),K998,L998)/100),2))</f>
      </c>
      <c r="N998" s="7" t="str">
        <f>IF(NOT(AND(J998="",L998="")),IF(OR(AND(L998&lt;&gt;"",NOT(ISNUMBER(L998))),IFERROR(MOD(L998,1),1)&gt;0,AND(ISNUMBER(L998),OR(L998&lt;0,L998&gt;95))),"Введите целое число от 0 до 95",IF(OR(AND(J998&lt;&gt;"",NOT(ISNUMBER(J998))),IFERROR(MOD(J998,1),1)&gt;0,AND(ISNUMBER(J998),OR(J998&lt;50,J998&gt;20000000))),"Введите целое число от 50 до 20000000",IF(NOT(ABS(IFERROR(VALUE(LEFT(M998,FIND("-",M998)-1)),M998)*100-(5000+2000000000)/2)&lt;=ABS(5000-2000000000)/2),"Цена со скидкой должна быть от 50 до 20000000",IF(IFERROR(VALUE(LEFT(M998,FIND("-",M998)-1)),M998)*229&lt;92700,"Вы уменьшили цену в несколько раз, товар попадет в карантин цен","")))),"")</f>
      </c>
    </row>
    <row r="999">
      <c r="A999" s="2" t="inlineStr">
        <is>
          <t>CuteShop</t>
        </is>
      </c>
      <c r="B999" s="2" t="inlineStr">
        <is>
          <t>Держатели для пустышек</t>
        </is>
      </c>
      <c r="C999" s="2">
        <v>372216760</v>
      </c>
      <c r="D999" s="2" t="inlineStr">
        <is>
          <t>MiroshaMish</t>
        </is>
      </c>
      <c r="E999" s="2" t="inlineStr">
        <is>
          <t>2043391497194</t>
        </is>
      </c>
      <c r="F999" s="2">
        <v>0</v>
      </c>
      <c r="G999" s="2">
        <v>1</v>
      </c>
      <c r="H999" s="2" t="inlineStr">
        <is>
          <t/>
        </is>
      </c>
      <c r="I999" s="2" t="inlineStr">
        <is>
          <t>1030</t>
        </is>
      </c>
      <c r="J999" s="4"/>
      <c r="K999" s="2">
        <v>10</v>
      </c>
      <c r="L999" s="6"/>
      <c r="M999" s="2" t="str">
        <f>IF(J999="",ROUND(I999*(1-IF(ISBLANK(L999),K999,L999)/100),2),ROUND(J999*(1-IF(ISBLANK(L999),K999,L999)/100),2))</f>
      </c>
      <c r="N999" s="7" t="str">
        <f>IF(NOT(AND(J999="",L999="")),IF(OR(AND(L999&lt;&gt;"",NOT(ISNUMBER(L999))),IFERROR(MOD(L999,1),1)&gt;0,AND(ISNUMBER(L999),OR(L999&lt;0,L999&gt;95))),"Введите целое число от 0 до 95",IF(OR(AND(J999&lt;&gt;"",NOT(ISNUMBER(J999))),IFERROR(MOD(J999,1),1)&gt;0,AND(ISNUMBER(J999),OR(J999&lt;50,J999&gt;20000000))),"Введите целое число от 50 до 20000000",IF(NOT(ABS(IFERROR(VALUE(LEFT(M999,FIND("-",M999)-1)),M999)*100-(5000+2000000000)/2)&lt;=ABS(5000-2000000000)/2),"Цена со скидкой должна быть от 50 до 20000000",IF(IFERROR(VALUE(LEFT(M999,FIND("-",M999)-1)),M999)*229&lt;92700,"Вы уменьшили цену в несколько раз, товар попадет в карантин цен","")))),"")</f>
      </c>
    </row>
    <row r="1000">
      <c r="A1000" s="2" t="inlineStr">
        <is>
          <t>CuteShop</t>
        </is>
      </c>
      <c r="B1000" s="2" t="inlineStr">
        <is>
          <t>Держатели для пустышек</t>
        </is>
      </c>
      <c r="C1000" s="2">
        <v>105656685</v>
      </c>
      <c r="D1000" s="2" t="inlineStr">
        <is>
          <t>StepanMish</t>
        </is>
      </c>
      <c r="E1000" s="2" t="inlineStr">
        <is>
          <t>2036887643823</t>
        </is>
      </c>
      <c r="F1000" s="2">
        <v>0</v>
      </c>
      <c r="G1000" s="2">
        <v>1</v>
      </c>
      <c r="H1000" s="2">
        <v>1</v>
      </c>
      <c r="I1000" s="2" t="inlineStr">
        <is>
          <t>1030</t>
        </is>
      </c>
      <c r="J1000" s="4"/>
      <c r="K1000" s="2">
        <v>10</v>
      </c>
      <c r="L1000" s="6"/>
      <c r="M1000" s="2" t="str">
        <f>IF(J1000="",ROUND(I1000*(1-IF(ISBLANK(L1000),K1000,L1000)/100),2),ROUND(J1000*(1-IF(ISBLANK(L1000),K1000,L1000)/100),2))</f>
      </c>
      <c r="N1000" s="7" t="str">
        <f>IF(NOT(AND(J1000="",L1000="")),IF(OR(AND(L1000&lt;&gt;"",NOT(ISNUMBER(L1000))),IFERROR(MOD(L1000,1),1)&gt;0,AND(ISNUMBER(L1000),OR(L1000&lt;0,L1000&gt;95))),"Введите целое число от 0 до 95",IF(OR(AND(J1000&lt;&gt;"",NOT(ISNUMBER(J1000))),IFERROR(MOD(J1000,1),1)&gt;0,AND(ISNUMBER(J1000),OR(J1000&lt;50,J1000&gt;20000000))),"Введите целое число от 50 до 20000000",IF(NOT(ABS(IFERROR(VALUE(LEFT(M1000,FIND("-",M1000)-1)),M1000)*100-(5000+2000000000)/2)&lt;=ABS(5000-2000000000)/2),"Цена со скидкой должна быть от 50 до 20000000",IF(IFERROR(VALUE(LEFT(M1000,FIND("-",M1000)-1)),M1000)*229&lt;92700,"Вы уменьшили цену в несколько раз, товар попадет в карантин цен","")))),"")</f>
      </c>
    </row>
    <row r="1001">
      <c r="A1001" s="2" t="inlineStr">
        <is>
          <t>CuteShop</t>
        </is>
      </c>
      <c r="B1001" s="2" t="inlineStr">
        <is>
          <t>Держатели для пустышек</t>
        </is>
      </c>
      <c r="C1001" s="2">
        <v>99297673</v>
      </c>
      <c r="D1001" s="2" t="inlineStr">
        <is>
          <t>AnyutaMishka</t>
        </is>
      </c>
      <c r="E1001" s="2" t="inlineStr">
        <is>
          <t>2036797073505</t>
        </is>
      </c>
      <c r="F1001" s="2">
        <v>0</v>
      </c>
      <c r="G1001" s="2">
        <v>1</v>
      </c>
      <c r="H1001" s="2" t="inlineStr">
        <is>
          <t/>
        </is>
      </c>
      <c r="I1001" s="2" t="inlineStr">
        <is>
          <t>1030</t>
        </is>
      </c>
      <c r="J1001" s="4"/>
      <c r="K1001" s="2">
        <v>10</v>
      </c>
      <c r="L1001" s="6"/>
      <c r="M1001" s="2" t="str">
        <f>IF(J1001="",ROUND(I1001*(1-IF(ISBLANK(L1001),K1001,L1001)/100),2),ROUND(J1001*(1-IF(ISBLANK(L1001),K1001,L1001)/100),2))</f>
      </c>
      <c r="N1001" s="7" t="str">
        <f>IF(NOT(AND(J1001="",L1001="")),IF(OR(AND(L1001&lt;&gt;"",NOT(ISNUMBER(L1001))),IFERROR(MOD(L1001,1),1)&gt;0,AND(ISNUMBER(L1001),OR(L1001&lt;0,L1001&gt;95))),"Введите целое число от 0 до 95",IF(OR(AND(J1001&lt;&gt;"",NOT(ISNUMBER(J1001))),IFERROR(MOD(J1001,1),1)&gt;0,AND(ISNUMBER(J1001),OR(J1001&lt;50,J1001&gt;20000000))),"Введите целое число от 50 до 20000000",IF(NOT(ABS(IFERROR(VALUE(LEFT(M1001,FIND("-",M1001)-1)),M1001)*100-(5000+2000000000)/2)&lt;=ABS(5000-2000000000)/2),"Цена со скидкой должна быть от 50 до 20000000",IF(IFERROR(VALUE(LEFT(M1001,FIND("-",M1001)-1)),M1001)*229&lt;92700,"Вы уменьшили цену в несколько раз, товар попадет в карантин цен","")))),"")</f>
      </c>
    </row>
    <row r="1002">
      <c r="A1002" s="2" t="inlineStr">
        <is>
          <t>CuteShop</t>
        </is>
      </c>
      <c r="B1002" s="2" t="inlineStr">
        <is>
          <t>Держатели для пустышек</t>
        </is>
      </c>
      <c r="C1002" s="2">
        <v>287891964</v>
      </c>
      <c r="D1002" s="2" t="inlineStr">
        <is>
          <t>MatveyBelGol</t>
        </is>
      </c>
      <c r="E1002" s="2" t="inlineStr">
        <is>
          <t>2041939908072</t>
        </is>
      </c>
      <c r="F1002" s="2">
        <v>0</v>
      </c>
      <c r="G1002" s="2">
        <v>1</v>
      </c>
      <c r="H1002" s="2" t="inlineStr">
        <is>
          <t/>
        </is>
      </c>
      <c r="I1002" s="2" t="inlineStr">
        <is>
          <t>1030</t>
        </is>
      </c>
      <c r="J1002" s="4"/>
      <c r="K1002" s="2">
        <v>10</v>
      </c>
      <c r="L1002" s="6"/>
      <c r="M1002" s="2" t="str">
        <f>IF(J1002="",ROUND(I1002*(1-IF(ISBLANK(L1002),K1002,L1002)/100),2),ROUND(J1002*(1-IF(ISBLANK(L1002),K1002,L1002)/100),2))</f>
      </c>
      <c r="N1002" s="7" t="str">
        <f>IF(NOT(AND(J1002="",L1002="")),IF(OR(AND(L1002&lt;&gt;"",NOT(ISNUMBER(L1002))),IFERROR(MOD(L1002,1),1)&gt;0,AND(ISNUMBER(L1002),OR(L1002&lt;0,L1002&gt;95))),"Введите целое число от 0 до 95",IF(OR(AND(J1002&lt;&gt;"",NOT(ISNUMBER(J1002))),IFERROR(MOD(J1002,1),1)&gt;0,AND(ISNUMBER(J1002),OR(J1002&lt;50,J1002&gt;20000000))),"Введите целое число от 50 до 20000000",IF(NOT(ABS(IFERROR(VALUE(LEFT(M1002,FIND("-",M1002)-1)),M1002)*100-(5000+2000000000)/2)&lt;=ABS(5000-2000000000)/2),"Цена со скидкой должна быть от 50 до 20000000",IF(IFERROR(VALUE(LEFT(M1002,FIND("-",M1002)-1)),M1002)*229&lt;92700,"Вы уменьшили цену в несколько раз, товар попадет в карантин цен","")))),"")</f>
      </c>
    </row>
    <row r="1003">
      <c r="A1003" s="2" t="inlineStr">
        <is>
          <t>CuteShop</t>
        </is>
      </c>
      <c r="B1003" s="2" t="inlineStr">
        <is>
          <t>Держатели для пустышек</t>
        </is>
      </c>
      <c r="C1003" s="2">
        <v>99678714</v>
      </c>
      <c r="D1003" s="2" t="inlineStr">
        <is>
          <t>KirillMish</t>
        </is>
      </c>
      <c r="E1003" s="2" t="inlineStr">
        <is>
          <t>2036802739624</t>
        </is>
      </c>
      <c r="F1003" s="2">
        <v>0</v>
      </c>
      <c r="G1003" s="2">
        <v>1</v>
      </c>
      <c r="H1003" s="2">
        <v>1</v>
      </c>
      <c r="I1003" s="2" t="inlineStr">
        <is>
          <t>1030</t>
        </is>
      </c>
      <c r="J1003" s="4"/>
      <c r="K1003" s="2">
        <v>10</v>
      </c>
      <c r="L1003" s="6"/>
      <c r="M1003" s="2" t="str">
        <f>IF(J1003="",ROUND(I1003*(1-IF(ISBLANK(L1003),K1003,L1003)/100),2),ROUND(J1003*(1-IF(ISBLANK(L1003),K1003,L1003)/100),2))</f>
      </c>
      <c r="N1003" s="7" t="str">
        <f>IF(NOT(AND(J1003="",L1003="")),IF(OR(AND(L1003&lt;&gt;"",NOT(ISNUMBER(L1003))),IFERROR(MOD(L1003,1),1)&gt;0,AND(ISNUMBER(L1003),OR(L1003&lt;0,L1003&gt;95))),"Введите целое число от 0 до 95",IF(OR(AND(J1003&lt;&gt;"",NOT(ISNUMBER(J1003))),IFERROR(MOD(J1003,1),1)&gt;0,AND(ISNUMBER(J1003),OR(J1003&lt;50,J1003&gt;20000000))),"Введите целое число от 50 до 20000000",IF(NOT(ABS(IFERROR(VALUE(LEFT(M1003,FIND("-",M1003)-1)),M1003)*100-(5000+2000000000)/2)&lt;=ABS(5000-2000000000)/2),"Цена со скидкой должна быть от 50 до 20000000",IF(IFERROR(VALUE(LEFT(M1003,FIND("-",M1003)-1)),M1003)*229&lt;92700,"Вы уменьшили цену в несколько раз, товар попадет в карантин цен","")))),"")</f>
      </c>
    </row>
    <row r="1004">
      <c r="A1004" s="2" t="inlineStr">
        <is>
          <t>CuteShop</t>
        </is>
      </c>
      <c r="B1004" s="2" t="inlineStr">
        <is>
          <t>Держатели для пустышек</t>
        </is>
      </c>
      <c r="C1004" s="2">
        <v>99297671</v>
      </c>
      <c r="D1004" s="2" t="inlineStr">
        <is>
          <t>AnyutaZaychik</t>
        </is>
      </c>
      <c r="E1004" s="2" t="inlineStr">
        <is>
          <t>2036797074014</t>
        </is>
      </c>
      <c r="F1004" s="2">
        <v>0</v>
      </c>
      <c r="G1004" s="2">
        <v>0</v>
      </c>
      <c r="H1004" s="2">
        <v>0</v>
      </c>
      <c r="I1004" s="2" t="inlineStr">
        <is>
          <t>1030</t>
        </is>
      </c>
      <c r="J1004" s="4"/>
      <c r="K1004" s="2">
        <v>10</v>
      </c>
      <c r="L1004" s="6"/>
      <c r="M1004" s="2" t="str">
        <f>IF(J1004="",ROUND(I1004*(1-IF(ISBLANK(L1004),K1004,L1004)/100),2),ROUND(J1004*(1-IF(ISBLANK(L1004),K1004,L1004)/100),2))</f>
      </c>
      <c r="N1004" s="7" t="str">
        <f>IF(NOT(AND(J1004="",L1004="")),IF(OR(AND(L1004&lt;&gt;"",NOT(ISNUMBER(L1004))),IFERROR(MOD(L1004,1),1)&gt;0,AND(ISNUMBER(L1004),OR(L1004&lt;0,L1004&gt;95))),"Введите целое число от 0 до 95",IF(OR(AND(J1004&lt;&gt;"",NOT(ISNUMBER(J1004))),IFERROR(MOD(J1004,1),1)&gt;0,AND(ISNUMBER(J1004),OR(J1004&lt;50,J1004&gt;20000000))),"Введите целое число от 50 до 20000000",IF(NOT(ABS(IFERROR(VALUE(LEFT(M1004,FIND("-",M1004)-1)),M1004)*100-(5000+2000000000)/2)&lt;=ABS(5000-2000000000)/2),"Цена со скидкой должна быть от 50 до 20000000",IF(IFERROR(VALUE(LEFT(M1004,FIND("-",M1004)-1)),M1004)*229&lt;92700,"Вы уменьшили цену в несколько раз, товар попадет в карантин цен","")))),"")</f>
      </c>
    </row>
    <row r="1005">
      <c r="A1005" s="2" t="inlineStr">
        <is>
          <t>CuteShop</t>
        </is>
      </c>
      <c r="B1005" s="2" t="inlineStr">
        <is>
          <t>Держатели для пустышек</t>
        </is>
      </c>
      <c r="C1005" s="2">
        <v>287891965</v>
      </c>
      <c r="D1005" s="2" t="inlineStr">
        <is>
          <t>MatveyKot</t>
        </is>
      </c>
      <c r="E1005" s="2" t="inlineStr">
        <is>
          <t>2041939910181</t>
        </is>
      </c>
      <c r="F1005" s="2">
        <v>0</v>
      </c>
      <c r="G1005" s="2">
        <v>0</v>
      </c>
      <c r="H1005" s="2" t="inlineStr">
        <is>
          <t/>
        </is>
      </c>
      <c r="I1005" s="2" t="inlineStr">
        <is>
          <t>1030</t>
        </is>
      </c>
      <c r="J1005" s="4"/>
      <c r="K1005" s="2">
        <v>10</v>
      </c>
      <c r="L1005" s="6"/>
      <c r="M1005" s="2" t="str">
        <f>IF(J1005="",ROUND(I1005*(1-IF(ISBLANK(L1005),K1005,L1005)/100),2),ROUND(J1005*(1-IF(ISBLANK(L1005),K1005,L1005)/100),2))</f>
      </c>
      <c r="N1005" s="7" t="str">
        <f>IF(NOT(AND(J1005="",L1005="")),IF(OR(AND(L1005&lt;&gt;"",NOT(ISNUMBER(L1005))),IFERROR(MOD(L1005,1),1)&gt;0,AND(ISNUMBER(L1005),OR(L1005&lt;0,L1005&gt;95))),"Введите целое число от 0 до 95",IF(OR(AND(J1005&lt;&gt;"",NOT(ISNUMBER(J1005))),IFERROR(MOD(J1005,1),1)&gt;0,AND(ISNUMBER(J1005),OR(J1005&lt;50,J1005&gt;20000000))),"Введите целое число от 50 до 20000000",IF(NOT(ABS(IFERROR(VALUE(LEFT(M1005,FIND("-",M1005)-1)),M1005)*100-(5000+2000000000)/2)&lt;=ABS(5000-2000000000)/2),"Цена со скидкой должна быть от 50 до 20000000",IF(IFERROR(VALUE(LEFT(M1005,FIND("-",M1005)-1)),M1005)*229&lt;92700,"Вы уменьшили цену в несколько раз, товар попадет в карантин цен","")))),"")</f>
      </c>
    </row>
    <row r="1006">
      <c r="A1006" s="2" t="inlineStr">
        <is>
          <t>CuteShop</t>
        </is>
      </c>
      <c r="B1006" s="2" t="inlineStr">
        <is>
          <t>Держатели для пустышек</t>
        </is>
      </c>
      <c r="C1006" s="2">
        <v>111025632</v>
      </c>
      <c r="D1006" s="2" t="inlineStr">
        <is>
          <t>PlatonBG</t>
        </is>
      </c>
      <c r="E1006" s="2" t="inlineStr">
        <is>
          <t>2037459448624</t>
        </is>
      </c>
      <c r="F1006" s="2">
        <v>0</v>
      </c>
      <c r="G1006" s="2">
        <v>1</v>
      </c>
      <c r="H1006" s="2">
        <v>0</v>
      </c>
      <c r="I1006" s="2" t="inlineStr">
        <is>
          <t>790</t>
        </is>
      </c>
      <c r="J1006" s="4"/>
      <c r="K1006" s="2">
        <v>10</v>
      </c>
      <c r="L1006" s="6"/>
      <c r="M1006" s="2" t="str">
        <f>IF(J1006="",ROUND(I1006*(1-IF(ISBLANK(L1006),K1006,L1006)/100),2),ROUND(J1006*(1-IF(ISBLANK(L1006),K1006,L1006)/100),2))</f>
      </c>
      <c r="N1006" s="7" t="str">
        <f>IF(NOT(AND(J1006="",L1006="")),IF(OR(AND(L1006&lt;&gt;"",NOT(ISNUMBER(L1006))),IFERROR(MOD(L1006,1),1)&gt;0,AND(ISNUMBER(L1006),OR(L1006&lt;0,L1006&gt;95))),"Введите целое число от 0 до 95",IF(OR(AND(J1006&lt;&gt;"",NOT(ISNUMBER(J1006))),IFERROR(MOD(J1006,1),1)&gt;0,AND(ISNUMBER(J1006),OR(J1006&lt;50,J1006&gt;20000000))),"Введите целое число от 50 до 20000000",IF(NOT(ABS(IFERROR(VALUE(LEFT(M1006,FIND("-",M1006)-1)),M1006)*100-(5000+2000000000)/2)&lt;=ABS(5000-2000000000)/2),"Цена со скидкой должна быть от 50 до 20000000",IF(IFERROR(VALUE(LEFT(M1006,FIND("-",M1006)-1)),M1006)*229&lt;71100,"Вы уменьшили цену в несколько раз, товар попадет в карантин цен","")))),"")</f>
      </c>
    </row>
    <row r="1007">
      <c r="A1007" s="2" t="inlineStr">
        <is>
          <t>CuteShop</t>
        </is>
      </c>
      <c r="B1007" s="2" t="inlineStr">
        <is>
          <t>Держатели для пустышек</t>
        </is>
      </c>
      <c r="C1007" s="2">
        <v>287891966</v>
      </c>
      <c r="D1007" s="2" t="inlineStr">
        <is>
          <t>MatveyBG2</t>
        </is>
      </c>
      <c r="E1007" s="2" t="inlineStr">
        <is>
          <t>2041939919139</t>
        </is>
      </c>
      <c r="F1007" s="2">
        <v>0</v>
      </c>
      <c r="G1007" s="2">
        <v>1</v>
      </c>
      <c r="H1007" s="2" t="inlineStr">
        <is>
          <t/>
        </is>
      </c>
      <c r="I1007" s="2" t="inlineStr">
        <is>
          <t>790</t>
        </is>
      </c>
      <c r="J1007" s="4"/>
      <c r="K1007" s="2">
        <v>10</v>
      </c>
      <c r="L1007" s="6"/>
      <c r="M1007" s="2" t="str">
        <f>IF(J1007="",ROUND(I1007*(1-IF(ISBLANK(L1007),K1007,L1007)/100),2),ROUND(J1007*(1-IF(ISBLANK(L1007),K1007,L1007)/100),2))</f>
      </c>
      <c r="N1007" s="7" t="str">
        <f>IF(NOT(AND(J1007="",L1007="")),IF(OR(AND(L1007&lt;&gt;"",NOT(ISNUMBER(L1007))),IFERROR(MOD(L1007,1),1)&gt;0,AND(ISNUMBER(L1007),OR(L1007&lt;0,L1007&gt;95))),"Введите целое число от 0 до 95",IF(OR(AND(J1007&lt;&gt;"",NOT(ISNUMBER(J1007))),IFERROR(MOD(J1007,1),1)&gt;0,AND(ISNUMBER(J1007),OR(J1007&lt;50,J1007&gt;20000000))),"Введите целое число от 50 до 20000000",IF(NOT(ABS(IFERROR(VALUE(LEFT(M1007,FIND("-",M1007)-1)),M1007)*100-(5000+2000000000)/2)&lt;=ABS(5000-2000000000)/2),"Цена со скидкой должна быть от 50 до 20000000",IF(IFERROR(VALUE(LEFT(M1007,FIND("-",M1007)-1)),M1007)*229&lt;71100,"Вы уменьшили цену в несколько раз, товар попадет в карантин цен","")))),"")</f>
      </c>
    </row>
    <row r="1008">
      <c r="A1008" s="2" t="inlineStr">
        <is>
          <t>CuteShop</t>
        </is>
      </c>
      <c r="B1008" s="2" t="inlineStr">
        <is>
          <t>Держатели для пустышек</t>
        </is>
      </c>
      <c r="C1008" s="2">
        <v>287891967</v>
      </c>
      <c r="D1008" s="2" t="inlineStr">
        <is>
          <t>MatveyBelSer</t>
        </is>
      </c>
      <c r="E1008" s="2" t="inlineStr">
        <is>
          <t>2041939919696</t>
        </is>
      </c>
      <c r="F1008" s="2">
        <v>0</v>
      </c>
      <c r="G1008" s="2">
        <v>1</v>
      </c>
      <c r="H1008" s="2" t="inlineStr">
        <is>
          <t/>
        </is>
      </c>
      <c r="I1008" s="2" t="inlineStr">
        <is>
          <t>1030</t>
        </is>
      </c>
      <c r="J1008" s="4"/>
      <c r="K1008" s="2">
        <v>10</v>
      </c>
      <c r="L1008" s="6"/>
      <c r="M1008" s="2" t="str">
        <f>IF(J1008="",ROUND(I1008*(1-IF(ISBLANK(L1008),K1008,L1008)/100),2),ROUND(J1008*(1-IF(ISBLANK(L1008),K1008,L1008)/100),2))</f>
      </c>
      <c r="N1008" s="7" t="str">
        <f>IF(NOT(AND(J1008="",L1008="")),IF(OR(AND(L1008&lt;&gt;"",NOT(ISNUMBER(L1008))),IFERROR(MOD(L1008,1),1)&gt;0,AND(ISNUMBER(L1008),OR(L1008&lt;0,L1008&gt;95))),"Введите целое число от 0 до 95",IF(OR(AND(J1008&lt;&gt;"",NOT(ISNUMBER(J1008))),IFERROR(MOD(J1008,1),1)&gt;0,AND(ISNUMBER(J1008),OR(J1008&lt;50,J1008&gt;20000000))),"Введите целое число от 50 до 20000000",IF(NOT(ABS(IFERROR(VALUE(LEFT(M1008,FIND("-",M1008)-1)),M1008)*100-(5000+2000000000)/2)&lt;=ABS(5000-2000000000)/2),"Цена со скидкой должна быть от 50 до 20000000",IF(IFERROR(VALUE(LEFT(M1008,FIND("-",M1008)-1)),M1008)*229&lt;92700,"Вы уменьшили цену в несколько раз, товар попадет в карантин цен","")))),"")</f>
      </c>
    </row>
    <row r="1009">
      <c r="A1009" s="2" t="inlineStr">
        <is>
          <t>CuteShop</t>
        </is>
      </c>
      <c r="B1009" s="2" t="inlineStr">
        <is>
          <t>Держатели для пустышек</t>
        </is>
      </c>
      <c r="C1009" s="2">
        <v>88839064</v>
      </c>
      <c r="D1009" s="2" t="inlineStr">
        <is>
          <t>SafiyaZay</t>
        </is>
      </c>
      <c r="E1009" s="2" t="inlineStr">
        <is>
          <t>2035432206629</t>
        </is>
      </c>
      <c r="F1009" s="2">
        <v>0</v>
      </c>
      <c r="G1009" s="2">
        <v>0</v>
      </c>
      <c r="H1009" s="2">
        <v>0</v>
      </c>
      <c r="I1009" s="2" t="inlineStr">
        <is>
          <t>1030</t>
        </is>
      </c>
      <c r="J1009" s="4"/>
      <c r="K1009" s="2">
        <v>10</v>
      </c>
      <c r="L1009" s="6"/>
      <c r="M1009" s="2" t="str">
        <f>IF(J1009="",ROUND(I1009*(1-IF(ISBLANK(L1009),K1009,L1009)/100),2),ROUND(J1009*(1-IF(ISBLANK(L1009),K1009,L1009)/100),2))</f>
      </c>
      <c r="N1009" s="7" t="str">
        <f>IF(NOT(AND(J1009="",L1009="")),IF(OR(AND(L1009&lt;&gt;"",NOT(ISNUMBER(L1009))),IFERROR(MOD(L1009,1),1)&gt;0,AND(ISNUMBER(L1009),OR(L1009&lt;0,L1009&gt;95))),"Введите целое число от 0 до 95",IF(OR(AND(J1009&lt;&gt;"",NOT(ISNUMBER(J1009))),IFERROR(MOD(J1009,1),1)&gt;0,AND(ISNUMBER(J1009),OR(J1009&lt;50,J1009&gt;20000000))),"Введите целое число от 50 до 20000000",IF(NOT(ABS(IFERROR(VALUE(LEFT(M1009,FIND("-",M1009)-1)),M1009)*100-(5000+2000000000)/2)&lt;=ABS(5000-2000000000)/2),"Цена со скидкой должна быть от 50 до 20000000",IF(IFERROR(VALUE(LEFT(M1009,FIND("-",M1009)-1)),M1009)*229&lt;92700,"Вы уменьшили цену в несколько раз, товар попадет в карантин цен","")))),"")</f>
      </c>
    </row>
    <row r="1010">
      <c r="A1010" s="2" t="inlineStr">
        <is>
          <t>CuteShop</t>
        </is>
      </c>
      <c r="B1010" s="2" t="inlineStr">
        <is>
          <t>Держатели для пустышек</t>
        </is>
      </c>
      <c r="C1010" s="2">
        <v>112600158</v>
      </c>
      <c r="D1010" s="2" t="inlineStr">
        <is>
          <t>EmiliyaBGMila</t>
        </is>
      </c>
      <c r="E1010" s="2" t="inlineStr">
        <is>
          <t>2038874944623</t>
        </is>
      </c>
      <c r="F1010" s="2">
        <v>0</v>
      </c>
      <c r="G1010" s="2">
        <v>1</v>
      </c>
      <c r="H1010" s="2">
        <v>1</v>
      </c>
      <c r="I1010" s="2" t="inlineStr">
        <is>
          <t>790</t>
        </is>
      </c>
      <c r="J1010" s="4"/>
      <c r="K1010" s="2">
        <v>10</v>
      </c>
      <c r="L1010" s="6"/>
      <c r="M1010" s="2" t="str">
        <f>IF(J1010="",ROUND(I1010*(1-IF(ISBLANK(L1010),K1010,L1010)/100),2),ROUND(J1010*(1-IF(ISBLANK(L1010),K1010,L1010)/100),2))</f>
      </c>
      <c r="N1010" s="7" t="str">
        <f>IF(NOT(AND(J1010="",L1010="")),IF(OR(AND(L1010&lt;&gt;"",NOT(ISNUMBER(L1010))),IFERROR(MOD(L1010,1),1)&gt;0,AND(ISNUMBER(L1010),OR(L1010&lt;0,L1010&gt;95))),"Введите целое число от 0 до 95",IF(OR(AND(J1010&lt;&gt;"",NOT(ISNUMBER(J1010))),IFERROR(MOD(J1010,1),1)&gt;0,AND(ISNUMBER(J1010),OR(J1010&lt;50,J1010&gt;20000000))),"Введите целое число от 50 до 20000000",IF(NOT(ABS(IFERROR(VALUE(LEFT(M1010,FIND("-",M1010)-1)),M1010)*100-(5000+2000000000)/2)&lt;=ABS(5000-2000000000)/2),"Цена со скидкой должна быть от 50 до 20000000",IF(IFERROR(VALUE(LEFT(M1010,FIND("-",M1010)-1)),M1010)*229&lt;71100,"Вы уменьшили цену в несколько раз, товар попадет в карантин цен","")))),"")</f>
      </c>
    </row>
    <row r="1011">
      <c r="A1011" s="2" t="inlineStr">
        <is>
          <t>CuteShop</t>
        </is>
      </c>
      <c r="B1011" s="2" t="inlineStr">
        <is>
          <t>Держатели для пустышек</t>
        </is>
      </c>
      <c r="C1011" s="2">
        <v>320989038</v>
      </c>
      <c r="D1011" s="2" t="inlineStr">
        <is>
          <t>KirillOlen</t>
        </is>
      </c>
      <c r="E1011" s="2" t="inlineStr">
        <is>
          <t>2042655263780</t>
        </is>
      </c>
      <c r="F1011" s="2">
        <v>0</v>
      </c>
      <c r="G1011" s="2">
        <v>0</v>
      </c>
      <c r="H1011" s="2" t="inlineStr">
        <is>
          <t/>
        </is>
      </c>
      <c r="I1011" s="2" t="inlineStr">
        <is>
          <t>1030</t>
        </is>
      </c>
      <c r="J1011" s="4"/>
      <c r="K1011" s="2">
        <v>10</v>
      </c>
      <c r="L1011" s="6"/>
      <c r="M1011" s="2" t="str">
        <f>IF(J1011="",ROUND(I1011*(1-IF(ISBLANK(L1011),K1011,L1011)/100),2),ROUND(J1011*(1-IF(ISBLANK(L1011),K1011,L1011)/100),2))</f>
      </c>
      <c r="N1011" s="7" t="str">
        <f>IF(NOT(AND(J1011="",L1011="")),IF(OR(AND(L1011&lt;&gt;"",NOT(ISNUMBER(L1011))),IFERROR(MOD(L1011,1),1)&gt;0,AND(ISNUMBER(L1011),OR(L1011&lt;0,L1011&gt;95))),"Введите целое число от 0 до 95",IF(OR(AND(J1011&lt;&gt;"",NOT(ISNUMBER(J1011))),IFERROR(MOD(J1011,1),1)&gt;0,AND(ISNUMBER(J1011),OR(J1011&lt;50,J1011&gt;20000000))),"Введите целое число от 50 до 20000000",IF(NOT(ABS(IFERROR(VALUE(LEFT(M1011,FIND("-",M1011)-1)),M1011)*100-(5000+2000000000)/2)&lt;=ABS(5000-2000000000)/2),"Цена со скидкой должна быть от 50 до 20000000",IF(IFERROR(VALUE(LEFT(M1011,FIND("-",M1011)-1)),M1011)*229&lt;92700,"Вы уменьшили цену в несколько раз, товар попадет в карантин цен","")))),"")</f>
      </c>
    </row>
    <row r="1012">
      <c r="A1012" s="2" t="inlineStr">
        <is>
          <t>CuteShop</t>
        </is>
      </c>
      <c r="B1012" s="2" t="inlineStr">
        <is>
          <t>Держатели для пустышек</t>
        </is>
      </c>
      <c r="C1012" s="2">
        <v>99678704</v>
      </c>
      <c r="D1012" s="2" t="inlineStr">
        <is>
          <t>KirillBG</t>
        </is>
      </c>
      <c r="E1012" s="2" t="inlineStr">
        <is>
          <t>2036802738184</t>
        </is>
      </c>
      <c r="F1012" s="2">
        <v>0</v>
      </c>
      <c r="G1012" s="2">
        <v>1</v>
      </c>
      <c r="H1012" s="2" t="inlineStr">
        <is>
          <t/>
        </is>
      </c>
      <c r="I1012" s="2" t="inlineStr">
        <is>
          <t>790</t>
        </is>
      </c>
      <c r="J1012" s="4"/>
      <c r="K1012" s="2">
        <v>10</v>
      </c>
      <c r="L1012" s="6"/>
      <c r="M1012" s="2" t="str">
        <f>IF(J1012="",ROUND(I1012*(1-IF(ISBLANK(L1012),K1012,L1012)/100),2),ROUND(J1012*(1-IF(ISBLANK(L1012),K1012,L1012)/100),2))</f>
      </c>
      <c r="N1012" s="7" t="str">
        <f>IF(NOT(AND(J1012="",L1012="")),IF(OR(AND(L1012&lt;&gt;"",NOT(ISNUMBER(L1012))),IFERROR(MOD(L1012,1),1)&gt;0,AND(ISNUMBER(L1012),OR(L1012&lt;0,L1012&gt;95))),"Введите целое число от 0 до 95",IF(OR(AND(J1012&lt;&gt;"",NOT(ISNUMBER(J1012))),IFERROR(MOD(J1012,1),1)&gt;0,AND(ISNUMBER(J1012),OR(J1012&lt;50,J1012&gt;20000000))),"Введите целое число от 50 до 20000000",IF(NOT(ABS(IFERROR(VALUE(LEFT(M1012,FIND("-",M1012)-1)),M1012)*100-(5000+2000000000)/2)&lt;=ABS(5000-2000000000)/2),"Цена со скидкой должна быть от 50 до 20000000",IF(IFERROR(VALUE(LEFT(M1012,FIND("-",M1012)-1)),M1012)*229&lt;71100,"Вы уменьшили цену в несколько раз, товар попадет в карантин цен","")))),"")</f>
      </c>
    </row>
    <row r="1013">
      <c r="A1013" s="2" t="inlineStr">
        <is>
          <t>CuteShop</t>
        </is>
      </c>
      <c r="B1013" s="2" t="inlineStr">
        <is>
          <t>Держатели для пустышек</t>
        </is>
      </c>
      <c r="C1013" s="2">
        <v>145484871</v>
      </c>
      <c r="D1013" s="2" t="inlineStr">
        <is>
          <t>VaryaSlon</t>
        </is>
      </c>
      <c r="E1013" s="2" t="inlineStr">
        <is>
          <t>2037441509326</t>
        </is>
      </c>
      <c r="F1013" s="2">
        <v>0</v>
      </c>
      <c r="G1013" s="2">
        <v>1</v>
      </c>
      <c r="H1013" s="2">
        <v>0</v>
      </c>
      <c r="I1013" s="2" t="inlineStr">
        <is>
          <t>1030</t>
        </is>
      </c>
      <c r="J1013" s="4"/>
      <c r="K1013" s="2">
        <v>10</v>
      </c>
      <c r="L1013" s="6"/>
      <c r="M1013" s="2" t="str">
        <f>IF(J1013="",ROUND(I1013*(1-IF(ISBLANK(L1013),K1013,L1013)/100),2),ROUND(J1013*(1-IF(ISBLANK(L1013),K1013,L1013)/100),2))</f>
      </c>
      <c r="N1013" s="7" t="str">
        <f>IF(NOT(AND(J1013="",L1013="")),IF(OR(AND(L1013&lt;&gt;"",NOT(ISNUMBER(L1013))),IFERROR(MOD(L1013,1),1)&gt;0,AND(ISNUMBER(L1013),OR(L1013&lt;0,L1013&gt;95))),"Введите целое число от 0 до 95",IF(OR(AND(J1013&lt;&gt;"",NOT(ISNUMBER(J1013))),IFERROR(MOD(J1013,1),1)&gt;0,AND(ISNUMBER(J1013),OR(J1013&lt;50,J1013&gt;20000000))),"Введите целое число от 50 до 20000000",IF(NOT(ABS(IFERROR(VALUE(LEFT(M1013,FIND("-",M1013)-1)),M1013)*100-(5000+2000000000)/2)&lt;=ABS(5000-2000000000)/2),"Цена со скидкой должна быть от 50 до 20000000",IF(IFERROR(VALUE(LEFT(M1013,FIND("-",M1013)-1)),M1013)*229&lt;92700,"Вы уменьшили цену в несколько раз, товар попадет в карантин цен","")))),"")</f>
      </c>
    </row>
    <row r="1014">
      <c r="A1014" s="2" t="inlineStr">
        <is>
          <t>CuteShop</t>
        </is>
      </c>
      <c r="B1014" s="2" t="inlineStr">
        <is>
          <t>Держатели для пустышек</t>
        </is>
      </c>
      <c r="C1014" s="2">
        <v>320974721</v>
      </c>
      <c r="D1014" s="2" t="inlineStr">
        <is>
          <t>KirillBel</t>
        </is>
      </c>
      <c r="E1014" s="2" t="inlineStr">
        <is>
          <t>2042655083425</t>
        </is>
      </c>
      <c r="F1014" s="2">
        <v>0</v>
      </c>
      <c r="G1014" s="2">
        <v>1</v>
      </c>
      <c r="H1014" s="2" t="inlineStr">
        <is>
          <t/>
        </is>
      </c>
      <c r="I1014" s="2" t="inlineStr">
        <is>
          <t>1030</t>
        </is>
      </c>
      <c r="J1014" s="4"/>
      <c r="K1014" s="2">
        <v>10</v>
      </c>
      <c r="L1014" s="6"/>
      <c r="M1014" s="2" t="str">
        <f>IF(J1014="",ROUND(I1014*(1-IF(ISBLANK(L1014),K1014,L1014)/100),2),ROUND(J1014*(1-IF(ISBLANK(L1014),K1014,L1014)/100),2))</f>
      </c>
      <c r="N1014" s="7" t="str">
        <f>IF(NOT(AND(J1014="",L1014="")),IF(OR(AND(L1014&lt;&gt;"",NOT(ISNUMBER(L1014))),IFERROR(MOD(L1014,1),1)&gt;0,AND(ISNUMBER(L1014),OR(L1014&lt;0,L1014&gt;95))),"Введите целое число от 0 до 95",IF(OR(AND(J1014&lt;&gt;"",NOT(ISNUMBER(J1014))),IFERROR(MOD(J1014,1),1)&gt;0,AND(ISNUMBER(J1014),OR(J1014&lt;50,J1014&gt;20000000))),"Введите целое число от 50 до 20000000",IF(NOT(ABS(IFERROR(VALUE(LEFT(M1014,FIND("-",M1014)-1)),M1014)*100-(5000+2000000000)/2)&lt;=ABS(5000-2000000000)/2),"Цена со скидкой должна быть от 50 до 20000000",IF(IFERROR(VALUE(LEFT(M1014,FIND("-",M1014)-1)),M1014)*229&lt;92700,"Вы уменьшили цену в несколько раз, товар попадет в карантин цен","")))),"")</f>
      </c>
    </row>
    <row r="1015">
      <c r="A1015" s="2" t="inlineStr">
        <is>
          <t>CuteShop</t>
        </is>
      </c>
      <c r="B1015" s="2" t="inlineStr">
        <is>
          <t>Держатели для пустышек</t>
        </is>
      </c>
      <c r="C1015" s="2">
        <v>321948555</v>
      </c>
      <c r="D1015" s="2" t="inlineStr">
        <is>
          <t>EmiliyaLev</t>
        </is>
      </c>
      <c r="E1015" s="2" t="inlineStr">
        <is>
          <t>2042677934101</t>
        </is>
      </c>
      <c r="F1015" s="2">
        <v>0</v>
      </c>
      <c r="G1015" s="2">
        <v>1</v>
      </c>
      <c r="H1015" s="2" t="inlineStr">
        <is>
          <t/>
        </is>
      </c>
      <c r="I1015" s="2" t="inlineStr">
        <is>
          <t>1030</t>
        </is>
      </c>
      <c r="J1015" s="4"/>
      <c r="K1015" s="2">
        <v>10</v>
      </c>
      <c r="L1015" s="6"/>
      <c r="M1015" s="2" t="str">
        <f>IF(J1015="",ROUND(I1015*(1-IF(ISBLANK(L1015),K1015,L1015)/100),2),ROUND(J1015*(1-IF(ISBLANK(L1015),K1015,L1015)/100),2))</f>
      </c>
      <c r="N1015" s="7" t="str">
        <f>IF(NOT(AND(J1015="",L1015="")),IF(OR(AND(L1015&lt;&gt;"",NOT(ISNUMBER(L1015))),IFERROR(MOD(L1015,1),1)&gt;0,AND(ISNUMBER(L1015),OR(L1015&lt;0,L1015&gt;95))),"Введите целое число от 0 до 95",IF(OR(AND(J1015&lt;&gt;"",NOT(ISNUMBER(J1015))),IFERROR(MOD(J1015,1),1)&gt;0,AND(ISNUMBER(J1015),OR(J1015&lt;50,J1015&gt;20000000))),"Введите целое число от 50 до 20000000",IF(NOT(ABS(IFERROR(VALUE(LEFT(M1015,FIND("-",M1015)-1)),M1015)*100-(5000+2000000000)/2)&lt;=ABS(5000-2000000000)/2),"Цена со скидкой должна быть от 50 до 20000000",IF(IFERROR(VALUE(LEFT(M1015,FIND("-",M1015)-1)),M1015)*229&lt;92700,"Вы уменьшили цену в несколько раз, товар попадет в карантин цен","")))),"")</f>
      </c>
    </row>
    <row r="1016">
      <c r="A1016" s="2" t="inlineStr">
        <is>
          <t>CuteShop</t>
        </is>
      </c>
      <c r="B1016" s="2" t="inlineStr">
        <is>
          <t>Держатели для пустышек</t>
        </is>
      </c>
      <c r="C1016" s="2">
        <v>156239093</v>
      </c>
      <c r="D1016" s="2" t="inlineStr">
        <is>
          <t>AmeliyaEdin</t>
        </is>
      </c>
      <c r="E1016" s="2" t="inlineStr">
        <is>
          <t>2037706285026</t>
        </is>
      </c>
      <c r="F1016" s="2">
        <v>0</v>
      </c>
      <c r="G1016" s="2">
        <v>0</v>
      </c>
      <c r="H1016" s="2">
        <v>0</v>
      </c>
      <c r="I1016" s="2" t="inlineStr">
        <is>
          <t>1030</t>
        </is>
      </c>
      <c r="J1016" s="4"/>
      <c r="K1016" s="2">
        <v>10</v>
      </c>
      <c r="L1016" s="6"/>
      <c r="M1016" s="2" t="str">
        <f>IF(J1016="",ROUND(I1016*(1-IF(ISBLANK(L1016),K1016,L1016)/100),2),ROUND(J1016*(1-IF(ISBLANK(L1016),K1016,L1016)/100),2))</f>
      </c>
      <c r="N1016" s="7" t="str">
        <f>IF(NOT(AND(J1016="",L1016="")),IF(OR(AND(L1016&lt;&gt;"",NOT(ISNUMBER(L1016))),IFERROR(MOD(L1016,1),1)&gt;0,AND(ISNUMBER(L1016),OR(L1016&lt;0,L1016&gt;95))),"Введите целое число от 0 до 95",IF(OR(AND(J1016&lt;&gt;"",NOT(ISNUMBER(J1016))),IFERROR(MOD(J1016,1),1)&gt;0,AND(ISNUMBER(J1016),OR(J1016&lt;50,J1016&gt;20000000))),"Введите целое число от 50 до 20000000",IF(NOT(ABS(IFERROR(VALUE(LEFT(M1016,FIND("-",M1016)-1)),M1016)*100-(5000+2000000000)/2)&lt;=ABS(5000-2000000000)/2),"Цена со скидкой должна быть от 50 до 20000000",IF(IFERROR(VALUE(LEFT(M1016,FIND("-",M1016)-1)),M1016)*229&lt;92700,"Вы уменьшили цену в несколько раз, товар попадет в карантин цен","")))),"")</f>
      </c>
    </row>
    <row r="1017">
      <c r="A1017" s="2" t="inlineStr">
        <is>
          <t>CuteShop</t>
        </is>
      </c>
      <c r="B1017" s="2" t="inlineStr">
        <is>
          <t>Держатели для пустышек</t>
        </is>
      </c>
      <c r="C1017" s="2">
        <v>228728898</v>
      </c>
      <c r="D1017" s="2" t="inlineStr">
        <is>
          <t>Derzh-Malch-Mix</t>
        </is>
      </c>
      <c r="E1017" s="2" t="inlineStr">
        <is>
          <t>2039924663020</t>
        </is>
      </c>
      <c r="F1017" s="2">
        <v>0</v>
      </c>
      <c r="G1017" s="2">
        <v>1</v>
      </c>
      <c r="H1017" s="2" t="inlineStr">
        <is>
          <t/>
        </is>
      </c>
      <c r="I1017" s="2" t="inlineStr">
        <is>
          <t>400</t>
        </is>
      </c>
      <c r="J1017" s="4"/>
      <c r="K1017" s="2">
        <v>3</v>
      </c>
      <c r="L1017" s="6"/>
      <c r="M1017" s="2" t="str">
        <f>IF(J1017="",ROUND(I1017*(1-IF(ISBLANK(L1017),K1017,L1017)/100),2),ROUND(J1017*(1-IF(ISBLANK(L1017),K1017,L1017)/100),2))</f>
      </c>
      <c r="N1017" s="7" t="str">
        <f>IF(NOT(AND(J1017="",L1017="")),IF(OR(AND(L1017&lt;&gt;"",NOT(ISNUMBER(L1017))),IFERROR(MOD(L1017,1),1)&gt;0,AND(ISNUMBER(L1017),OR(L1017&lt;0,L1017&gt;95))),"Введите целое число от 0 до 95",IF(OR(AND(J1017&lt;&gt;"",NOT(ISNUMBER(J1017))),IFERROR(MOD(J1017,1),1)&gt;0,AND(ISNUMBER(J1017),OR(J1017&lt;50,J1017&gt;20000000))),"Введите целое число от 50 до 20000000",IF(NOT(ABS(IFERROR(VALUE(LEFT(M1017,FIND("-",M1017)-1)),M1017)*100-(5000+2000000000)/2)&lt;=ABS(5000-2000000000)/2),"Цена со скидкой должна быть от 50 до 20000000",IF(IFERROR(VALUE(LEFT(M1017,FIND("-",M1017)-1)),M1017)*229&lt;38800,"Вы уменьшили цену в несколько раз, товар попадет в карантин цен","")))),"")</f>
      </c>
    </row>
    <row r="1018">
      <c r="A1018" s="2" t="inlineStr">
        <is>
          <t>CuteShop</t>
        </is>
      </c>
      <c r="B1018" s="2" t="inlineStr">
        <is>
          <t>Держатели для пустышек</t>
        </is>
      </c>
      <c r="C1018" s="2">
        <v>228723815</v>
      </c>
      <c r="D1018" s="2" t="inlineStr">
        <is>
          <t>Derzh-Dev4</t>
        </is>
      </c>
      <c r="E1018" s="2" t="inlineStr">
        <is>
          <t>2039924583397</t>
        </is>
      </c>
      <c r="F1018" s="2">
        <v>0</v>
      </c>
      <c r="G1018" s="2">
        <v>0</v>
      </c>
      <c r="H1018" s="2" t="inlineStr">
        <is>
          <t/>
        </is>
      </c>
      <c r="I1018" s="2" t="inlineStr">
        <is>
          <t>350</t>
        </is>
      </c>
      <c r="J1018" s="4"/>
      <c r="K1018" s="2">
        <v>3</v>
      </c>
      <c r="L1018" s="6"/>
      <c r="M1018" s="2" t="str">
        <f>IF(J1018="",ROUND(I1018*(1-IF(ISBLANK(L1018),K1018,L1018)/100),2),ROUND(J1018*(1-IF(ISBLANK(L1018),K1018,L1018)/100),2))</f>
      </c>
      <c r="N1018" s="7" t="str">
        <f>IF(NOT(AND(J1018="",L1018="")),IF(OR(AND(L1018&lt;&gt;"",NOT(ISNUMBER(L1018))),IFERROR(MOD(L1018,1),1)&gt;0,AND(ISNUMBER(L1018),OR(L1018&lt;0,L1018&gt;95))),"Введите целое число от 0 до 95",IF(OR(AND(J1018&lt;&gt;"",NOT(ISNUMBER(J1018))),IFERROR(MOD(J1018,1),1)&gt;0,AND(ISNUMBER(J1018),OR(J1018&lt;50,J1018&gt;20000000))),"Введите целое число от 50 до 20000000",IF(NOT(ABS(IFERROR(VALUE(LEFT(M1018,FIND("-",M1018)-1)),M1018)*100-(5000+2000000000)/2)&lt;=ABS(5000-2000000000)/2),"Цена со скидкой должна быть от 50 до 20000000",IF(IFERROR(VALUE(LEFT(M1018,FIND("-",M1018)-1)),M1018)*229&lt;33950,"Вы уменьшили цену в несколько раз, товар попадет в карантин цен","")))),"")</f>
      </c>
    </row>
    <row r="1019">
      <c r="A1019" s="2" t="inlineStr">
        <is>
          <t>CuteShop</t>
        </is>
      </c>
      <c r="B1019" s="2" t="inlineStr">
        <is>
          <t>Держатели для пустышек</t>
        </is>
      </c>
      <c r="C1019" s="2">
        <v>228734684</v>
      </c>
      <c r="D1019" s="2" t="inlineStr">
        <is>
          <t>Derzh-Malch3</t>
        </is>
      </c>
      <c r="E1019" s="2" t="inlineStr">
        <is>
          <t>2039924776317</t>
        </is>
      </c>
      <c r="F1019" s="2">
        <v>0</v>
      </c>
      <c r="G1019" s="2">
        <v>2</v>
      </c>
      <c r="H1019" s="2" t="inlineStr">
        <is>
          <t/>
        </is>
      </c>
      <c r="I1019" s="2" t="inlineStr">
        <is>
          <t>370</t>
        </is>
      </c>
      <c r="J1019" s="4"/>
      <c r="K1019" s="2">
        <v>3</v>
      </c>
      <c r="L1019" s="6"/>
      <c r="M1019" s="2" t="str">
        <f>IF(J1019="",ROUND(I1019*(1-IF(ISBLANK(L1019),K1019,L1019)/100),2),ROUND(J1019*(1-IF(ISBLANK(L1019),K1019,L1019)/100),2))</f>
      </c>
      <c r="N1019" s="7" t="str">
        <f>IF(NOT(AND(J1019="",L1019="")),IF(OR(AND(L1019&lt;&gt;"",NOT(ISNUMBER(L1019))),IFERROR(MOD(L1019,1),1)&gt;0,AND(ISNUMBER(L1019),OR(L1019&lt;0,L1019&gt;95))),"Введите целое число от 0 до 95",IF(OR(AND(J1019&lt;&gt;"",NOT(ISNUMBER(J1019))),IFERROR(MOD(J1019,1),1)&gt;0,AND(ISNUMBER(J1019),OR(J1019&lt;50,J1019&gt;20000000))),"Введите целое число от 50 до 20000000",IF(NOT(ABS(IFERROR(VALUE(LEFT(M1019,FIND("-",M1019)-1)),M1019)*100-(5000+2000000000)/2)&lt;=ABS(5000-2000000000)/2),"Цена со скидкой должна быть от 50 до 20000000",IF(IFERROR(VALUE(LEFT(M1019,FIND("-",M1019)-1)),M1019)*229&lt;35890,"Вы уменьшили цену в несколько раз, товар попадет в карантин цен","")))),"")</f>
      </c>
    </row>
    <row r="1020">
      <c r="A1020" s="2" t="inlineStr">
        <is>
          <t>CuteShop</t>
        </is>
      </c>
      <c r="B1020" s="2" t="inlineStr">
        <is>
          <t>Держатели для пустышек</t>
        </is>
      </c>
      <c r="C1020" s="2">
        <v>325395605</v>
      </c>
      <c r="D1020" s="2" t="inlineStr">
        <is>
          <t>NastyaBG2</t>
        </is>
      </c>
      <c r="E1020" s="2" t="inlineStr">
        <is>
          <t>2042733857832</t>
        </is>
      </c>
      <c r="F1020" s="2">
        <v>0</v>
      </c>
      <c r="G1020" s="2">
        <v>1</v>
      </c>
      <c r="H1020" s="2" t="inlineStr">
        <is>
          <t/>
        </is>
      </c>
      <c r="I1020" s="2" t="inlineStr">
        <is>
          <t>790</t>
        </is>
      </c>
      <c r="J1020" s="4"/>
      <c r="K1020" s="2">
        <v>10</v>
      </c>
      <c r="L1020" s="6"/>
      <c r="M1020" s="2" t="str">
        <f>IF(J1020="",ROUND(I1020*(1-IF(ISBLANK(L1020),K1020,L1020)/100),2),ROUND(J1020*(1-IF(ISBLANK(L1020),K1020,L1020)/100),2))</f>
      </c>
      <c r="N1020" s="7" t="str">
        <f>IF(NOT(AND(J1020="",L1020="")),IF(OR(AND(L1020&lt;&gt;"",NOT(ISNUMBER(L1020))),IFERROR(MOD(L1020,1),1)&gt;0,AND(ISNUMBER(L1020),OR(L1020&lt;0,L1020&gt;95))),"Введите целое число от 0 до 95",IF(OR(AND(J1020&lt;&gt;"",NOT(ISNUMBER(J1020))),IFERROR(MOD(J1020,1),1)&gt;0,AND(ISNUMBER(J1020),OR(J1020&lt;50,J1020&gt;20000000))),"Введите целое число от 50 до 20000000",IF(NOT(ABS(IFERROR(VALUE(LEFT(M1020,FIND("-",M1020)-1)),M1020)*100-(5000+2000000000)/2)&lt;=ABS(5000-2000000000)/2),"Цена со скидкой должна быть от 50 до 20000000",IF(IFERROR(VALUE(LEFT(M1020,FIND("-",M1020)-1)),M1020)*229&lt;71100,"Вы уменьшили цену в несколько раз, товар попадет в карантин цен","")))),"")</f>
      </c>
    </row>
    <row r="1021">
      <c r="A1021" s="2" t="inlineStr">
        <is>
          <t>CuteShop</t>
        </is>
      </c>
      <c r="B1021" s="2" t="inlineStr">
        <is>
          <t>Держатели для пустышек</t>
        </is>
      </c>
      <c r="C1021" s="2">
        <v>110532864</v>
      </c>
      <c r="D1021" s="2" t="inlineStr">
        <is>
          <t>MilenaBGYellow</t>
        </is>
      </c>
      <c r="E1021" s="2" t="inlineStr">
        <is>
          <t>2036786572620</t>
        </is>
      </c>
      <c r="F1021" s="2">
        <v>0</v>
      </c>
      <c r="G1021" s="2">
        <v>0</v>
      </c>
      <c r="H1021" s="2">
        <v>0</v>
      </c>
      <c r="I1021" s="2" t="inlineStr">
        <is>
          <t>790</t>
        </is>
      </c>
      <c r="J1021" s="4"/>
      <c r="K1021" s="2">
        <v>10</v>
      </c>
      <c r="L1021" s="6"/>
      <c r="M1021" s="2" t="str">
        <f>IF(J1021="",ROUND(I1021*(1-IF(ISBLANK(L1021),K1021,L1021)/100),2),ROUND(J1021*(1-IF(ISBLANK(L1021),K1021,L1021)/100),2))</f>
      </c>
      <c r="N1021" s="7" t="str">
        <f>IF(NOT(AND(J1021="",L1021="")),IF(OR(AND(L1021&lt;&gt;"",NOT(ISNUMBER(L1021))),IFERROR(MOD(L1021,1),1)&gt;0,AND(ISNUMBER(L1021),OR(L1021&lt;0,L1021&gt;95))),"Введите целое число от 0 до 95",IF(OR(AND(J1021&lt;&gt;"",NOT(ISNUMBER(J1021))),IFERROR(MOD(J1021,1),1)&gt;0,AND(ISNUMBER(J1021),OR(J1021&lt;50,J1021&gt;20000000))),"Введите целое число от 50 до 20000000",IF(NOT(ABS(IFERROR(VALUE(LEFT(M1021,FIND("-",M1021)-1)),M1021)*100-(5000+2000000000)/2)&lt;=ABS(5000-2000000000)/2),"Цена со скидкой должна быть от 50 до 20000000",IF(IFERROR(VALUE(LEFT(M1021,FIND("-",M1021)-1)),M1021)*229&lt;71100,"Вы уменьшили цену в несколько раз, товар попадет в карантин цен","")))),"")</f>
      </c>
    </row>
    <row r="1022">
      <c r="A1022" s="2" t="inlineStr">
        <is>
          <t>CuteShop</t>
        </is>
      </c>
      <c r="B1022" s="2" t="inlineStr">
        <is>
          <t>Держатели для пустышек</t>
        </is>
      </c>
      <c r="C1022" s="2">
        <v>325398581</v>
      </c>
      <c r="D1022" s="2" t="inlineStr">
        <is>
          <t>NastyaKot</t>
        </is>
      </c>
      <c r="E1022" s="2" t="inlineStr">
        <is>
          <t>2042733952834</t>
        </is>
      </c>
      <c r="F1022" s="2">
        <v>0</v>
      </c>
      <c r="G1022" s="2">
        <v>0</v>
      </c>
      <c r="H1022" s="2" t="inlineStr">
        <is>
          <t/>
        </is>
      </c>
      <c r="I1022" s="2" t="inlineStr">
        <is>
          <t>1030</t>
        </is>
      </c>
      <c r="J1022" s="4"/>
      <c r="K1022" s="2">
        <v>10</v>
      </c>
      <c r="L1022" s="6"/>
      <c r="M1022" s="2" t="str">
        <f>IF(J1022="",ROUND(I1022*(1-IF(ISBLANK(L1022),K1022,L1022)/100),2),ROUND(J1022*(1-IF(ISBLANK(L1022),K1022,L1022)/100),2))</f>
      </c>
      <c r="N1022" s="7" t="str">
        <f>IF(NOT(AND(J1022="",L1022="")),IF(OR(AND(L1022&lt;&gt;"",NOT(ISNUMBER(L1022))),IFERROR(MOD(L1022,1),1)&gt;0,AND(ISNUMBER(L1022),OR(L1022&lt;0,L1022&gt;95))),"Введите целое число от 0 до 95",IF(OR(AND(J1022&lt;&gt;"",NOT(ISNUMBER(J1022))),IFERROR(MOD(J1022,1),1)&gt;0,AND(ISNUMBER(J1022),OR(J1022&lt;50,J1022&gt;20000000))),"Введите целое число от 50 до 20000000",IF(NOT(ABS(IFERROR(VALUE(LEFT(M1022,FIND("-",M1022)-1)),M1022)*100-(5000+2000000000)/2)&lt;=ABS(5000-2000000000)/2),"Цена со скидкой должна быть от 50 до 20000000",IF(IFERROR(VALUE(LEFT(M1022,FIND("-",M1022)-1)),M1022)*229&lt;92700,"Вы уменьшили цену в несколько раз, товар попадет в карантин цен","")))),"")</f>
      </c>
    </row>
    <row r="1023">
      <c r="A1023" s="2" t="inlineStr">
        <is>
          <t>CuteShop</t>
        </is>
      </c>
      <c r="B1023" s="2" t="inlineStr">
        <is>
          <t>Держатели для пустышек</t>
        </is>
      </c>
      <c r="C1023" s="2">
        <v>145491899</v>
      </c>
      <c r="D1023" s="2" t="inlineStr">
        <is>
          <t>OliviyaBG2</t>
        </is>
      </c>
      <c r="E1023" s="2" t="inlineStr">
        <is>
          <t>2037441640685</t>
        </is>
      </c>
      <c r="F1023" s="2">
        <v>0</v>
      </c>
      <c r="G1023" s="2">
        <v>1</v>
      </c>
      <c r="H1023" s="2" t="inlineStr">
        <is>
          <t/>
        </is>
      </c>
      <c r="I1023" s="2" t="inlineStr">
        <is>
          <t>790</t>
        </is>
      </c>
      <c r="J1023" s="4"/>
      <c r="K1023" s="2">
        <v>10</v>
      </c>
      <c r="L1023" s="6"/>
      <c r="M1023" s="2" t="str">
        <f>IF(J1023="",ROUND(I1023*(1-IF(ISBLANK(L1023),K1023,L1023)/100),2),ROUND(J1023*(1-IF(ISBLANK(L1023),K1023,L1023)/100),2))</f>
      </c>
      <c r="N1023" s="7" t="str">
        <f>IF(NOT(AND(J1023="",L1023="")),IF(OR(AND(L1023&lt;&gt;"",NOT(ISNUMBER(L1023))),IFERROR(MOD(L1023,1),1)&gt;0,AND(ISNUMBER(L1023),OR(L1023&lt;0,L1023&gt;95))),"Введите целое число от 0 до 95",IF(OR(AND(J1023&lt;&gt;"",NOT(ISNUMBER(J1023))),IFERROR(MOD(J1023,1),1)&gt;0,AND(ISNUMBER(J1023),OR(J1023&lt;50,J1023&gt;20000000))),"Введите целое число от 50 до 20000000",IF(NOT(ABS(IFERROR(VALUE(LEFT(M1023,FIND("-",M1023)-1)),M1023)*100-(5000+2000000000)/2)&lt;=ABS(5000-2000000000)/2),"Цена со скидкой должна быть от 50 до 20000000",IF(IFERROR(VALUE(LEFT(M1023,FIND("-",M1023)-1)),M1023)*229&lt;71100,"Вы уменьшили цену в несколько раз, товар попадет в карантин цен","")))),"")</f>
      </c>
    </row>
    <row r="1024">
      <c r="A1024" s="2" t="inlineStr">
        <is>
          <t>CuteShop</t>
        </is>
      </c>
      <c r="B1024" s="2" t="inlineStr">
        <is>
          <t>Держатели для пустышек</t>
        </is>
      </c>
      <c r="C1024" s="2">
        <v>132198091</v>
      </c>
      <c r="D1024" s="2" t="inlineStr">
        <is>
          <t>SavvaMish</t>
        </is>
      </c>
      <c r="E1024" s="2" t="inlineStr">
        <is>
          <t>2037042258395</t>
        </is>
      </c>
      <c r="F1024" s="2">
        <v>0</v>
      </c>
      <c r="G1024" s="2">
        <v>1</v>
      </c>
      <c r="H1024" s="2">
        <v>0</v>
      </c>
      <c r="I1024" s="2" t="inlineStr">
        <is>
          <t>1030</t>
        </is>
      </c>
      <c r="J1024" s="4"/>
      <c r="K1024" s="2">
        <v>10</v>
      </c>
      <c r="L1024" s="6"/>
      <c r="M1024" s="2" t="str">
        <f>IF(J1024="",ROUND(I1024*(1-IF(ISBLANK(L1024),K1024,L1024)/100),2),ROUND(J1024*(1-IF(ISBLANK(L1024),K1024,L1024)/100),2))</f>
      </c>
      <c r="N1024" s="7" t="str">
        <f>IF(NOT(AND(J1024="",L1024="")),IF(OR(AND(L1024&lt;&gt;"",NOT(ISNUMBER(L1024))),IFERROR(MOD(L1024,1),1)&gt;0,AND(ISNUMBER(L1024),OR(L1024&lt;0,L1024&gt;95))),"Введите целое число от 0 до 95",IF(OR(AND(J1024&lt;&gt;"",NOT(ISNUMBER(J1024))),IFERROR(MOD(J1024,1),1)&gt;0,AND(ISNUMBER(J1024),OR(J1024&lt;50,J1024&gt;20000000))),"Введите целое число от 50 до 20000000",IF(NOT(ABS(IFERROR(VALUE(LEFT(M1024,FIND("-",M1024)-1)),M1024)*100-(5000+2000000000)/2)&lt;=ABS(5000-2000000000)/2),"Цена со скидкой должна быть от 50 до 20000000",IF(IFERROR(VALUE(LEFT(M1024,FIND("-",M1024)-1)),M1024)*229&lt;92700,"Вы уменьшили цену в несколько раз, товар попадет в карантин цен","")))),"")</f>
      </c>
    </row>
    <row r="1025">
      <c r="A1025" s="2" t="inlineStr">
        <is>
          <t>CuteShop</t>
        </is>
      </c>
      <c r="B1025" s="2" t="inlineStr">
        <is>
          <t>Держатели для пустышек</t>
        </is>
      </c>
      <c r="C1025" s="2">
        <v>145493999</v>
      </c>
      <c r="D1025" s="2" t="inlineStr">
        <is>
          <t>OliviyaKoala</t>
        </is>
      </c>
      <c r="E1025" s="2" t="inlineStr">
        <is>
          <t>2037441687369</t>
        </is>
      </c>
      <c r="F1025" s="2">
        <v>0</v>
      </c>
      <c r="G1025" s="2">
        <v>1</v>
      </c>
      <c r="H1025" s="2" t="inlineStr">
        <is>
          <t/>
        </is>
      </c>
      <c r="I1025" s="2" t="inlineStr">
        <is>
          <t>1030</t>
        </is>
      </c>
      <c r="J1025" s="4"/>
      <c r="K1025" s="2">
        <v>10</v>
      </c>
      <c r="L1025" s="6"/>
      <c r="M1025" s="2" t="str">
        <f>IF(J1025="",ROUND(I1025*(1-IF(ISBLANK(L1025),K1025,L1025)/100),2),ROUND(J1025*(1-IF(ISBLANK(L1025),K1025,L1025)/100),2))</f>
      </c>
      <c r="N1025" s="7" t="str">
        <f>IF(NOT(AND(J1025="",L1025="")),IF(OR(AND(L1025&lt;&gt;"",NOT(ISNUMBER(L1025))),IFERROR(MOD(L1025,1),1)&gt;0,AND(ISNUMBER(L1025),OR(L1025&lt;0,L1025&gt;95))),"Введите целое число от 0 до 95",IF(OR(AND(J1025&lt;&gt;"",NOT(ISNUMBER(J1025))),IFERROR(MOD(J1025,1),1)&gt;0,AND(ISNUMBER(J1025),OR(J1025&lt;50,J1025&gt;20000000))),"Введите целое число от 50 до 20000000",IF(NOT(ABS(IFERROR(VALUE(LEFT(M1025,FIND("-",M1025)-1)),M1025)*100-(5000+2000000000)/2)&lt;=ABS(5000-2000000000)/2),"Цена со скидкой должна быть от 50 до 20000000",IF(IFERROR(VALUE(LEFT(M1025,FIND("-",M1025)-1)),M1025)*229&lt;92700,"Вы уменьшили цену в несколько раз, товар попадет в карантин цен","")))),"")</f>
      </c>
    </row>
    <row r="1026">
      <c r="A1026" s="2" t="inlineStr">
        <is>
          <t>CuteShop</t>
        </is>
      </c>
      <c r="B1026" s="2" t="inlineStr">
        <is>
          <t>Держатели для пустышек</t>
        </is>
      </c>
      <c r="C1026" s="2">
        <v>112389609</v>
      </c>
      <c r="D1026" s="2" t="inlineStr">
        <is>
          <t>MishaMish2</t>
        </is>
      </c>
      <c r="E1026" s="2" t="inlineStr">
        <is>
          <t>2038785512621</t>
        </is>
      </c>
      <c r="F1026" s="2">
        <v>0</v>
      </c>
      <c r="G1026" s="2">
        <v>1</v>
      </c>
      <c r="H1026" s="2">
        <v>0</v>
      </c>
      <c r="I1026" s="2" t="inlineStr">
        <is>
          <t>1030</t>
        </is>
      </c>
      <c r="J1026" s="4"/>
      <c r="K1026" s="2">
        <v>10</v>
      </c>
      <c r="L1026" s="6"/>
      <c r="M1026" s="2" t="str">
        <f>IF(J1026="",ROUND(I1026*(1-IF(ISBLANK(L1026),K1026,L1026)/100),2),ROUND(J1026*(1-IF(ISBLANK(L1026),K1026,L1026)/100),2))</f>
      </c>
      <c r="N1026" s="7" t="str">
        <f>IF(NOT(AND(J1026="",L1026="")),IF(OR(AND(L1026&lt;&gt;"",NOT(ISNUMBER(L1026))),IFERROR(MOD(L1026,1),1)&gt;0,AND(ISNUMBER(L1026),OR(L1026&lt;0,L1026&gt;95))),"Введите целое число от 0 до 95",IF(OR(AND(J1026&lt;&gt;"",NOT(ISNUMBER(J1026))),IFERROR(MOD(J1026,1),1)&gt;0,AND(ISNUMBER(J1026),OR(J1026&lt;50,J1026&gt;20000000))),"Введите целое число от 50 до 20000000",IF(NOT(ABS(IFERROR(VALUE(LEFT(M1026,FIND("-",M1026)-1)),M1026)*100-(5000+2000000000)/2)&lt;=ABS(5000-2000000000)/2),"Цена со скидкой должна быть от 50 до 20000000",IF(IFERROR(VALUE(LEFT(M1026,FIND("-",M1026)-1)),M1026)*229&lt;92700,"Вы уменьшили цену в несколько раз, товар попадет в карантин цен","")))),"")</f>
      </c>
    </row>
    <row r="1027">
      <c r="A1027" s="2" t="inlineStr">
        <is>
          <t>CuteShop</t>
        </is>
      </c>
      <c r="B1027" s="2" t="inlineStr">
        <is>
          <t>Держатели для пустышек</t>
        </is>
      </c>
      <c r="C1027" s="2">
        <v>145493480</v>
      </c>
      <c r="D1027" s="2" t="inlineStr">
        <is>
          <t>OliviyaSlon</t>
        </is>
      </c>
      <c r="E1027" s="2" t="inlineStr">
        <is>
          <t>2037441673416</t>
        </is>
      </c>
      <c r="F1027" s="2">
        <v>0</v>
      </c>
      <c r="G1027" s="2">
        <v>1</v>
      </c>
      <c r="H1027" s="2" t="inlineStr">
        <is>
          <t/>
        </is>
      </c>
      <c r="I1027" s="2" t="inlineStr">
        <is>
          <t>1030</t>
        </is>
      </c>
      <c r="J1027" s="4"/>
      <c r="K1027" s="2">
        <v>10</v>
      </c>
      <c r="L1027" s="6"/>
      <c r="M1027" s="2" t="str">
        <f>IF(J1027="",ROUND(I1027*(1-IF(ISBLANK(L1027),K1027,L1027)/100),2),ROUND(J1027*(1-IF(ISBLANK(L1027),K1027,L1027)/100),2))</f>
      </c>
      <c r="N1027" s="7" t="str">
        <f>IF(NOT(AND(J1027="",L1027="")),IF(OR(AND(L1027&lt;&gt;"",NOT(ISNUMBER(L1027))),IFERROR(MOD(L1027,1),1)&gt;0,AND(ISNUMBER(L1027),OR(L1027&lt;0,L1027&gt;95))),"Введите целое число от 0 до 95",IF(OR(AND(J1027&lt;&gt;"",NOT(ISNUMBER(J1027))),IFERROR(MOD(J1027,1),1)&gt;0,AND(ISNUMBER(J1027),OR(J1027&lt;50,J1027&gt;20000000))),"Введите целое число от 50 до 20000000",IF(NOT(ABS(IFERROR(VALUE(LEFT(M1027,FIND("-",M1027)-1)),M1027)*100-(5000+2000000000)/2)&lt;=ABS(5000-2000000000)/2),"Цена со скидкой должна быть от 50 до 20000000",IF(IFERROR(VALUE(LEFT(M1027,FIND("-",M1027)-1)),M1027)*229&lt;92700,"Вы уменьшили цену в несколько раз, товар попадет в карантин цен","")))),"")</f>
      </c>
    </row>
    <row r="1028">
      <c r="A1028" s="2" t="inlineStr">
        <is>
          <t>CuteShop</t>
        </is>
      </c>
      <c r="B1028" s="2" t="inlineStr">
        <is>
          <t>Держатели для пустышек</t>
        </is>
      </c>
      <c r="C1028" s="2">
        <v>321134913</v>
      </c>
      <c r="D1028" s="2" t="inlineStr">
        <is>
          <t>SergeyBel</t>
        </is>
      </c>
      <c r="E1028" s="2" t="inlineStr">
        <is>
          <t>2042658009484</t>
        </is>
      </c>
      <c r="F1028" s="2">
        <v>0</v>
      </c>
      <c r="G1028" s="2">
        <v>1</v>
      </c>
      <c r="H1028" s="2" t="inlineStr">
        <is>
          <t/>
        </is>
      </c>
      <c r="I1028" s="2" t="inlineStr">
        <is>
          <t>1030</t>
        </is>
      </c>
      <c r="J1028" s="4"/>
      <c r="K1028" s="2">
        <v>10</v>
      </c>
      <c r="L1028" s="6"/>
      <c r="M1028" s="2" t="str">
        <f>IF(J1028="",ROUND(I1028*(1-IF(ISBLANK(L1028),K1028,L1028)/100),2),ROUND(J1028*(1-IF(ISBLANK(L1028),K1028,L1028)/100),2))</f>
      </c>
      <c r="N1028" s="7" t="str">
        <f>IF(NOT(AND(J1028="",L1028="")),IF(OR(AND(L1028&lt;&gt;"",NOT(ISNUMBER(L1028))),IFERROR(MOD(L1028,1),1)&gt;0,AND(ISNUMBER(L1028),OR(L1028&lt;0,L1028&gt;95))),"Введите целое число от 0 до 95",IF(OR(AND(J1028&lt;&gt;"",NOT(ISNUMBER(J1028))),IFERROR(MOD(J1028,1),1)&gt;0,AND(ISNUMBER(J1028),OR(J1028&lt;50,J1028&gt;20000000))),"Введите целое число от 50 до 20000000",IF(NOT(ABS(IFERROR(VALUE(LEFT(M1028,FIND("-",M1028)-1)),M1028)*100-(5000+2000000000)/2)&lt;=ABS(5000-2000000000)/2),"Цена со скидкой должна быть от 50 до 20000000",IF(IFERROR(VALUE(LEFT(M1028,FIND("-",M1028)-1)),M1028)*229&lt;92700,"Вы уменьшили цену в несколько раз, товар попадет в карантин цен","")))),"")</f>
      </c>
    </row>
    <row r="1029">
      <c r="A1029" s="2" t="inlineStr">
        <is>
          <t>CuteShop</t>
        </is>
      </c>
      <c r="B1029" s="2" t="inlineStr">
        <is>
          <t>Держатели для пустышек</t>
        </is>
      </c>
      <c r="C1029" s="2">
        <v>156239095</v>
      </c>
      <c r="D1029" s="2" t="inlineStr">
        <is>
          <t>AmeliyaLev</t>
        </is>
      </c>
      <c r="E1029" s="2" t="inlineStr">
        <is>
          <t>2037706288317</t>
        </is>
      </c>
      <c r="F1029" s="2">
        <v>0</v>
      </c>
      <c r="G1029" s="2">
        <v>1</v>
      </c>
      <c r="H1029" s="2">
        <v>0</v>
      </c>
      <c r="I1029" s="2" t="inlineStr">
        <is>
          <t>1030</t>
        </is>
      </c>
      <c r="J1029" s="4"/>
      <c r="K1029" s="2">
        <v>10</v>
      </c>
      <c r="L1029" s="6"/>
      <c r="M1029" s="2" t="str">
        <f>IF(J1029="",ROUND(I1029*(1-IF(ISBLANK(L1029),K1029,L1029)/100),2),ROUND(J1029*(1-IF(ISBLANK(L1029),K1029,L1029)/100),2))</f>
      </c>
      <c r="N1029" s="7" t="str">
        <f>IF(NOT(AND(J1029="",L1029="")),IF(OR(AND(L1029&lt;&gt;"",NOT(ISNUMBER(L1029))),IFERROR(MOD(L1029,1),1)&gt;0,AND(ISNUMBER(L1029),OR(L1029&lt;0,L1029&gt;95))),"Введите целое число от 0 до 95",IF(OR(AND(J1029&lt;&gt;"",NOT(ISNUMBER(J1029))),IFERROR(MOD(J1029,1),1)&gt;0,AND(ISNUMBER(J1029),OR(J1029&lt;50,J1029&gt;20000000))),"Введите целое число от 50 до 20000000",IF(NOT(ABS(IFERROR(VALUE(LEFT(M1029,FIND("-",M1029)-1)),M1029)*100-(5000+2000000000)/2)&lt;=ABS(5000-2000000000)/2),"Цена со скидкой должна быть от 50 до 20000000",IF(IFERROR(VALUE(LEFT(M1029,FIND("-",M1029)-1)),M1029)*229&lt;92700,"Вы уменьшили цену в несколько раз, товар попадет в карантин цен","")))),"")</f>
      </c>
    </row>
    <row r="1030">
      <c r="A1030" s="2" t="inlineStr">
        <is>
          <t>CuteShop</t>
        </is>
      </c>
      <c r="B1030" s="2" t="inlineStr">
        <is>
          <t>Держатели для пустышек</t>
        </is>
      </c>
      <c r="C1030" s="2">
        <v>145648478</v>
      </c>
      <c r="D1030" s="2" t="inlineStr">
        <is>
          <t>KosBG</t>
        </is>
      </c>
      <c r="E1030" s="2" t="inlineStr">
        <is>
          <t>2037446009784</t>
        </is>
      </c>
      <c r="F1030" s="2">
        <v>0</v>
      </c>
      <c r="G1030" s="2">
        <v>1</v>
      </c>
      <c r="H1030" s="2">
        <v>1</v>
      </c>
      <c r="I1030" s="2" t="inlineStr">
        <is>
          <t>790</t>
        </is>
      </c>
      <c r="J1030" s="4"/>
      <c r="K1030" s="2">
        <v>10</v>
      </c>
      <c r="L1030" s="6"/>
      <c r="M1030" s="2" t="str">
        <f>IF(J1030="",ROUND(I1030*(1-IF(ISBLANK(L1030),K1030,L1030)/100),2),ROUND(J1030*(1-IF(ISBLANK(L1030),K1030,L1030)/100),2))</f>
      </c>
      <c r="N1030" s="7" t="str">
        <f>IF(NOT(AND(J1030="",L1030="")),IF(OR(AND(L1030&lt;&gt;"",NOT(ISNUMBER(L1030))),IFERROR(MOD(L1030,1),1)&gt;0,AND(ISNUMBER(L1030),OR(L1030&lt;0,L1030&gt;95))),"Введите целое число от 0 до 95",IF(OR(AND(J1030&lt;&gt;"",NOT(ISNUMBER(J1030))),IFERROR(MOD(J1030,1),1)&gt;0,AND(ISNUMBER(J1030),OR(J1030&lt;50,J1030&gt;20000000))),"Введите целое число от 50 до 20000000",IF(NOT(ABS(IFERROR(VALUE(LEFT(M1030,FIND("-",M1030)-1)),M1030)*100-(5000+2000000000)/2)&lt;=ABS(5000-2000000000)/2),"Цена со скидкой должна быть от 50 до 20000000",IF(IFERROR(VALUE(LEFT(M1030,FIND("-",M1030)-1)),M1030)*229&lt;71100,"Вы уменьшили цену в несколько раз, товар попадет в карантин цен","")))),"")</f>
      </c>
    </row>
    <row r="1031">
      <c r="A1031" s="2" t="inlineStr">
        <is>
          <t>CuteShop</t>
        </is>
      </c>
      <c r="B1031" s="2" t="inlineStr">
        <is>
          <t>Держатели для пустышек</t>
        </is>
      </c>
      <c r="C1031" s="2">
        <v>145529614</v>
      </c>
      <c r="D1031" s="2" t="inlineStr">
        <is>
          <t>AlinaSob</t>
        </is>
      </c>
      <c r="E1031" s="2" t="inlineStr">
        <is>
          <t>2037442524212</t>
        </is>
      </c>
      <c r="F1031" s="2">
        <v>0</v>
      </c>
      <c r="G1031" s="2">
        <v>0</v>
      </c>
      <c r="H1031" s="2" t="inlineStr">
        <is>
          <t/>
        </is>
      </c>
      <c r="I1031" s="2" t="inlineStr">
        <is>
          <t>1030</t>
        </is>
      </c>
      <c r="J1031" s="4"/>
      <c r="K1031" s="2">
        <v>10</v>
      </c>
      <c r="L1031" s="6"/>
      <c r="M1031" s="2" t="str">
        <f>IF(J1031="",ROUND(I1031*(1-IF(ISBLANK(L1031),K1031,L1031)/100),2),ROUND(J1031*(1-IF(ISBLANK(L1031),K1031,L1031)/100),2))</f>
      </c>
      <c r="N1031" s="7" t="str">
        <f>IF(NOT(AND(J1031="",L1031="")),IF(OR(AND(L1031&lt;&gt;"",NOT(ISNUMBER(L1031))),IFERROR(MOD(L1031,1),1)&gt;0,AND(ISNUMBER(L1031),OR(L1031&lt;0,L1031&gt;95))),"Введите целое число от 0 до 95",IF(OR(AND(J1031&lt;&gt;"",NOT(ISNUMBER(J1031))),IFERROR(MOD(J1031,1),1)&gt;0,AND(ISNUMBER(J1031),OR(J1031&lt;50,J1031&gt;20000000))),"Введите целое число от 50 до 20000000",IF(NOT(ABS(IFERROR(VALUE(LEFT(M1031,FIND("-",M1031)-1)),M1031)*100-(5000+2000000000)/2)&lt;=ABS(5000-2000000000)/2),"Цена со скидкой должна быть от 50 до 20000000",IF(IFERROR(VALUE(LEFT(M1031,FIND("-",M1031)-1)),M1031)*229&lt;92700,"Вы уменьшили цену в несколько раз, товар попадет в карантин цен","")))),"")</f>
      </c>
    </row>
    <row r="1032">
      <c r="A1032" s="2" t="inlineStr">
        <is>
          <t>CuteShop</t>
        </is>
      </c>
      <c r="B1032" s="2" t="inlineStr">
        <is>
          <t>Держатели для пустышек</t>
        </is>
      </c>
      <c r="C1032" s="2">
        <v>145513929</v>
      </c>
      <c r="D1032" s="2" t="inlineStr">
        <is>
          <t>AlinaBG2</t>
        </is>
      </c>
      <c r="E1032" s="2" t="inlineStr">
        <is>
          <t>2037442207214</t>
        </is>
      </c>
      <c r="F1032" s="2">
        <v>0</v>
      </c>
      <c r="G1032" s="2">
        <v>1</v>
      </c>
      <c r="H1032" s="2" t="inlineStr">
        <is>
          <t/>
        </is>
      </c>
      <c r="I1032" s="2" t="inlineStr">
        <is>
          <t>790</t>
        </is>
      </c>
      <c r="J1032" s="4"/>
      <c r="K1032" s="2">
        <v>10</v>
      </c>
      <c r="L1032" s="6"/>
      <c r="M1032" s="2" t="str">
        <f>IF(J1032="",ROUND(I1032*(1-IF(ISBLANK(L1032),K1032,L1032)/100),2),ROUND(J1032*(1-IF(ISBLANK(L1032),K1032,L1032)/100),2))</f>
      </c>
      <c r="N1032" s="7" t="str">
        <f>IF(NOT(AND(J1032="",L1032="")),IF(OR(AND(L1032&lt;&gt;"",NOT(ISNUMBER(L1032))),IFERROR(MOD(L1032,1),1)&gt;0,AND(ISNUMBER(L1032),OR(L1032&lt;0,L1032&gt;95))),"Введите целое число от 0 до 95",IF(OR(AND(J1032&lt;&gt;"",NOT(ISNUMBER(J1032))),IFERROR(MOD(J1032,1),1)&gt;0,AND(ISNUMBER(J1032),OR(J1032&lt;50,J1032&gt;20000000))),"Введите целое число от 50 до 20000000",IF(NOT(ABS(IFERROR(VALUE(LEFT(M1032,FIND("-",M1032)-1)),M1032)*100-(5000+2000000000)/2)&lt;=ABS(5000-2000000000)/2),"Цена со скидкой должна быть от 50 до 20000000",IF(IFERROR(VALUE(LEFT(M1032,FIND("-",M1032)-1)),M1032)*229&lt;71100,"Вы уменьшили цену в несколько раз, товар попадет в карантин цен","")))),"")</f>
      </c>
    </row>
    <row r="1033">
      <c r="A1033" s="2" t="inlineStr">
        <is>
          <t>CuteShop</t>
        </is>
      </c>
      <c r="B1033" s="2" t="inlineStr">
        <is>
          <t>Держатели для пустышек</t>
        </is>
      </c>
      <c r="C1033" s="2">
        <v>112392937</v>
      </c>
      <c r="D1033" s="2" t="inlineStr">
        <is>
          <t>SergeyMishM</t>
        </is>
      </c>
      <c r="E1033" s="2" t="inlineStr">
        <is>
          <t>2038787245626</t>
        </is>
      </c>
      <c r="F1033" s="2">
        <v>0</v>
      </c>
      <c r="G1033" s="2">
        <v>1</v>
      </c>
      <c r="H1033" s="2">
        <v>0</v>
      </c>
      <c r="I1033" s="2" t="inlineStr">
        <is>
          <t>1030</t>
        </is>
      </c>
      <c r="J1033" s="4"/>
      <c r="K1033" s="2">
        <v>10</v>
      </c>
      <c r="L1033" s="6"/>
      <c r="M1033" s="2" t="str">
        <f>IF(J1033="",ROUND(I1033*(1-IF(ISBLANK(L1033),K1033,L1033)/100),2),ROUND(J1033*(1-IF(ISBLANK(L1033),K1033,L1033)/100),2))</f>
      </c>
      <c r="N1033" s="7" t="str">
        <f>IF(NOT(AND(J1033="",L1033="")),IF(OR(AND(L1033&lt;&gt;"",NOT(ISNUMBER(L1033))),IFERROR(MOD(L1033,1),1)&gt;0,AND(ISNUMBER(L1033),OR(L1033&lt;0,L1033&gt;95))),"Введите целое число от 0 до 95",IF(OR(AND(J1033&lt;&gt;"",NOT(ISNUMBER(J1033))),IFERROR(MOD(J1033,1),1)&gt;0,AND(ISNUMBER(J1033),OR(J1033&lt;50,J1033&gt;20000000))),"Введите целое число от 50 до 20000000",IF(NOT(ABS(IFERROR(VALUE(LEFT(M1033,FIND("-",M1033)-1)),M1033)*100-(5000+2000000000)/2)&lt;=ABS(5000-2000000000)/2),"Цена со скидкой должна быть от 50 до 20000000",IF(IFERROR(VALUE(LEFT(M1033,FIND("-",M1033)-1)),M1033)*229&lt;92700,"Вы уменьшили цену в несколько раз, товар попадет в карантин цен","")))),"")</f>
      </c>
    </row>
    <row r="1034">
      <c r="A1034" s="2" t="inlineStr">
        <is>
          <t>CuteShop</t>
        </is>
      </c>
      <c r="B1034" s="2" t="inlineStr">
        <is>
          <t>Держатели для пустышек</t>
        </is>
      </c>
      <c r="C1034" s="2">
        <v>172165885</v>
      </c>
      <c r="D1034" s="2" t="inlineStr">
        <is>
          <t>ArianaZhiraf2</t>
        </is>
      </c>
      <c r="E1034" s="2" t="inlineStr">
        <is>
          <t>2038301597132</t>
        </is>
      </c>
      <c r="F1034" s="2">
        <v>0</v>
      </c>
      <c r="G1034" s="2">
        <v>0</v>
      </c>
      <c r="H1034" s="2" t="inlineStr">
        <is>
          <t/>
        </is>
      </c>
      <c r="I1034" s="2" t="inlineStr">
        <is>
          <t>1030</t>
        </is>
      </c>
      <c r="J1034" s="4"/>
      <c r="K1034" s="2">
        <v>10</v>
      </c>
      <c r="L1034" s="6"/>
      <c r="M1034" s="2" t="str">
        <f>IF(J1034="",ROUND(I1034*(1-IF(ISBLANK(L1034),K1034,L1034)/100),2),ROUND(J1034*(1-IF(ISBLANK(L1034),K1034,L1034)/100),2))</f>
      </c>
      <c r="N1034" s="7" t="str">
        <f>IF(NOT(AND(J1034="",L1034="")),IF(OR(AND(L1034&lt;&gt;"",NOT(ISNUMBER(L1034))),IFERROR(MOD(L1034,1),1)&gt;0,AND(ISNUMBER(L1034),OR(L1034&lt;0,L1034&gt;95))),"Введите целое число от 0 до 95",IF(OR(AND(J1034&lt;&gt;"",NOT(ISNUMBER(J1034))),IFERROR(MOD(J1034,1),1)&gt;0,AND(ISNUMBER(J1034),OR(J1034&lt;50,J1034&gt;20000000))),"Введите целое число от 50 до 20000000",IF(NOT(ABS(IFERROR(VALUE(LEFT(M1034,FIND("-",M1034)-1)),M1034)*100-(5000+2000000000)/2)&lt;=ABS(5000-2000000000)/2),"Цена со скидкой должна быть от 50 до 20000000",IF(IFERROR(VALUE(LEFT(M1034,FIND("-",M1034)-1)),M1034)*229&lt;92700,"Вы уменьшили цену в несколько раз, товар попадет в карантин цен","")))),"")</f>
      </c>
    </row>
    <row r="1035">
      <c r="A1035" s="2" t="inlineStr">
        <is>
          <t>CuteShop</t>
        </is>
      </c>
      <c r="B1035" s="2" t="inlineStr">
        <is>
          <t>Держатели для пустышек</t>
        </is>
      </c>
      <c r="C1035" s="2">
        <v>145513928</v>
      </c>
      <c r="D1035" s="2" t="inlineStr">
        <is>
          <t>AlinaBG1</t>
        </is>
      </c>
      <c r="E1035" s="2" t="inlineStr">
        <is>
          <t>2037442206132</t>
        </is>
      </c>
      <c r="F1035" s="2">
        <v>0</v>
      </c>
      <c r="G1035" s="2">
        <v>1</v>
      </c>
      <c r="H1035" s="2" t="inlineStr">
        <is>
          <t/>
        </is>
      </c>
      <c r="I1035" s="2" t="inlineStr">
        <is>
          <t>790</t>
        </is>
      </c>
      <c r="J1035" s="4"/>
      <c r="K1035" s="2">
        <v>10</v>
      </c>
      <c r="L1035" s="6"/>
      <c r="M1035" s="2" t="str">
        <f>IF(J1035="",ROUND(I1035*(1-IF(ISBLANK(L1035),K1035,L1035)/100),2),ROUND(J1035*(1-IF(ISBLANK(L1035),K1035,L1035)/100),2))</f>
      </c>
      <c r="N1035" s="7" t="str">
        <f>IF(NOT(AND(J1035="",L1035="")),IF(OR(AND(L1035&lt;&gt;"",NOT(ISNUMBER(L1035))),IFERROR(MOD(L1035,1),1)&gt;0,AND(ISNUMBER(L1035),OR(L1035&lt;0,L1035&gt;95))),"Введите целое число от 0 до 95",IF(OR(AND(J1035&lt;&gt;"",NOT(ISNUMBER(J1035))),IFERROR(MOD(J1035,1),1)&gt;0,AND(ISNUMBER(J1035),OR(J1035&lt;50,J1035&gt;20000000))),"Введите целое число от 50 до 20000000",IF(NOT(ABS(IFERROR(VALUE(LEFT(M1035,FIND("-",M1035)-1)),M1035)*100-(5000+2000000000)/2)&lt;=ABS(5000-2000000000)/2),"Цена со скидкой должна быть от 50 до 20000000",IF(IFERROR(VALUE(LEFT(M1035,FIND("-",M1035)-1)),M1035)*229&lt;71100,"Вы уменьшили цену в несколько раз, товар попадет в карантин цен","")))),"")</f>
      </c>
    </row>
    <row r="1036">
      <c r="A1036" s="2" t="inlineStr">
        <is>
          <t>CuteShop</t>
        </is>
      </c>
      <c r="B1036" s="2" t="inlineStr">
        <is>
          <t>Держатели для пустышек</t>
        </is>
      </c>
      <c r="C1036" s="2">
        <v>173344922</v>
      </c>
      <c r="D1036" s="2" t="inlineStr">
        <is>
          <t>AdelBel</t>
        </is>
      </c>
      <c r="E1036" s="2" t="inlineStr">
        <is>
          <t>2038381438646</t>
        </is>
      </c>
      <c r="F1036" s="2">
        <v>0</v>
      </c>
      <c r="G1036" s="2">
        <v>0</v>
      </c>
      <c r="H1036" s="2">
        <v>0</v>
      </c>
      <c r="I1036" s="2" t="inlineStr">
        <is>
          <t>1030</t>
        </is>
      </c>
      <c r="J1036" s="4"/>
      <c r="K1036" s="2">
        <v>10</v>
      </c>
      <c r="L1036" s="6"/>
      <c r="M1036" s="2" t="str">
        <f>IF(J1036="",ROUND(I1036*(1-IF(ISBLANK(L1036),K1036,L1036)/100),2),ROUND(J1036*(1-IF(ISBLANK(L1036),K1036,L1036)/100),2))</f>
      </c>
      <c r="N1036" s="7" t="str">
        <f>IF(NOT(AND(J1036="",L1036="")),IF(OR(AND(L1036&lt;&gt;"",NOT(ISNUMBER(L1036))),IFERROR(MOD(L1036,1),1)&gt;0,AND(ISNUMBER(L1036),OR(L1036&lt;0,L1036&gt;95))),"Введите целое число от 0 до 95",IF(OR(AND(J1036&lt;&gt;"",NOT(ISNUMBER(J1036))),IFERROR(MOD(J1036,1),1)&gt;0,AND(ISNUMBER(J1036),OR(J1036&lt;50,J1036&gt;20000000))),"Введите целое число от 50 до 20000000",IF(NOT(ABS(IFERROR(VALUE(LEFT(M1036,FIND("-",M1036)-1)),M1036)*100-(5000+2000000000)/2)&lt;=ABS(5000-2000000000)/2),"Цена со скидкой должна быть от 50 до 20000000",IF(IFERROR(VALUE(LEFT(M1036,FIND("-",M1036)-1)),M1036)*229&lt;92700,"Вы уменьшили цену в несколько раз, товар попадет в карантин цен","")))),"")</f>
      </c>
    </row>
    <row r="1037">
      <c r="A1037" s="2" t="inlineStr">
        <is>
          <t>CuteShop</t>
        </is>
      </c>
      <c r="B1037" s="2" t="inlineStr">
        <is>
          <t>Держатели для пустышек</t>
        </is>
      </c>
      <c r="C1037" s="2">
        <v>112371119</v>
      </c>
      <c r="D1037" s="2" t="inlineStr">
        <is>
          <t>SenyaBG</t>
        </is>
      </c>
      <c r="E1037" s="2" t="inlineStr">
        <is>
          <t>2038782683621</t>
        </is>
      </c>
      <c r="F1037" s="2">
        <v>0</v>
      </c>
      <c r="G1037" s="2">
        <v>0</v>
      </c>
      <c r="H1037" s="2">
        <v>0</v>
      </c>
      <c r="I1037" s="2" t="inlineStr">
        <is>
          <t>790</t>
        </is>
      </c>
      <c r="J1037" s="4"/>
      <c r="K1037" s="2">
        <v>10</v>
      </c>
      <c r="L1037" s="6"/>
      <c r="M1037" s="2" t="str">
        <f>IF(J1037="",ROUND(I1037*(1-IF(ISBLANK(L1037),K1037,L1037)/100),2),ROUND(J1037*(1-IF(ISBLANK(L1037),K1037,L1037)/100),2))</f>
      </c>
      <c r="N1037" s="7" t="str">
        <f>IF(NOT(AND(J1037="",L1037="")),IF(OR(AND(L1037&lt;&gt;"",NOT(ISNUMBER(L1037))),IFERROR(MOD(L1037,1),1)&gt;0,AND(ISNUMBER(L1037),OR(L1037&lt;0,L1037&gt;95))),"Введите целое число от 0 до 95",IF(OR(AND(J1037&lt;&gt;"",NOT(ISNUMBER(J1037))),IFERROR(MOD(J1037,1),1)&gt;0,AND(ISNUMBER(J1037),OR(J1037&lt;50,J1037&gt;20000000))),"Введите целое число от 50 до 20000000",IF(NOT(ABS(IFERROR(VALUE(LEFT(M1037,FIND("-",M1037)-1)),M1037)*100-(5000+2000000000)/2)&lt;=ABS(5000-2000000000)/2),"Цена со скидкой должна быть от 50 до 20000000",IF(IFERROR(VALUE(LEFT(M1037,FIND("-",M1037)-1)),M1037)*229&lt;71100,"Вы уменьшили цену в несколько раз, товар попадет в карантин цен","")))),"")</f>
      </c>
    </row>
    <row r="1038">
      <c r="A1038" s="2" t="inlineStr">
        <is>
          <t>CuteShop</t>
        </is>
      </c>
      <c r="B1038" s="2" t="inlineStr">
        <is>
          <t>Держатели для пустышек</t>
        </is>
      </c>
      <c r="C1038" s="2">
        <v>183439093</v>
      </c>
      <c r="D1038" s="2" t="inlineStr">
        <is>
          <t>StasBG</t>
        </is>
      </c>
      <c r="E1038" s="2" t="inlineStr">
        <is>
          <t>2038824591389</t>
        </is>
      </c>
      <c r="F1038" s="2">
        <v>0</v>
      </c>
      <c r="G1038" s="2">
        <v>1</v>
      </c>
      <c r="H1038" s="2" t="inlineStr">
        <is>
          <t/>
        </is>
      </c>
      <c r="I1038" s="2" t="inlineStr">
        <is>
          <t>790</t>
        </is>
      </c>
      <c r="J1038" s="4"/>
      <c r="K1038" s="2">
        <v>10</v>
      </c>
      <c r="L1038" s="6"/>
      <c r="M1038" s="2" t="str">
        <f>IF(J1038="",ROUND(I1038*(1-IF(ISBLANK(L1038),K1038,L1038)/100),2),ROUND(J1038*(1-IF(ISBLANK(L1038),K1038,L1038)/100),2))</f>
      </c>
      <c r="N1038" s="7" t="str">
        <f>IF(NOT(AND(J1038="",L1038="")),IF(OR(AND(L1038&lt;&gt;"",NOT(ISNUMBER(L1038))),IFERROR(MOD(L1038,1),1)&gt;0,AND(ISNUMBER(L1038),OR(L1038&lt;0,L1038&gt;95))),"Введите целое число от 0 до 95",IF(OR(AND(J1038&lt;&gt;"",NOT(ISNUMBER(J1038))),IFERROR(MOD(J1038,1),1)&gt;0,AND(ISNUMBER(J1038),OR(J1038&lt;50,J1038&gt;20000000))),"Введите целое число от 50 до 20000000",IF(NOT(ABS(IFERROR(VALUE(LEFT(M1038,FIND("-",M1038)-1)),M1038)*100-(5000+2000000000)/2)&lt;=ABS(5000-2000000000)/2),"Цена со скидкой должна быть от 50 до 20000000",IF(IFERROR(VALUE(LEFT(M1038,FIND("-",M1038)-1)),M1038)*229&lt;71100,"Вы уменьшили цену в несколько раз, товар попадет в карантин цен","")))),"")</f>
      </c>
    </row>
    <row r="1039">
      <c r="A1039" s="2" t="inlineStr">
        <is>
          <t>CuteShop</t>
        </is>
      </c>
      <c r="B1039" s="2" t="inlineStr">
        <is>
          <t>Держатели для пустышек</t>
        </is>
      </c>
      <c r="C1039" s="2">
        <v>99297670</v>
      </c>
      <c r="D1039" s="2" t="inlineStr">
        <is>
          <t>AnyutaKoala</t>
        </is>
      </c>
      <c r="E1039" s="2" t="inlineStr">
        <is>
          <t>2036797073192</t>
        </is>
      </c>
      <c r="F1039" s="2">
        <v>0</v>
      </c>
      <c r="G1039" s="2">
        <v>0</v>
      </c>
      <c r="H1039" s="2">
        <v>1</v>
      </c>
      <c r="I1039" s="2" t="inlineStr">
        <is>
          <t>1030</t>
        </is>
      </c>
      <c r="J1039" s="4"/>
      <c r="K1039" s="2">
        <v>10</v>
      </c>
      <c r="L1039" s="6"/>
      <c r="M1039" s="2" t="str">
        <f>IF(J1039="",ROUND(I1039*(1-IF(ISBLANK(L1039),K1039,L1039)/100),2),ROUND(J1039*(1-IF(ISBLANK(L1039),K1039,L1039)/100),2))</f>
      </c>
      <c r="N1039" s="7" t="str">
        <f>IF(NOT(AND(J1039="",L1039="")),IF(OR(AND(L1039&lt;&gt;"",NOT(ISNUMBER(L1039))),IFERROR(MOD(L1039,1),1)&gt;0,AND(ISNUMBER(L1039),OR(L1039&lt;0,L1039&gt;95))),"Введите целое число от 0 до 95",IF(OR(AND(J1039&lt;&gt;"",NOT(ISNUMBER(J1039))),IFERROR(MOD(J1039,1),1)&gt;0,AND(ISNUMBER(J1039),OR(J1039&lt;50,J1039&gt;20000000))),"Введите целое число от 50 до 20000000",IF(NOT(ABS(IFERROR(VALUE(LEFT(M1039,FIND("-",M1039)-1)),M1039)*100-(5000+2000000000)/2)&lt;=ABS(5000-2000000000)/2),"Цена со скидкой должна быть от 50 до 20000000",IF(IFERROR(VALUE(LEFT(M1039,FIND("-",M1039)-1)),M1039)*229&lt;92700,"Вы уменьшили цену в несколько раз, товар попадет в карантин цен","")))),"")</f>
      </c>
    </row>
    <row r="1040">
      <c r="A1040" s="2" t="inlineStr">
        <is>
          <t>CuteShop</t>
        </is>
      </c>
      <c r="B1040" s="2" t="inlineStr">
        <is>
          <t>Держатели для пустышек</t>
        </is>
      </c>
      <c r="C1040" s="2">
        <v>173344920</v>
      </c>
      <c r="D1040" s="2" t="inlineStr">
        <is>
          <t>AdelBG</t>
        </is>
      </c>
      <c r="E1040" s="2" t="inlineStr">
        <is>
          <t>2038381433405</t>
        </is>
      </c>
      <c r="F1040" s="2">
        <v>0</v>
      </c>
      <c r="G1040" s="2">
        <v>0</v>
      </c>
      <c r="H1040" s="2">
        <v>0</v>
      </c>
      <c r="I1040" s="2" t="inlineStr">
        <is>
          <t>790</t>
        </is>
      </c>
      <c r="J1040" s="4"/>
      <c r="K1040" s="2">
        <v>10</v>
      </c>
      <c r="L1040" s="6"/>
      <c r="M1040" s="2" t="str">
        <f>IF(J1040="",ROUND(I1040*(1-IF(ISBLANK(L1040),K1040,L1040)/100),2),ROUND(J1040*(1-IF(ISBLANK(L1040),K1040,L1040)/100),2))</f>
      </c>
      <c r="N1040" s="7" t="str">
        <f>IF(NOT(AND(J1040="",L1040="")),IF(OR(AND(L1040&lt;&gt;"",NOT(ISNUMBER(L1040))),IFERROR(MOD(L1040,1),1)&gt;0,AND(ISNUMBER(L1040),OR(L1040&lt;0,L1040&gt;95))),"Введите целое число от 0 до 95",IF(OR(AND(J1040&lt;&gt;"",NOT(ISNUMBER(J1040))),IFERROR(MOD(J1040,1),1)&gt;0,AND(ISNUMBER(J1040),OR(J1040&lt;50,J1040&gt;20000000))),"Введите целое число от 50 до 20000000",IF(NOT(ABS(IFERROR(VALUE(LEFT(M1040,FIND("-",M1040)-1)),M1040)*100-(5000+2000000000)/2)&lt;=ABS(5000-2000000000)/2),"Цена со скидкой должна быть от 50 до 20000000",IF(IFERROR(VALUE(LEFT(M1040,FIND("-",M1040)-1)),M1040)*229&lt;71100,"Вы уменьшили цену в несколько раз, товар попадет в карантин цен","")))),"")</f>
      </c>
    </row>
    <row r="1041">
      <c r="A1041" s="2" t="inlineStr">
        <is>
          <t>CuteShop</t>
        </is>
      </c>
      <c r="B1041" s="2" t="inlineStr">
        <is>
          <t>Держатели для пустышек</t>
        </is>
      </c>
      <c r="C1041" s="2">
        <v>150867413</v>
      </c>
      <c r="D1041" s="2" t="inlineStr">
        <is>
          <t>ElzaZhiraf</t>
        </is>
      </c>
      <c r="E1041" s="2" t="inlineStr">
        <is>
          <t>2037585335201</t>
        </is>
      </c>
      <c r="F1041" s="2">
        <v>0</v>
      </c>
      <c r="G1041" s="2">
        <v>0</v>
      </c>
      <c r="H1041" s="2" t="inlineStr">
        <is>
          <t/>
        </is>
      </c>
      <c r="I1041" s="2" t="inlineStr">
        <is>
          <t>1030</t>
        </is>
      </c>
      <c r="J1041" s="4"/>
      <c r="K1041" s="2">
        <v>10</v>
      </c>
      <c r="L1041" s="6"/>
      <c r="M1041" s="2" t="str">
        <f>IF(J1041="",ROUND(I1041*(1-IF(ISBLANK(L1041),K1041,L1041)/100),2),ROUND(J1041*(1-IF(ISBLANK(L1041),K1041,L1041)/100),2))</f>
      </c>
      <c r="N1041" s="7" t="str">
        <f>IF(NOT(AND(J1041="",L1041="")),IF(OR(AND(L1041&lt;&gt;"",NOT(ISNUMBER(L1041))),IFERROR(MOD(L1041,1),1)&gt;0,AND(ISNUMBER(L1041),OR(L1041&lt;0,L1041&gt;95))),"Введите целое число от 0 до 95",IF(OR(AND(J1041&lt;&gt;"",NOT(ISNUMBER(J1041))),IFERROR(MOD(J1041,1),1)&gt;0,AND(ISNUMBER(J1041),OR(J1041&lt;50,J1041&gt;20000000))),"Введите целое число от 50 до 20000000",IF(NOT(ABS(IFERROR(VALUE(LEFT(M1041,FIND("-",M1041)-1)),M1041)*100-(5000+2000000000)/2)&lt;=ABS(5000-2000000000)/2),"Цена со скидкой должна быть от 50 до 20000000",IF(IFERROR(VALUE(LEFT(M1041,FIND("-",M1041)-1)),M1041)*229&lt;92700,"Вы уменьшили цену в несколько раз, товар попадет в карантин цен","")))),"")</f>
      </c>
    </row>
    <row r="1042">
      <c r="A1042" s="2" t="inlineStr">
        <is>
          <t>CuteShop</t>
        </is>
      </c>
      <c r="B1042" s="2" t="inlineStr">
        <is>
          <t>Держатели для пустышек</t>
        </is>
      </c>
      <c r="C1042" s="2">
        <v>179068949</v>
      </c>
      <c r="D1042" s="2" t="inlineStr">
        <is>
          <t>KatenkaBG</t>
        </is>
      </c>
      <c r="E1042" s="2" t="inlineStr">
        <is>
          <t>2038691465660</t>
        </is>
      </c>
      <c r="F1042" s="2">
        <v>0</v>
      </c>
      <c r="G1042" s="2">
        <v>1</v>
      </c>
      <c r="H1042" s="2">
        <v>0</v>
      </c>
      <c r="I1042" s="2" t="inlineStr">
        <is>
          <t>790</t>
        </is>
      </c>
      <c r="J1042" s="4"/>
      <c r="K1042" s="2">
        <v>10</v>
      </c>
      <c r="L1042" s="6"/>
      <c r="M1042" s="2" t="str">
        <f>IF(J1042="",ROUND(I1042*(1-IF(ISBLANK(L1042),K1042,L1042)/100),2),ROUND(J1042*(1-IF(ISBLANK(L1042),K1042,L1042)/100),2))</f>
      </c>
      <c r="N1042" s="7" t="str">
        <f>IF(NOT(AND(J1042="",L1042="")),IF(OR(AND(L1042&lt;&gt;"",NOT(ISNUMBER(L1042))),IFERROR(MOD(L1042,1),1)&gt;0,AND(ISNUMBER(L1042),OR(L1042&lt;0,L1042&gt;95))),"Введите целое число от 0 до 95",IF(OR(AND(J1042&lt;&gt;"",NOT(ISNUMBER(J1042))),IFERROR(MOD(J1042,1),1)&gt;0,AND(ISNUMBER(J1042),OR(J1042&lt;50,J1042&gt;20000000))),"Введите целое число от 50 до 20000000",IF(NOT(ABS(IFERROR(VALUE(LEFT(M1042,FIND("-",M1042)-1)),M1042)*100-(5000+2000000000)/2)&lt;=ABS(5000-2000000000)/2),"Цена со скидкой должна быть от 50 до 20000000",IF(IFERROR(VALUE(LEFT(M1042,FIND("-",M1042)-1)),M1042)*229&lt;71100,"Вы уменьшили цену в несколько раз, товар попадет в карантин цен","")))),"")</f>
      </c>
    </row>
    <row r="1043">
      <c r="A1043" s="2" t="inlineStr">
        <is>
          <t>CuteShop</t>
        </is>
      </c>
      <c r="B1043" s="2" t="inlineStr">
        <is>
          <t>Держатели для пустышек</t>
        </is>
      </c>
      <c r="C1043" s="2">
        <v>269141970</v>
      </c>
      <c r="D1043" s="2" t="inlineStr">
        <is>
          <t>YuliyaZay</t>
        </is>
      </c>
      <c r="E1043" s="2" t="inlineStr">
        <is>
          <t>2041429645111</t>
        </is>
      </c>
      <c r="F1043" s="2">
        <v>0</v>
      </c>
      <c r="G1043" s="2">
        <v>1</v>
      </c>
      <c r="H1043" s="2" t="inlineStr">
        <is>
          <t/>
        </is>
      </c>
      <c r="I1043" s="2" t="inlineStr">
        <is>
          <t>1030</t>
        </is>
      </c>
      <c r="J1043" s="4"/>
      <c r="K1043" s="2">
        <v>10</v>
      </c>
      <c r="L1043" s="6"/>
      <c r="M1043" s="2" t="str">
        <f>IF(J1043="",ROUND(I1043*(1-IF(ISBLANK(L1043),K1043,L1043)/100),2),ROUND(J1043*(1-IF(ISBLANK(L1043),K1043,L1043)/100),2))</f>
      </c>
      <c r="N1043" s="7" t="str">
        <f>IF(NOT(AND(J1043="",L1043="")),IF(OR(AND(L1043&lt;&gt;"",NOT(ISNUMBER(L1043))),IFERROR(MOD(L1043,1),1)&gt;0,AND(ISNUMBER(L1043),OR(L1043&lt;0,L1043&gt;95))),"Введите целое число от 0 до 95",IF(OR(AND(J1043&lt;&gt;"",NOT(ISNUMBER(J1043))),IFERROR(MOD(J1043,1),1)&gt;0,AND(ISNUMBER(J1043),OR(J1043&lt;50,J1043&gt;20000000))),"Введите целое число от 50 до 20000000",IF(NOT(ABS(IFERROR(VALUE(LEFT(M1043,FIND("-",M1043)-1)),M1043)*100-(5000+2000000000)/2)&lt;=ABS(5000-2000000000)/2),"Цена со скидкой должна быть от 50 до 20000000",IF(IFERROR(VALUE(LEFT(M1043,FIND("-",M1043)-1)),M1043)*229&lt;92700,"Вы уменьшили цену в несколько раз, товар попадет в карантин цен","")))),"")</f>
      </c>
    </row>
    <row r="1044">
      <c r="A1044" s="2" t="inlineStr">
        <is>
          <t>CuteShop</t>
        </is>
      </c>
      <c r="B1044" s="2" t="inlineStr">
        <is>
          <t>Держатели для пустышек</t>
        </is>
      </c>
      <c r="C1044" s="2">
        <v>179851861</v>
      </c>
      <c r="D1044" s="2" t="inlineStr">
        <is>
          <t>AmirMish</t>
        </is>
      </c>
      <c r="E1044" s="2" t="inlineStr">
        <is>
          <t>2038716191444</t>
        </is>
      </c>
      <c r="F1044" s="2">
        <v>0</v>
      </c>
      <c r="G1044" s="2">
        <v>1</v>
      </c>
      <c r="H1044" s="2" t="inlineStr">
        <is>
          <t/>
        </is>
      </c>
      <c r="I1044" s="2" t="inlineStr">
        <is>
          <t>1030</t>
        </is>
      </c>
      <c r="J1044" s="4"/>
      <c r="K1044" s="2">
        <v>10</v>
      </c>
      <c r="L1044" s="6"/>
      <c r="M1044" s="2" t="str">
        <f>IF(J1044="",ROUND(I1044*(1-IF(ISBLANK(L1044),K1044,L1044)/100),2),ROUND(J1044*(1-IF(ISBLANK(L1044),K1044,L1044)/100),2))</f>
      </c>
      <c r="N1044" s="7" t="str">
        <f>IF(NOT(AND(J1044="",L1044="")),IF(OR(AND(L1044&lt;&gt;"",NOT(ISNUMBER(L1044))),IFERROR(MOD(L1044,1),1)&gt;0,AND(ISNUMBER(L1044),OR(L1044&lt;0,L1044&gt;95))),"Введите целое число от 0 до 95",IF(OR(AND(J1044&lt;&gt;"",NOT(ISNUMBER(J1044))),IFERROR(MOD(J1044,1),1)&gt;0,AND(ISNUMBER(J1044),OR(J1044&lt;50,J1044&gt;20000000))),"Введите целое число от 50 до 20000000",IF(NOT(ABS(IFERROR(VALUE(LEFT(M1044,FIND("-",M1044)-1)),M1044)*100-(5000+2000000000)/2)&lt;=ABS(5000-2000000000)/2),"Цена со скидкой должна быть от 50 до 20000000",IF(IFERROR(VALUE(LEFT(M1044,FIND("-",M1044)-1)),M1044)*229&lt;92700,"Вы уменьшили цену в несколько раз, товар попадет в карантин цен","")))),"")</f>
      </c>
    </row>
    <row r="1045">
      <c r="A1045" s="2" t="inlineStr">
        <is>
          <t>CuteShop</t>
        </is>
      </c>
      <c r="B1045" s="2" t="inlineStr">
        <is>
          <t>Держатели для пустышек</t>
        </is>
      </c>
      <c r="C1045" s="2">
        <v>150476085</v>
      </c>
      <c r="D1045" s="2" t="inlineStr">
        <is>
          <t>KsyushaKsenEdin</t>
        </is>
      </c>
      <c r="E1045" s="2" t="inlineStr">
        <is>
          <t>2037574539054</t>
        </is>
      </c>
      <c r="F1045" s="2">
        <v>0</v>
      </c>
      <c r="G1045" s="2">
        <v>0</v>
      </c>
      <c r="H1045" s="2">
        <v>1</v>
      </c>
      <c r="I1045" s="2" t="inlineStr">
        <is>
          <t>1030</t>
        </is>
      </c>
      <c r="J1045" s="4"/>
      <c r="K1045" s="2">
        <v>10</v>
      </c>
      <c r="L1045" s="6"/>
      <c r="M1045" s="2" t="str">
        <f>IF(J1045="",ROUND(I1045*(1-IF(ISBLANK(L1045),K1045,L1045)/100),2),ROUND(J1045*(1-IF(ISBLANK(L1045),K1045,L1045)/100),2))</f>
      </c>
      <c r="N1045" s="7" t="str">
        <f>IF(NOT(AND(J1045="",L1045="")),IF(OR(AND(L1045&lt;&gt;"",NOT(ISNUMBER(L1045))),IFERROR(MOD(L1045,1),1)&gt;0,AND(ISNUMBER(L1045),OR(L1045&lt;0,L1045&gt;95))),"Введите целое число от 0 до 95",IF(OR(AND(J1045&lt;&gt;"",NOT(ISNUMBER(J1045))),IFERROR(MOD(J1045,1),1)&gt;0,AND(ISNUMBER(J1045),OR(J1045&lt;50,J1045&gt;20000000))),"Введите целое число от 50 до 20000000",IF(NOT(ABS(IFERROR(VALUE(LEFT(M1045,FIND("-",M1045)-1)),M1045)*100-(5000+2000000000)/2)&lt;=ABS(5000-2000000000)/2),"Цена со скидкой должна быть от 50 до 20000000",IF(IFERROR(VALUE(LEFT(M1045,FIND("-",M1045)-1)),M1045)*229&lt;92700,"Вы уменьшили цену в несколько раз, товар попадет в карантин цен","")))),"")</f>
      </c>
    </row>
    <row r="1046">
      <c r="A1046" s="2" t="inlineStr">
        <is>
          <t>CuteShop</t>
        </is>
      </c>
      <c r="B1046" s="2" t="inlineStr">
        <is>
          <t>Держатели для пустышек</t>
        </is>
      </c>
      <c r="C1046" s="2">
        <v>269141971</v>
      </c>
      <c r="D1046" s="2" t="inlineStr">
        <is>
          <t>YuliyaLis</t>
        </is>
      </c>
      <c r="E1046" s="2" t="inlineStr">
        <is>
          <t>2041429647276</t>
        </is>
      </c>
      <c r="F1046" s="2">
        <v>0</v>
      </c>
      <c r="G1046" s="2">
        <v>0</v>
      </c>
      <c r="H1046" s="2" t="inlineStr">
        <is>
          <t/>
        </is>
      </c>
      <c r="I1046" s="2" t="inlineStr">
        <is>
          <t>1030</t>
        </is>
      </c>
      <c r="J1046" s="4"/>
      <c r="K1046" s="2">
        <v>10</v>
      </c>
      <c r="L1046" s="6"/>
      <c r="M1046" s="2" t="str">
        <f>IF(J1046="",ROUND(I1046*(1-IF(ISBLANK(L1046),K1046,L1046)/100),2),ROUND(J1046*(1-IF(ISBLANK(L1046),K1046,L1046)/100),2))</f>
      </c>
      <c r="N1046" s="7" t="str">
        <f>IF(NOT(AND(J1046="",L1046="")),IF(OR(AND(L1046&lt;&gt;"",NOT(ISNUMBER(L1046))),IFERROR(MOD(L1046,1),1)&gt;0,AND(ISNUMBER(L1046),OR(L1046&lt;0,L1046&gt;95))),"Введите целое число от 0 до 95",IF(OR(AND(J1046&lt;&gt;"",NOT(ISNUMBER(J1046))),IFERROR(MOD(J1046,1),1)&gt;0,AND(ISNUMBER(J1046),OR(J1046&lt;50,J1046&gt;20000000))),"Введите целое число от 50 до 20000000",IF(NOT(ABS(IFERROR(VALUE(LEFT(M1046,FIND("-",M1046)-1)),M1046)*100-(5000+2000000000)/2)&lt;=ABS(5000-2000000000)/2),"Цена со скидкой должна быть от 50 до 20000000",IF(IFERROR(VALUE(LEFT(M1046,FIND("-",M1046)-1)),M1046)*229&lt;92700,"Вы уменьшили цену в несколько раз, товар попадет в карантин цен","")))),"")</f>
      </c>
    </row>
    <row r="1047">
      <c r="A1047" s="2" t="inlineStr">
        <is>
          <t>CuteShop</t>
        </is>
      </c>
      <c r="B1047" s="2" t="inlineStr">
        <is>
          <t>Держатели для пустышек</t>
        </is>
      </c>
      <c r="C1047" s="2">
        <v>173344232</v>
      </c>
      <c r="D1047" s="2" t="inlineStr">
        <is>
          <t>AdelinaEdin</t>
        </is>
      </c>
      <c r="E1047" s="2" t="inlineStr">
        <is>
          <t>2038381416309</t>
        </is>
      </c>
      <c r="F1047" s="2">
        <v>0</v>
      </c>
      <c r="G1047" s="2">
        <v>0</v>
      </c>
      <c r="H1047" s="2" t="inlineStr">
        <is>
          <t/>
        </is>
      </c>
      <c r="I1047" s="2" t="inlineStr">
        <is>
          <t>1030</t>
        </is>
      </c>
      <c r="J1047" s="4"/>
      <c r="K1047" s="2">
        <v>10</v>
      </c>
      <c r="L1047" s="6"/>
      <c r="M1047" s="2" t="str">
        <f>IF(J1047="",ROUND(I1047*(1-IF(ISBLANK(L1047),K1047,L1047)/100),2),ROUND(J1047*(1-IF(ISBLANK(L1047),K1047,L1047)/100),2))</f>
      </c>
      <c r="N1047" s="7" t="str">
        <f>IF(NOT(AND(J1047="",L1047="")),IF(OR(AND(L1047&lt;&gt;"",NOT(ISNUMBER(L1047))),IFERROR(MOD(L1047,1),1)&gt;0,AND(ISNUMBER(L1047),OR(L1047&lt;0,L1047&gt;95))),"Введите целое число от 0 до 95",IF(OR(AND(J1047&lt;&gt;"",NOT(ISNUMBER(J1047))),IFERROR(MOD(J1047,1),1)&gt;0,AND(ISNUMBER(J1047),OR(J1047&lt;50,J1047&gt;20000000))),"Введите целое число от 50 до 20000000",IF(NOT(ABS(IFERROR(VALUE(LEFT(M1047,FIND("-",M1047)-1)),M1047)*100-(5000+2000000000)/2)&lt;=ABS(5000-2000000000)/2),"Цена со скидкой должна быть от 50 до 20000000",IF(IFERROR(VALUE(LEFT(M1047,FIND("-",M1047)-1)),M1047)*229&lt;92700,"Вы уменьшили цену в несколько раз, товар попадет в карантин цен","")))),"")</f>
      </c>
    </row>
    <row r="1048">
      <c r="A1048" s="2" t="inlineStr">
        <is>
          <t>CuteShop</t>
        </is>
      </c>
      <c r="B1048" s="2" t="inlineStr">
        <is>
          <t>Держатели для пустышек</t>
        </is>
      </c>
      <c r="C1048" s="2">
        <v>372146195</v>
      </c>
      <c r="D1048" s="2" t="inlineStr">
        <is>
          <t>SerezhaMash</t>
        </is>
      </c>
      <c r="E1048" s="2" t="inlineStr">
        <is>
          <t>2043390885428</t>
        </is>
      </c>
      <c r="F1048" s="2">
        <v>0</v>
      </c>
      <c r="G1048" s="2">
        <v>1</v>
      </c>
      <c r="H1048" s="2" t="inlineStr">
        <is>
          <t/>
        </is>
      </c>
      <c r="I1048" s="2" t="inlineStr">
        <is>
          <t>1030</t>
        </is>
      </c>
      <c r="J1048" s="4"/>
      <c r="K1048" s="2">
        <v>10</v>
      </c>
      <c r="L1048" s="6"/>
      <c r="M1048" s="2" t="str">
        <f>IF(J1048="",ROUND(I1048*(1-IF(ISBLANK(L1048),K1048,L1048)/100),2),ROUND(J1048*(1-IF(ISBLANK(L1048),K1048,L1048)/100),2))</f>
      </c>
      <c r="N1048" s="7" t="str">
        <f>IF(NOT(AND(J1048="",L1048="")),IF(OR(AND(L1048&lt;&gt;"",NOT(ISNUMBER(L1048))),IFERROR(MOD(L1048,1),1)&gt;0,AND(ISNUMBER(L1048),OR(L1048&lt;0,L1048&gt;95))),"Введите целое число от 0 до 95",IF(OR(AND(J1048&lt;&gt;"",NOT(ISNUMBER(J1048))),IFERROR(MOD(J1048,1),1)&gt;0,AND(ISNUMBER(J1048),OR(J1048&lt;50,J1048&gt;20000000))),"Введите целое число от 50 до 20000000",IF(NOT(ABS(IFERROR(VALUE(LEFT(M1048,FIND("-",M1048)-1)),M1048)*100-(5000+2000000000)/2)&lt;=ABS(5000-2000000000)/2),"Цена со скидкой должна быть от 50 до 20000000",IF(IFERROR(VALUE(LEFT(M1048,FIND("-",M1048)-1)),M1048)*229&lt;92700,"Вы уменьшили цену в несколько раз, товар попадет в карантин цен","")))),"")</f>
      </c>
    </row>
    <row r="1049">
      <c r="A1049" s="2" t="inlineStr">
        <is>
          <t>CuteShop</t>
        </is>
      </c>
      <c r="B1049" s="2" t="inlineStr">
        <is>
          <t>Держатели для пустышек</t>
        </is>
      </c>
      <c r="C1049" s="2">
        <v>111033747</v>
      </c>
      <c r="D1049" s="2" t="inlineStr">
        <is>
          <t>AgataBG</t>
        </is>
      </c>
      <c r="E1049" s="2" t="inlineStr">
        <is>
          <t>2037468642624</t>
        </is>
      </c>
      <c r="F1049" s="2">
        <v>0</v>
      </c>
      <c r="G1049" s="2">
        <v>1</v>
      </c>
      <c r="H1049" s="2">
        <v>1</v>
      </c>
      <c r="I1049" s="2" t="inlineStr">
        <is>
          <t>790</t>
        </is>
      </c>
      <c r="J1049" s="4"/>
      <c r="K1049" s="2">
        <v>10</v>
      </c>
      <c r="L1049" s="6"/>
      <c r="M1049" s="2" t="str">
        <f>IF(J1049="",ROUND(I1049*(1-IF(ISBLANK(L1049),K1049,L1049)/100),2),ROUND(J1049*(1-IF(ISBLANK(L1049),K1049,L1049)/100),2))</f>
      </c>
      <c r="N1049" s="7" t="str">
        <f>IF(NOT(AND(J1049="",L1049="")),IF(OR(AND(L1049&lt;&gt;"",NOT(ISNUMBER(L1049))),IFERROR(MOD(L1049,1),1)&gt;0,AND(ISNUMBER(L1049),OR(L1049&lt;0,L1049&gt;95))),"Введите целое число от 0 до 95",IF(OR(AND(J1049&lt;&gt;"",NOT(ISNUMBER(J1049))),IFERROR(MOD(J1049,1),1)&gt;0,AND(ISNUMBER(J1049),OR(J1049&lt;50,J1049&gt;20000000))),"Введите целое число от 50 до 20000000",IF(NOT(ABS(IFERROR(VALUE(LEFT(M1049,FIND("-",M1049)-1)),M1049)*100-(5000+2000000000)/2)&lt;=ABS(5000-2000000000)/2),"Цена со скидкой должна быть от 50 до 20000000",IF(IFERROR(VALUE(LEFT(M1049,FIND("-",M1049)-1)),M1049)*229&lt;71100,"Вы уменьшили цену в несколько раз, товар попадет в карантин цен","")))),"")</f>
      </c>
    </row>
    <row r="1050">
      <c r="A1050" s="2" t="inlineStr">
        <is>
          <t>CuteShop</t>
        </is>
      </c>
      <c r="B1050" s="2" t="inlineStr">
        <is>
          <t>Держатели для пустышек</t>
        </is>
      </c>
      <c r="C1050" s="2">
        <v>153128429</v>
      </c>
      <c r="D1050" s="2" t="inlineStr">
        <is>
          <t>RenatBG2</t>
        </is>
      </c>
      <c r="E1050" s="2" t="inlineStr">
        <is>
          <t>2037628419998</t>
        </is>
      </c>
      <c r="F1050" s="2">
        <v>0</v>
      </c>
      <c r="G1050" s="2">
        <v>1</v>
      </c>
      <c r="H1050" s="2">
        <v>0</v>
      </c>
      <c r="I1050" s="2" t="inlineStr">
        <is>
          <t>790</t>
        </is>
      </c>
      <c r="J1050" s="4"/>
      <c r="K1050" s="2">
        <v>10</v>
      </c>
      <c r="L1050" s="6"/>
      <c r="M1050" s="2" t="str">
        <f>IF(J1050="",ROUND(I1050*(1-IF(ISBLANK(L1050),K1050,L1050)/100),2),ROUND(J1050*(1-IF(ISBLANK(L1050),K1050,L1050)/100),2))</f>
      </c>
      <c r="N1050" s="7" t="str">
        <f>IF(NOT(AND(J1050="",L1050="")),IF(OR(AND(L1050&lt;&gt;"",NOT(ISNUMBER(L1050))),IFERROR(MOD(L1050,1),1)&gt;0,AND(ISNUMBER(L1050),OR(L1050&lt;0,L1050&gt;95))),"Введите целое число от 0 до 95",IF(OR(AND(J1050&lt;&gt;"",NOT(ISNUMBER(J1050))),IFERROR(MOD(J1050,1),1)&gt;0,AND(ISNUMBER(J1050),OR(J1050&lt;50,J1050&gt;20000000))),"Введите целое число от 50 до 20000000",IF(NOT(ABS(IFERROR(VALUE(LEFT(M1050,FIND("-",M1050)-1)),M1050)*100-(5000+2000000000)/2)&lt;=ABS(5000-2000000000)/2),"Цена со скидкой должна быть от 50 до 20000000",IF(IFERROR(VALUE(LEFT(M1050,FIND("-",M1050)-1)),M1050)*229&lt;71100,"Вы уменьшили цену в несколько раз, товар попадет в карантин цен","")))),"")</f>
      </c>
    </row>
    <row r="1051">
      <c r="A1051" s="2" t="inlineStr">
        <is>
          <t>CuteShop</t>
        </is>
      </c>
      <c r="B1051" s="2" t="inlineStr">
        <is>
          <t>Держатели для пустышек</t>
        </is>
      </c>
      <c r="C1051" s="2">
        <v>150925916</v>
      </c>
      <c r="D1051" s="2" t="inlineStr">
        <is>
          <t>NastenkaBG</t>
        </is>
      </c>
      <c r="E1051" s="2" t="inlineStr">
        <is>
          <t>2037587728629</t>
        </is>
      </c>
      <c r="F1051" s="2">
        <v>0</v>
      </c>
      <c r="G1051" s="2">
        <v>1</v>
      </c>
      <c r="H1051" s="2">
        <v>1</v>
      </c>
      <c r="I1051" s="2" t="inlineStr">
        <is>
          <t>790</t>
        </is>
      </c>
      <c r="J1051" s="4"/>
      <c r="K1051" s="2">
        <v>10</v>
      </c>
      <c r="L1051" s="6"/>
      <c r="M1051" s="2" t="str">
        <f>IF(J1051="",ROUND(I1051*(1-IF(ISBLANK(L1051),K1051,L1051)/100),2),ROUND(J1051*(1-IF(ISBLANK(L1051),K1051,L1051)/100),2))</f>
      </c>
      <c r="N1051" s="7" t="str">
        <f>IF(NOT(AND(J1051="",L1051="")),IF(OR(AND(L1051&lt;&gt;"",NOT(ISNUMBER(L1051))),IFERROR(MOD(L1051,1),1)&gt;0,AND(ISNUMBER(L1051),OR(L1051&lt;0,L1051&gt;95))),"Введите целое число от 0 до 95",IF(OR(AND(J1051&lt;&gt;"",NOT(ISNUMBER(J1051))),IFERROR(MOD(J1051,1),1)&gt;0,AND(ISNUMBER(J1051),OR(J1051&lt;50,J1051&gt;20000000))),"Введите целое число от 50 до 20000000",IF(NOT(ABS(IFERROR(VALUE(LEFT(M1051,FIND("-",M1051)-1)),M1051)*100-(5000+2000000000)/2)&lt;=ABS(5000-2000000000)/2),"Цена со скидкой должна быть от 50 до 20000000",IF(IFERROR(VALUE(LEFT(M1051,FIND("-",M1051)-1)),M1051)*229&lt;71100,"Вы уменьшили цену в несколько раз, товар попадет в карантин цен","")))),"")</f>
      </c>
    </row>
    <row r="1052">
      <c r="A1052" s="2" t="inlineStr">
        <is>
          <t>CuteShop</t>
        </is>
      </c>
      <c r="B1052" s="2" t="inlineStr">
        <is>
          <t>Держатели для пустышек</t>
        </is>
      </c>
      <c r="C1052" s="2">
        <v>111032309</v>
      </c>
      <c r="D1052" s="2" t="inlineStr">
        <is>
          <t>VasilisaBG</t>
        </is>
      </c>
      <c r="E1052" s="2" t="inlineStr">
        <is>
          <t>2037466224624</t>
        </is>
      </c>
      <c r="F1052" s="2">
        <v>0</v>
      </c>
      <c r="G1052" s="2">
        <v>1</v>
      </c>
      <c r="H1052" s="2">
        <v>1</v>
      </c>
      <c r="I1052" s="2" t="inlineStr">
        <is>
          <t>790</t>
        </is>
      </c>
      <c r="J1052" s="4"/>
      <c r="K1052" s="2">
        <v>10</v>
      </c>
      <c r="L1052" s="6"/>
      <c r="M1052" s="2" t="str">
        <f>IF(J1052="",ROUND(I1052*(1-IF(ISBLANK(L1052),K1052,L1052)/100),2),ROUND(J1052*(1-IF(ISBLANK(L1052),K1052,L1052)/100),2))</f>
      </c>
      <c r="N1052" s="7" t="str">
        <f>IF(NOT(AND(J1052="",L1052="")),IF(OR(AND(L1052&lt;&gt;"",NOT(ISNUMBER(L1052))),IFERROR(MOD(L1052,1),1)&gt;0,AND(ISNUMBER(L1052),OR(L1052&lt;0,L1052&gt;95))),"Введите целое число от 0 до 95",IF(OR(AND(J1052&lt;&gt;"",NOT(ISNUMBER(J1052))),IFERROR(MOD(J1052,1),1)&gt;0,AND(ISNUMBER(J1052),OR(J1052&lt;50,J1052&gt;20000000))),"Введите целое число от 50 до 20000000",IF(NOT(ABS(IFERROR(VALUE(LEFT(M1052,FIND("-",M1052)-1)),M1052)*100-(5000+2000000000)/2)&lt;=ABS(5000-2000000000)/2),"Цена со скидкой должна быть от 50 до 20000000",IF(IFERROR(VALUE(LEFT(M1052,FIND("-",M1052)-1)),M1052)*229&lt;71100,"Вы уменьшили цену в несколько раз, товар попадет в карантин цен","")))),"")</f>
      </c>
    </row>
    <row r="1053">
      <c r="A1053" s="2" t="inlineStr">
        <is>
          <t>CuteShop</t>
        </is>
      </c>
      <c r="B1053" s="2" t="inlineStr">
        <is>
          <t>Держатели для пустышек</t>
        </is>
      </c>
      <c r="C1053" s="2">
        <v>150925917</v>
      </c>
      <c r="D1053" s="2" t="inlineStr">
        <is>
          <t>NastenkaMish</t>
        </is>
      </c>
      <c r="E1053" s="2" t="inlineStr">
        <is>
          <t>2037587732886</t>
        </is>
      </c>
      <c r="F1053" s="2">
        <v>0</v>
      </c>
      <c r="G1053" s="2">
        <v>1</v>
      </c>
      <c r="H1053" s="2">
        <v>1</v>
      </c>
      <c r="I1053" s="2" t="inlineStr">
        <is>
          <t>1030</t>
        </is>
      </c>
      <c r="J1053" s="4"/>
      <c r="K1053" s="2">
        <v>10</v>
      </c>
      <c r="L1053" s="6"/>
      <c r="M1053" s="2" t="str">
        <f>IF(J1053="",ROUND(I1053*(1-IF(ISBLANK(L1053),K1053,L1053)/100),2),ROUND(J1053*(1-IF(ISBLANK(L1053),K1053,L1053)/100),2))</f>
      </c>
      <c r="N1053" s="7" t="str">
        <f>IF(NOT(AND(J1053="",L1053="")),IF(OR(AND(L1053&lt;&gt;"",NOT(ISNUMBER(L1053))),IFERROR(MOD(L1053,1),1)&gt;0,AND(ISNUMBER(L1053),OR(L1053&lt;0,L1053&gt;95))),"Введите целое число от 0 до 95",IF(OR(AND(J1053&lt;&gt;"",NOT(ISNUMBER(J1053))),IFERROR(MOD(J1053,1),1)&gt;0,AND(ISNUMBER(J1053),OR(J1053&lt;50,J1053&gt;20000000))),"Введите целое число от 50 до 20000000",IF(NOT(ABS(IFERROR(VALUE(LEFT(M1053,FIND("-",M1053)-1)),M1053)*100-(5000+2000000000)/2)&lt;=ABS(5000-2000000000)/2),"Цена со скидкой должна быть от 50 до 20000000",IF(IFERROR(VALUE(LEFT(M1053,FIND("-",M1053)-1)),M1053)*229&lt;92700,"Вы уменьшили цену в несколько раз, товар попадет в карантин цен","")))),"")</f>
      </c>
    </row>
    <row r="1054">
      <c r="A1054" s="2" t="inlineStr">
        <is>
          <t>CuteShop</t>
        </is>
      </c>
      <c r="B1054" s="2" t="inlineStr">
        <is>
          <t>Держатели для пустышек</t>
        </is>
      </c>
      <c r="C1054" s="2">
        <v>111034486</v>
      </c>
      <c r="D1054" s="2" t="inlineStr">
        <is>
          <t>AleshaBG</t>
        </is>
      </c>
      <c r="E1054" s="2" t="inlineStr">
        <is>
          <t>2037469614620</t>
        </is>
      </c>
      <c r="F1054" s="2">
        <v>0</v>
      </c>
      <c r="G1054" s="2">
        <v>1</v>
      </c>
      <c r="H1054" s="2">
        <v>1</v>
      </c>
      <c r="I1054" s="2" t="inlineStr">
        <is>
          <t>790</t>
        </is>
      </c>
      <c r="J1054" s="4"/>
      <c r="K1054" s="2">
        <v>10</v>
      </c>
      <c r="L1054" s="6"/>
      <c r="M1054" s="2" t="str">
        <f>IF(J1054="",ROUND(I1054*(1-IF(ISBLANK(L1054),K1054,L1054)/100),2),ROUND(J1054*(1-IF(ISBLANK(L1054),K1054,L1054)/100),2))</f>
      </c>
      <c r="N1054" s="7" t="str">
        <f>IF(NOT(AND(J1054="",L1054="")),IF(OR(AND(L1054&lt;&gt;"",NOT(ISNUMBER(L1054))),IFERROR(MOD(L1054,1),1)&gt;0,AND(ISNUMBER(L1054),OR(L1054&lt;0,L1054&gt;95))),"Введите целое число от 0 до 95",IF(OR(AND(J1054&lt;&gt;"",NOT(ISNUMBER(J1054))),IFERROR(MOD(J1054,1),1)&gt;0,AND(ISNUMBER(J1054),OR(J1054&lt;50,J1054&gt;20000000))),"Введите целое число от 50 до 20000000",IF(NOT(ABS(IFERROR(VALUE(LEFT(M1054,FIND("-",M1054)-1)),M1054)*100-(5000+2000000000)/2)&lt;=ABS(5000-2000000000)/2),"Цена со скидкой должна быть от 50 до 20000000",IF(IFERROR(VALUE(LEFT(M1054,FIND("-",M1054)-1)),M1054)*229&lt;71100,"Вы уменьшили цену в несколько раз, товар попадет в карантин цен","")))),"")</f>
      </c>
    </row>
    <row r="1055">
      <c r="A1055" s="2" t="inlineStr">
        <is>
          <t>CuteShop</t>
        </is>
      </c>
      <c r="B1055" s="2" t="inlineStr">
        <is>
          <t>Держатели для пустышек</t>
        </is>
      </c>
      <c r="C1055" s="2">
        <v>111036552</v>
      </c>
      <c r="D1055" s="2" t="inlineStr">
        <is>
          <t>KarinaBG</t>
        </is>
      </c>
      <c r="E1055" s="2" t="inlineStr">
        <is>
          <t>2037474929627</t>
        </is>
      </c>
      <c r="F1055" s="2">
        <v>0</v>
      </c>
      <c r="G1055" s="2">
        <v>1</v>
      </c>
      <c r="H1055" s="2" t="inlineStr">
        <is>
          <t/>
        </is>
      </c>
      <c r="I1055" s="2" t="inlineStr">
        <is>
          <t>790</t>
        </is>
      </c>
      <c r="J1055" s="4"/>
      <c r="K1055" s="2">
        <v>10</v>
      </c>
      <c r="L1055" s="6"/>
      <c r="M1055" s="2" t="str">
        <f>IF(J1055="",ROUND(I1055*(1-IF(ISBLANK(L1055),K1055,L1055)/100),2),ROUND(J1055*(1-IF(ISBLANK(L1055),K1055,L1055)/100),2))</f>
      </c>
      <c r="N1055" s="7" t="str">
        <f>IF(NOT(AND(J1055="",L1055="")),IF(OR(AND(L1055&lt;&gt;"",NOT(ISNUMBER(L1055))),IFERROR(MOD(L1055,1),1)&gt;0,AND(ISNUMBER(L1055),OR(L1055&lt;0,L1055&gt;95))),"Введите целое число от 0 до 95",IF(OR(AND(J1055&lt;&gt;"",NOT(ISNUMBER(J1055))),IFERROR(MOD(J1055,1),1)&gt;0,AND(ISNUMBER(J1055),OR(J1055&lt;50,J1055&gt;20000000))),"Введите целое число от 50 до 20000000",IF(NOT(ABS(IFERROR(VALUE(LEFT(M1055,FIND("-",M1055)-1)),M1055)*100-(5000+2000000000)/2)&lt;=ABS(5000-2000000000)/2),"Цена со скидкой должна быть от 50 до 20000000",IF(IFERROR(VALUE(LEFT(M1055,FIND("-",M1055)-1)),M1055)*229&lt;71100,"Вы уменьшили цену в несколько раз, товар попадет в карантин цен","")))),"")</f>
      </c>
    </row>
    <row r="1056">
      <c r="A1056" s="2" t="inlineStr">
        <is>
          <t>CuteShop</t>
        </is>
      </c>
      <c r="B1056" s="2" t="inlineStr">
        <is>
          <t>Держатели для пустышек</t>
        </is>
      </c>
      <c r="C1056" s="2">
        <v>150476086</v>
      </c>
      <c r="D1056" s="2" t="inlineStr">
        <is>
          <t>KsyushaKsenSlon</t>
        </is>
      </c>
      <c r="E1056" s="2" t="inlineStr">
        <is>
          <t>2037574539337</t>
        </is>
      </c>
      <c r="F1056" s="2">
        <v>0</v>
      </c>
      <c r="G1056" s="2">
        <v>1</v>
      </c>
      <c r="H1056" s="2">
        <v>0</v>
      </c>
      <c r="I1056" s="2" t="inlineStr">
        <is>
          <t>1030</t>
        </is>
      </c>
      <c r="J1056" s="4"/>
      <c r="K1056" s="2">
        <v>10</v>
      </c>
      <c r="L1056" s="6"/>
      <c r="M1056" s="2" t="str">
        <f>IF(J1056="",ROUND(I1056*(1-IF(ISBLANK(L1056),K1056,L1056)/100),2),ROUND(J1056*(1-IF(ISBLANK(L1056),K1056,L1056)/100),2))</f>
      </c>
      <c r="N1056" s="7" t="str">
        <f>IF(NOT(AND(J1056="",L1056="")),IF(OR(AND(L1056&lt;&gt;"",NOT(ISNUMBER(L1056))),IFERROR(MOD(L1056,1),1)&gt;0,AND(ISNUMBER(L1056),OR(L1056&lt;0,L1056&gt;95))),"Введите целое число от 0 до 95",IF(OR(AND(J1056&lt;&gt;"",NOT(ISNUMBER(J1056))),IFERROR(MOD(J1056,1),1)&gt;0,AND(ISNUMBER(J1056),OR(J1056&lt;50,J1056&gt;20000000))),"Введите целое число от 50 до 20000000",IF(NOT(ABS(IFERROR(VALUE(LEFT(M1056,FIND("-",M1056)-1)),M1056)*100-(5000+2000000000)/2)&lt;=ABS(5000-2000000000)/2),"Цена со скидкой должна быть от 50 до 20000000",IF(IFERROR(VALUE(LEFT(M1056,FIND("-",M1056)-1)),M1056)*229&lt;92700,"Вы уменьшили цену в несколько раз, товар попадет в карантин цен","")))),"")</f>
      </c>
    </row>
    <row r="1057">
      <c r="A1057" s="2" t="inlineStr">
        <is>
          <t>CuteShop</t>
        </is>
      </c>
      <c r="B1057" s="2" t="inlineStr">
        <is>
          <t>Держатели для пустышек</t>
        </is>
      </c>
      <c r="C1057" s="2">
        <v>173478346</v>
      </c>
      <c r="D1057" s="2" t="inlineStr">
        <is>
          <t>MirushaBG</t>
        </is>
      </c>
      <c r="E1057" s="2" t="inlineStr">
        <is>
          <t>2038389715275</t>
        </is>
      </c>
      <c r="F1057" s="2">
        <v>0</v>
      </c>
      <c r="G1057" s="2">
        <v>1</v>
      </c>
      <c r="H1057" s="2">
        <v>1</v>
      </c>
      <c r="I1057" s="2" t="inlineStr">
        <is>
          <t>790</t>
        </is>
      </c>
      <c r="J1057" s="4"/>
      <c r="K1057" s="2">
        <v>10</v>
      </c>
      <c r="L1057" s="6"/>
      <c r="M1057" s="2" t="str">
        <f>IF(J1057="",ROUND(I1057*(1-IF(ISBLANK(L1057),K1057,L1057)/100),2),ROUND(J1057*(1-IF(ISBLANK(L1057),K1057,L1057)/100),2))</f>
      </c>
      <c r="N1057" s="7" t="str">
        <f>IF(NOT(AND(J1057="",L1057="")),IF(OR(AND(L1057&lt;&gt;"",NOT(ISNUMBER(L1057))),IFERROR(MOD(L1057,1),1)&gt;0,AND(ISNUMBER(L1057),OR(L1057&lt;0,L1057&gt;95))),"Введите целое число от 0 до 95",IF(OR(AND(J1057&lt;&gt;"",NOT(ISNUMBER(J1057))),IFERROR(MOD(J1057,1),1)&gt;0,AND(ISNUMBER(J1057),OR(J1057&lt;50,J1057&gt;20000000))),"Введите целое число от 50 до 20000000",IF(NOT(ABS(IFERROR(VALUE(LEFT(M1057,FIND("-",M1057)-1)),M1057)*100-(5000+2000000000)/2)&lt;=ABS(5000-2000000000)/2),"Цена со скидкой должна быть от 50 до 20000000",IF(IFERROR(VALUE(LEFT(M1057,FIND("-",M1057)-1)),M1057)*229&lt;71100,"Вы уменьшили цену в несколько раз, товар попадет в карантин цен","")))),"")</f>
      </c>
    </row>
    <row r="1058">
      <c r="A1058" s="2" t="inlineStr">
        <is>
          <t>CuteShop</t>
        </is>
      </c>
      <c r="B1058" s="2" t="inlineStr">
        <is>
          <t>Держатели для пустышек</t>
        </is>
      </c>
      <c r="C1058" s="2">
        <v>210533929</v>
      </c>
      <c r="D1058" s="2" t="inlineStr">
        <is>
          <t>YanochkaBG2</t>
        </is>
      </c>
      <c r="E1058" s="2" t="inlineStr">
        <is>
          <t>2039514115977</t>
        </is>
      </c>
      <c r="F1058" s="2">
        <v>0</v>
      </c>
      <c r="G1058" s="2">
        <v>1</v>
      </c>
      <c r="H1058" s="2">
        <v>1</v>
      </c>
      <c r="I1058" s="2" t="inlineStr">
        <is>
          <t>790</t>
        </is>
      </c>
      <c r="J1058" s="4"/>
      <c r="K1058" s="2">
        <v>10</v>
      </c>
      <c r="L1058" s="6"/>
      <c r="M1058" s="2" t="str">
        <f>IF(J1058="",ROUND(I1058*(1-IF(ISBLANK(L1058),K1058,L1058)/100),2),ROUND(J1058*(1-IF(ISBLANK(L1058),K1058,L1058)/100),2))</f>
      </c>
      <c r="N1058" s="7" t="str">
        <f>IF(NOT(AND(J1058="",L1058="")),IF(OR(AND(L1058&lt;&gt;"",NOT(ISNUMBER(L1058))),IFERROR(MOD(L1058,1),1)&gt;0,AND(ISNUMBER(L1058),OR(L1058&lt;0,L1058&gt;95))),"Введите целое число от 0 до 95",IF(OR(AND(J1058&lt;&gt;"",NOT(ISNUMBER(J1058))),IFERROR(MOD(J1058,1),1)&gt;0,AND(ISNUMBER(J1058),OR(J1058&lt;50,J1058&gt;20000000))),"Введите целое число от 50 до 20000000",IF(NOT(ABS(IFERROR(VALUE(LEFT(M1058,FIND("-",M1058)-1)),M1058)*100-(5000+2000000000)/2)&lt;=ABS(5000-2000000000)/2),"Цена со скидкой должна быть от 50 до 20000000",IF(IFERROR(VALUE(LEFT(M1058,FIND("-",M1058)-1)),M1058)*229&lt;71100,"Вы уменьшили цену в несколько раз, товар попадет в карантин цен","")))),"")</f>
      </c>
    </row>
    <row r="1059">
      <c r="A1059" s="2" t="inlineStr">
        <is>
          <t>CuteShop</t>
        </is>
      </c>
      <c r="B1059" s="2" t="inlineStr">
        <is>
          <t>Держатели для пустышек</t>
        </is>
      </c>
      <c r="C1059" s="2">
        <v>160788290</v>
      </c>
      <c r="D1059" s="2" t="inlineStr">
        <is>
          <t>NastenaBG</t>
        </is>
      </c>
      <c r="E1059" s="2" t="inlineStr">
        <is>
          <t>2037825937929</t>
        </is>
      </c>
      <c r="F1059" s="2">
        <v>0</v>
      </c>
      <c r="G1059" s="2">
        <v>1</v>
      </c>
      <c r="H1059" s="2">
        <v>1</v>
      </c>
      <c r="I1059" s="2" t="inlineStr">
        <is>
          <t>790</t>
        </is>
      </c>
      <c r="J1059" s="4"/>
      <c r="K1059" s="2">
        <v>10</v>
      </c>
      <c r="L1059" s="6"/>
      <c r="M1059" s="2" t="str">
        <f>IF(J1059="",ROUND(I1059*(1-IF(ISBLANK(L1059),K1059,L1059)/100),2),ROUND(J1059*(1-IF(ISBLANK(L1059),K1059,L1059)/100),2))</f>
      </c>
      <c r="N1059" s="7" t="str">
        <f>IF(NOT(AND(J1059="",L1059="")),IF(OR(AND(L1059&lt;&gt;"",NOT(ISNUMBER(L1059))),IFERROR(MOD(L1059,1),1)&gt;0,AND(ISNUMBER(L1059),OR(L1059&lt;0,L1059&gt;95))),"Введите целое число от 0 до 95",IF(OR(AND(J1059&lt;&gt;"",NOT(ISNUMBER(J1059))),IFERROR(MOD(J1059,1),1)&gt;0,AND(ISNUMBER(J1059),OR(J1059&lt;50,J1059&gt;20000000))),"Введите целое число от 50 до 20000000",IF(NOT(ABS(IFERROR(VALUE(LEFT(M1059,FIND("-",M1059)-1)),M1059)*100-(5000+2000000000)/2)&lt;=ABS(5000-2000000000)/2),"Цена со скидкой должна быть от 50 до 20000000",IF(IFERROR(VALUE(LEFT(M1059,FIND("-",M1059)-1)),M1059)*229&lt;71100,"Вы уменьшили цену в несколько раз, товар попадет в карантин цен","")))),"")</f>
      </c>
    </row>
    <row r="1060">
      <c r="A1060" s="2" t="inlineStr">
        <is>
          <t>CuteShop</t>
        </is>
      </c>
      <c r="B1060" s="2" t="inlineStr">
        <is>
          <t>Держатели для пустышек</t>
        </is>
      </c>
      <c r="C1060" s="2">
        <v>105656690</v>
      </c>
      <c r="D1060" s="2" t="inlineStr">
        <is>
          <t>StepanKot</t>
        </is>
      </c>
      <c r="E1060" s="2" t="inlineStr">
        <is>
          <t>2036887653105</t>
        </is>
      </c>
      <c r="F1060" s="2">
        <v>0</v>
      </c>
      <c r="G1060" s="2">
        <v>0</v>
      </c>
      <c r="H1060" s="2">
        <v>0</v>
      </c>
      <c r="I1060" s="2" t="inlineStr">
        <is>
          <t>1030</t>
        </is>
      </c>
      <c r="J1060" s="4"/>
      <c r="K1060" s="2">
        <v>10</v>
      </c>
      <c r="L1060" s="6"/>
      <c r="M1060" s="2" t="str">
        <f>IF(J1060="",ROUND(I1060*(1-IF(ISBLANK(L1060),K1060,L1060)/100),2),ROUND(J1060*(1-IF(ISBLANK(L1060),K1060,L1060)/100),2))</f>
      </c>
      <c r="N1060" s="7" t="str">
        <f>IF(NOT(AND(J1060="",L1060="")),IF(OR(AND(L1060&lt;&gt;"",NOT(ISNUMBER(L1060))),IFERROR(MOD(L1060,1),1)&gt;0,AND(ISNUMBER(L1060),OR(L1060&lt;0,L1060&gt;95))),"Введите целое число от 0 до 95",IF(OR(AND(J1060&lt;&gt;"",NOT(ISNUMBER(J1060))),IFERROR(MOD(J1060,1),1)&gt;0,AND(ISNUMBER(J1060),OR(J1060&lt;50,J1060&gt;20000000))),"Введите целое число от 50 до 20000000",IF(NOT(ABS(IFERROR(VALUE(LEFT(M1060,FIND("-",M1060)-1)),M1060)*100-(5000+2000000000)/2)&lt;=ABS(5000-2000000000)/2),"Цена со скидкой должна быть от 50 до 20000000",IF(IFERROR(VALUE(LEFT(M1060,FIND("-",M1060)-1)),M1060)*229&lt;92700,"Вы уменьшили цену в несколько раз, товар попадет в карантин цен","")))),"")</f>
      </c>
    </row>
    <row r="1061">
      <c r="A1061" s="2" t="inlineStr">
        <is>
          <t>CuteShop</t>
        </is>
      </c>
      <c r="B1061" s="2" t="inlineStr">
        <is>
          <t>Держатели для пустышек</t>
        </is>
      </c>
      <c r="C1061" s="2">
        <v>245106146</v>
      </c>
      <c r="D1061" s="2" t="inlineStr">
        <is>
          <t>VanyaLis</t>
        </is>
      </c>
      <c r="E1061" s="2" t="inlineStr">
        <is>
          <t>2040697864934</t>
        </is>
      </c>
      <c r="F1061" s="2">
        <v>0</v>
      </c>
      <c r="G1061" s="2">
        <v>1</v>
      </c>
      <c r="H1061" s="2" t="inlineStr">
        <is>
          <t/>
        </is>
      </c>
      <c r="I1061" s="2" t="inlineStr">
        <is>
          <t>1030</t>
        </is>
      </c>
      <c r="J1061" s="4"/>
      <c r="K1061" s="2">
        <v>10</v>
      </c>
      <c r="L1061" s="6"/>
      <c r="M1061" s="2" t="str">
        <f>IF(J1061="",ROUND(I1061*(1-IF(ISBLANK(L1061),K1061,L1061)/100),2),ROUND(J1061*(1-IF(ISBLANK(L1061),K1061,L1061)/100),2))</f>
      </c>
      <c r="N1061" s="7" t="str">
        <f>IF(NOT(AND(J1061="",L1061="")),IF(OR(AND(L1061&lt;&gt;"",NOT(ISNUMBER(L1061))),IFERROR(MOD(L1061,1),1)&gt;0,AND(ISNUMBER(L1061),OR(L1061&lt;0,L1061&gt;95))),"Введите целое число от 0 до 95",IF(OR(AND(J1061&lt;&gt;"",NOT(ISNUMBER(J1061))),IFERROR(MOD(J1061,1),1)&gt;0,AND(ISNUMBER(J1061),OR(J1061&lt;50,J1061&gt;20000000))),"Введите целое число от 50 до 20000000",IF(NOT(ABS(IFERROR(VALUE(LEFT(M1061,FIND("-",M1061)-1)),M1061)*100-(5000+2000000000)/2)&lt;=ABS(5000-2000000000)/2),"Цена со скидкой должна быть от 50 до 20000000",IF(IFERROR(VALUE(LEFT(M1061,FIND("-",M1061)-1)),M1061)*229&lt;92700,"Вы уменьшили цену в несколько раз, товар попадет в карантин цен","")))),"")</f>
      </c>
    </row>
    <row r="1062">
      <c r="A1062" s="2" t="inlineStr">
        <is>
          <t>CuteShop</t>
        </is>
      </c>
      <c r="B1062" s="2" t="inlineStr">
        <is>
          <t>Держатели для пустышек</t>
        </is>
      </c>
      <c r="C1062" s="2">
        <v>161022981</v>
      </c>
      <c r="D1062" s="2" t="inlineStr">
        <is>
          <t>TeonaBel</t>
        </is>
      </c>
      <c r="E1062" s="2" t="inlineStr">
        <is>
          <t>2037837704809</t>
        </is>
      </c>
      <c r="F1062" s="2">
        <v>0</v>
      </c>
      <c r="G1062" s="2">
        <v>0</v>
      </c>
      <c r="H1062" s="2" t="inlineStr">
        <is>
          <t/>
        </is>
      </c>
      <c r="I1062" s="2" t="inlineStr">
        <is>
          <t>1030</t>
        </is>
      </c>
      <c r="J1062" s="4"/>
      <c r="K1062" s="2">
        <v>10</v>
      </c>
      <c r="L1062" s="6"/>
      <c r="M1062" s="2" t="str">
        <f>IF(J1062="",ROUND(I1062*(1-IF(ISBLANK(L1062),K1062,L1062)/100),2),ROUND(J1062*(1-IF(ISBLANK(L1062),K1062,L1062)/100),2))</f>
      </c>
      <c r="N1062" s="7" t="str">
        <f>IF(NOT(AND(J1062="",L1062="")),IF(OR(AND(L1062&lt;&gt;"",NOT(ISNUMBER(L1062))),IFERROR(MOD(L1062,1),1)&gt;0,AND(ISNUMBER(L1062),OR(L1062&lt;0,L1062&gt;95))),"Введите целое число от 0 до 95",IF(OR(AND(J1062&lt;&gt;"",NOT(ISNUMBER(J1062))),IFERROR(MOD(J1062,1),1)&gt;0,AND(ISNUMBER(J1062),OR(J1062&lt;50,J1062&gt;20000000))),"Введите целое число от 50 до 20000000",IF(NOT(ABS(IFERROR(VALUE(LEFT(M1062,FIND("-",M1062)-1)),M1062)*100-(5000+2000000000)/2)&lt;=ABS(5000-2000000000)/2),"Цена со скидкой должна быть от 50 до 20000000",IF(IFERROR(VALUE(LEFT(M1062,FIND("-",M1062)-1)),M1062)*229&lt;92700,"Вы уменьшили цену в несколько раз, товар попадет в карантин цен","")))),"")</f>
      </c>
    </row>
    <row r="1063">
      <c r="A1063" s="2" t="inlineStr">
        <is>
          <t>CuteShop</t>
        </is>
      </c>
      <c r="B1063" s="2" t="inlineStr">
        <is>
          <t>Держатели для пустышек</t>
        </is>
      </c>
      <c r="C1063" s="2">
        <v>111946408</v>
      </c>
      <c r="D1063" s="2" t="inlineStr">
        <is>
          <t>LianaLama</t>
        </is>
      </c>
      <c r="E1063" s="2" t="inlineStr">
        <is>
          <t>2038490665629</t>
        </is>
      </c>
      <c r="F1063" s="2">
        <v>0</v>
      </c>
      <c r="G1063" s="2">
        <v>0</v>
      </c>
      <c r="H1063" s="2" t="inlineStr">
        <is>
          <t/>
        </is>
      </c>
      <c r="I1063" s="2" t="inlineStr">
        <is>
          <t>1030</t>
        </is>
      </c>
      <c r="J1063" s="4"/>
      <c r="K1063" s="2">
        <v>10</v>
      </c>
      <c r="L1063" s="6"/>
      <c r="M1063" s="2" t="str">
        <f>IF(J1063="",ROUND(I1063*(1-IF(ISBLANK(L1063),K1063,L1063)/100),2),ROUND(J1063*(1-IF(ISBLANK(L1063),K1063,L1063)/100),2))</f>
      </c>
      <c r="N1063" s="7" t="str">
        <f>IF(NOT(AND(J1063="",L1063="")),IF(OR(AND(L1063&lt;&gt;"",NOT(ISNUMBER(L1063))),IFERROR(MOD(L1063,1),1)&gt;0,AND(ISNUMBER(L1063),OR(L1063&lt;0,L1063&gt;95))),"Введите целое число от 0 до 95",IF(OR(AND(J1063&lt;&gt;"",NOT(ISNUMBER(J1063))),IFERROR(MOD(J1063,1),1)&gt;0,AND(ISNUMBER(J1063),OR(J1063&lt;50,J1063&gt;20000000))),"Введите целое число от 50 до 20000000",IF(NOT(ABS(IFERROR(VALUE(LEFT(M1063,FIND("-",M1063)-1)),M1063)*100-(5000+2000000000)/2)&lt;=ABS(5000-2000000000)/2),"Цена со скидкой должна быть от 50 до 20000000",IF(IFERROR(VALUE(LEFT(M1063,FIND("-",M1063)-1)),M1063)*229&lt;92700,"Вы уменьшили цену в несколько раз, товар попадет в карантин цен","")))),"")</f>
      </c>
    </row>
    <row r="1064">
      <c r="A1064" s="2" t="inlineStr">
        <is>
          <t>CuteShop</t>
        </is>
      </c>
      <c r="B1064" s="2" t="inlineStr">
        <is>
          <t>Держатели для пустышек</t>
        </is>
      </c>
      <c r="C1064" s="2">
        <v>111031947</v>
      </c>
      <c r="D1064" s="2" t="inlineStr">
        <is>
          <t>IlyaMish</t>
        </is>
      </c>
      <c r="E1064" s="2" t="inlineStr">
        <is>
          <t>2037464946627</t>
        </is>
      </c>
      <c r="F1064" s="2">
        <v>0</v>
      </c>
      <c r="G1064" s="2">
        <v>1</v>
      </c>
      <c r="H1064" s="2">
        <v>0</v>
      </c>
      <c r="I1064" s="2" t="inlineStr">
        <is>
          <t>1030</t>
        </is>
      </c>
      <c r="J1064" s="4"/>
      <c r="K1064" s="2">
        <v>10</v>
      </c>
      <c r="L1064" s="6"/>
      <c r="M1064" s="2" t="str">
        <f>IF(J1064="",ROUND(I1064*(1-IF(ISBLANK(L1064),K1064,L1064)/100),2),ROUND(J1064*(1-IF(ISBLANK(L1064),K1064,L1064)/100),2))</f>
      </c>
      <c r="N1064" s="7" t="str">
        <f>IF(NOT(AND(J1064="",L1064="")),IF(OR(AND(L1064&lt;&gt;"",NOT(ISNUMBER(L1064))),IFERROR(MOD(L1064,1),1)&gt;0,AND(ISNUMBER(L1064),OR(L1064&lt;0,L1064&gt;95))),"Введите целое число от 0 до 95",IF(OR(AND(J1064&lt;&gt;"",NOT(ISNUMBER(J1064))),IFERROR(MOD(J1064,1),1)&gt;0,AND(ISNUMBER(J1064),OR(J1064&lt;50,J1064&gt;20000000))),"Введите целое число от 50 до 20000000",IF(NOT(ABS(IFERROR(VALUE(LEFT(M1064,FIND("-",M1064)-1)),M1064)*100-(5000+2000000000)/2)&lt;=ABS(5000-2000000000)/2),"Цена со скидкой должна быть от 50 до 20000000",IF(IFERROR(VALUE(LEFT(M1064,FIND("-",M1064)-1)),M1064)*229&lt;92700,"Вы уменьшили цену в несколько раз, товар попадет в карантин цен","")))),"")</f>
      </c>
    </row>
    <row r="1065">
      <c r="A1065" s="2" t="inlineStr">
        <is>
          <t>CuteShop</t>
        </is>
      </c>
      <c r="B1065" s="2" t="inlineStr">
        <is>
          <t>Держатели для пустышек</t>
        </is>
      </c>
      <c r="C1065" s="2">
        <v>111031946</v>
      </c>
      <c r="D1065" s="2" t="inlineStr">
        <is>
          <t>IlyaKot</t>
        </is>
      </c>
      <c r="E1065" s="2" t="inlineStr">
        <is>
          <t>2037464981628</t>
        </is>
      </c>
      <c r="F1065" s="2">
        <v>0</v>
      </c>
      <c r="G1065" s="2">
        <v>0</v>
      </c>
      <c r="H1065" s="2">
        <v>0</v>
      </c>
      <c r="I1065" s="2" t="inlineStr">
        <is>
          <t>1030</t>
        </is>
      </c>
      <c r="J1065" s="4"/>
      <c r="K1065" s="2">
        <v>10</v>
      </c>
      <c r="L1065" s="6"/>
      <c r="M1065" s="2" t="str">
        <f>IF(J1065="",ROUND(I1065*(1-IF(ISBLANK(L1065),K1065,L1065)/100),2),ROUND(J1065*(1-IF(ISBLANK(L1065),K1065,L1065)/100),2))</f>
      </c>
      <c r="N1065" s="7" t="str">
        <f>IF(NOT(AND(J1065="",L1065="")),IF(OR(AND(L1065&lt;&gt;"",NOT(ISNUMBER(L1065))),IFERROR(MOD(L1065,1),1)&gt;0,AND(ISNUMBER(L1065),OR(L1065&lt;0,L1065&gt;95))),"Введите целое число от 0 до 95",IF(OR(AND(J1065&lt;&gt;"",NOT(ISNUMBER(J1065))),IFERROR(MOD(J1065,1),1)&gt;0,AND(ISNUMBER(J1065),OR(J1065&lt;50,J1065&gt;20000000))),"Введите целое число от 50 до 20000000",IF(NOT(ABS(IFERROR(VALUE(LEFT(M1065,FIND("-",M1065)-1)),M1065)*100-(5000+2000000000)/2)&lt;=ABS(5000-2000000000)/2),"Цена со скидкой должна быть от 50 до 20000000",IF(IFERROR(VALUE(LEFT(M1065,FIND("-",M1065)-1)),M1065)*229&lt;92700,"Вы уменьшили цену в несколько раз, товар попадет в карантин цен","")))),"")</f>
      </c>
    </row>
    <row r="1066">
      <c r="A1066" s="2" t="inlineStr">
        <is>
          <t>CuteShop</t>
        </is>
      </c>
      <c r="B1066" s="2" t="inlineStr">
        <is>
          <t>Держатели для пустышек</t>
        </is>
      </c>
      <c r="C1066" s="2">
        <v>111036693</v>
      </c>
      <c r="D1066" s="2" t="inlineStr">
        <is>
          <t>BogdanMishSer</t>
        </is>
      </c>
      <c r="E1066" s="2" t="inlineStr">
        <is>
          <t>2037475575625</t>
        </is>
      </c>
      <c r="F1066" s="2">
        <v>0</v>
      </c>
      <c r="G1066" s="2">
        <v>1</v>
      </c>
      <c r="H1066" s="2">
        <v>0</v>
      </c>
      <c r="I1066" s="2" t="inlineStr">
        <is>
          <t>1030</t>
        </is>
      </c>
      <c r="J1066" s="4"/>
      <c r="K1066" s="2">
        <v>10</v>
      </c>
      <c r="L1066" s="6"/>
      <c r="M1066" s="2" t="str">
        <f>IF(J1066="",ROUND(I1066*(1-IF(ISBLANK(L1066),K1066,L1066)/100),2),ROUND(J1066*(1-IF(ISBLANK(L1066),K1066,L1066)/100),2))</f>
      </c>
      <c r="N1066" s="7" t="str">
        <f>IF(NOT(AND(J1066="",L1066="")),IF(OR(AND(L1066&lt;&gt;"",NOT(ISNUMBER(L1066))),IFERROR(MOD(L1066,1),1)&gt;0,AND(ISNUMBER(L1066),OR(L1066&lt;0,L1066&gt;95))),"Введите целое число от 0 до 95",IF(OR(AND(J1066&lt;&gt;"",NOT(ISNUMBER(J1066))),IFERROR(MOD(J1066,1),1)&gt;0,AND(ISNUMBER(J1066),OR(J1066&lt;50,J1066&gt;20000000))),"Введите целое число от 50 до 20000000",IF(NOT(ABS(IFERROR(VALUE(LEFT(M1066,FIND("-",M1066)-1)),M1066)*100-(5000+2000000000)/2)&lt;=ABS(5000-2000000000)/2),"Цена со скидкой должна быть от 50 до 20000000",IF(IFERROR(VALUE(LEFT(M1066,FIND("-",M1066)-1)),M1066)*229&lt;92700,"Вы уменьшили цену в несколько раз, товар попадет в карантин цен","")))),"")</f>
      </c>
    </row>
    <row r="1067">
      <c r="A1067" s="2" t="inlineStr">
        <is>
          <t>CuteShop</t>
        </is>
      </c>
      <c r="B1067" s="2" t="inlineStr">
        <is>
          <t>Держатели для пустышек</t>
        </is>
      </c>
      <c r="C1067" s="2">
        <v>146345609</v>
      </c>
      <c r="D1067" s="2" t="inlineStr">
        <is>
          <t>LukaZay</t>
        </is>
      </c>
      <c r="E1067" s="2" t="inlineStr">
        <is>
          <t>2037465399026</t>
        </is>
      </c>
      <c r="F1067" s="2">
        <v>0</v>
      </c>
      <c r="G1067" s="2">
        <v>0</v>
      </c>
      <c r="H1067" s="2" t="inlineStr">
        <is>
          <t/>
        </is>
      </c>
      <c r="I1067" s="2" t="inlineStr">
        <is>
          <t>1030</t>
        </is>
      </c>
      <c r="J1067" s="4"/>
      <c r="K1067" s="2">
        <v>10</v>
      </c>
      <c r="L1067" s="6"/>
      <c r="M1067" s="2" t="str">
        <f>IF(J1067="",ROUND(I1067*(1-IF(ISBLANK(L1067),K1067,L1067)/100),2),ROUND(J1067*(1-IF(ISBLANK(L1067),K1067,L1067)/100),2))</f>
      </c>
      <c r="N1067" s="7" t="str">
        <f>IF(NOT(AND(J1067="",L1067="")),IF(OR(AND(L1067&lt;&gt;"",NOT(ISNUMBER(L1067))),IFERROR(MOD(L1067,1),1)&gt;0,AND(ISNUMBER(L1067),OR(L1067&lt;0,L1067&gt;95))),"Введите целое число от 0 до 95",IF(OR(AND(J1067&lt;&gt;"",NOT(ISNUMBER(J1067))),IFERROR(MOD(J1067,1),1)&gt;0,AND(ISNUMBER(J1067),OR(J1067&lt;50,J1067&gt;20000000))),"Введите целое число от 50 до 20000000",IF(NOT(ABS(IFERROR(VALUE(LEFT(M1067,FIND("-",M1067)-1)),M1067)*100-(5000+2000000000)/2)&lt;=ABS(5000-2000000000)/2),"Цена со скидкой должна быть от 50 до 20000000",IF(IFERROR(VALUE(LEFT(M1067,FIND("-",M1067)-1)),M1067)*229&lt;92700,"Вы уменьшили цену в несколько раз, товар попадет в карантин цен","")))),"")</f>
      </c>
    </row>
    <row r="1068">
      <c r="A1068" s="2" t="inlineStr">
        <is>
          <t>CuteShop</t>
        </is>
      </c>
      <c r="B1068" s="2" t="inlineStr">
        <is>
          <t>Держатели для пустышек</t>
        </is>
      </c>
      <c r="C1068" s="2">
        <v>146345605</v>
      </c>
      <c r="D1068" s="2" t="inlineStr">
        <is>
          <t>LukaBG</t>
        </is>
      </c>
      <c r="E1068" s="2" t="inlineStr">
        <is>
          <t>2037465389485</t>
        </is>
      </c>
      <c r="F1068" s="2">
        <v>0</v>
      </c>
      <c r="G1068" s="2">
        <v>1</v>
      </c>
      <c r="H1068" s="2">
        <v>0</v>
      </c>
      <c r="I1068" s="2" t="inlineStr">
        <is>
          <t>790</t>
        </is>
      </c>
      <c r="J1068" s="4"/>
      <c r="K1068" s="2">
        <v>10</v>
      </c>
      <c r="L1068" s="6"/>
      <c r="M1068" s="2" t="str">
        <f>IF(J1068="",ROUND(I1068*(1-IF(ISBLANK(L1068),K1068,L1068)/100),2),ROUND(J1068*(1-IF(ISBLANK(L1068),K1068,L1068)/100),2))</f>
      </c>
      <c r="N1068" s="7" t="str">
        <f>IF(NOT(AND(J1068="",L1068="")),IF(OR(AND(L1068&lt;&gt;"",NOT(ISNUMBER(L1068))),IFERROR(MOD(L1068,1),1)&gt;0,AND(ISNUMBER(L1068),OR(L1068&lt;0,L1068&gt;95))),"Введите целое число от 0 до 95",IF(OR(AND(J1068&lt;&gt;"",NOT(ISNUMBER(J1068))),IFERROR(MOD(J1068,1),1)&gt;0,AND(ISNUMBER(J1068),OR(J1068&lt;50,J1068&gt;20000000))),"Введите целое число от 50 до 20000000",IF(NOT(ABS(IFERROR(VALUE(LEFT(M1068,FIND("-",M1068)-1)),M1068)*100-(5000+2000000000)/2)&lt;=ABS(5000-2000000000)/2),"Цена со скидкой должна быть от 50 до 20000000",IF(IFERROR(VALUE(LEFT(M1068,FIND("-",M1068)-1)),M1068)*229&lt;71100,"Вы уменьшили цену в несколько раз, товар попадет в карантин цен","")))),"")</f>
      </c>
    </row>
    <row r="1069">
      <c r="A1069" s="2" t="inlineStr">
        <is>
          <t>CuteShop</t>
        </is>
      </c>
      <c r="B1069" s="2" t="inlineStr">
        <is>
          <t>Держатели для пустышек</t>
        </is>
      </c>
      <c r="C1069" s="2">
        <v>173344229</v>
      </c>
      <c r="D1069" s="2" t="inlineStr">
        <is>
          <t>AdelinaBG</t>
        </is>
      </c>
      <c r="E1069" s="2" t="inlineStr">
        <is>
          <t>2038381408809</t>
        </is>
      </c>
      <c r="F1069" s="2">
        <v>0</v>
      </c>
      <c r="G1069" s="2">
        <v>1</v>
      </c>
      <c r="H1069" s="2">
        <v>0</v>
      </c>
      <c r="I1069" s="2" t="inlineStr">
        <is>
          <t>790</t>
        </is>
      </c>
      <c r="J1069" s="4"/>
      <c r="K1069" s="2">
        <v>10</v>
      </c>
      <c r="L1069" s="6"/>
      <c r="M1069" s="2" t="str">
        <f>IF(J1069="",ROUND(I1069*(1-IF(ISBLANK(L1069),K1069,L1069)/100),2),ROUND(J1069*(1-IF(ISBLANK(L1069),K1069,L1069)/100),2))</f>
      </c>
      <c r="N1069" s="7" t="str">
        <f>IF(NOT(AND(J1069="",L1069="")),IF(OR(AND(L1069&lt;&gt;"",NOT(ISNUMBER(L1069))),IFERROR(MOD(L1069,1),1)&gt;0,AND(ISNUMBER(L1069),OR(L1069&lt;0,L1069&gt;95))),"Введите целое число от 0 до 95",IF(OR(AND(J1069&lt;&gt;"",NOT(ISNUMBER(J1069))),IFERROR(MOD(J1069,1),1)&gt;0,AND(ISNUMBER(J1069),OR(J1069&lt;50,J1069&gt;20000000))),"Введите целое число от 50 до 20000000",IF(NOT(ABS(IFERROR(VALUE(LEFT(M1069,FIND("-",M1069)-1)),M1069)*100-(5000+2000000000)/2)&lt;=ABS(5000-2000000000)/2),"Цена со скидкой должна быть от 50 до 20000000",IF(IFERROR(VALUE(LEFT(M1069,FIND("-",M1069)-1)),M1069)*229&lt;71100,"Вы уменьшили цену в несколько раз, товар попадет в карантин цен","")))),"")</f>
      </c>
    </row>
    <row r="1070">
      <c r="A1070" s="2" t="inlineStr">
        <is>
          <t>CuteShop</t>
        </is>
      </c>
      <c r="B1070" s="2" t="inlineStr">
        <is>
          <t>Держатели для пустышек</t>
        </is>
      </c>
      <c r="C1070" s="2">
        <v>160788291</v>
      </c>
      <c r="D1070" s="2" t="inlineStr">
        <is>
          <t>NastenaBel</t>
        </is>
      </c>
      <c r="E1070" s="2" t="inlineStr">
        <is>
          <t>2037825938339</t>
        </is>
      </c>
      <c r="F1070" s="2">
        <v>0</v>
      </c>
      <c r="G1070" s="2">
        <v>1</v>
      </c>
      <c r="H1070" s="2">
        <v>1</v>
      </c>
      <c r="I1070" s="2" t="inlineStr">
        <is>
          <t>1030</t>
        </is>
      </c>
      <c r="J1070" s="4"/>
      <c r="K1070" s="2">
        <v>10</v>
      </c>
      <c r="L1070" s="6"/>
      <c r="M1070" s="2" t="str">
        <f>IF(J1070="",ROUND(I1070*(1-IF(ISBLANK(L1070),K1070,L1070)/100),2),ROUND(J1070*(1-IF(ISBLANK(L1070),K1070,L1070)/100),2))</f>
      </c>
      <c r="N1070" s="7" t="str">
        <f>IF(NOT(AND(J1070="",L1070="")),IF(OR(AND(L1070&lt;&gt;"",NOT(ISNUMBER(L1070))),IFERROR(MOD(L1070,1),1)&gt;0,AND(ISNUMBER(L1070),OR(L1070&lt;0,L1070&gt;95))),"Введите целое число от 0 до 95",IF(OR(AND(J1070&lt;&gt;"",NOT(ISNUMBER(J1070))),IFERROR(MOD(J1070,1),1)&gt;0,AND(ISNUMBER(J1070),OR(J1070&lt;50,J1070&gt;20000000))),"Введите целое число от 50 до 20000000",IF(NOT(ABS(IFERROR(VALUE(LEFT(M1070,FIND("-",M1070)-1)),M1070)*100-(5000+2000000000)/2)&lt;=ABS(5000-2000000000)/2),"Цена со скидкой должна быть от 50 до 20000000",IF(IFERROR(VALUE(LEFT(M1070,FIND("-",M1070)-1)),M1070)*229&lt;92700,"Вы уменьшили цену в несколько раз, товар попадет в карантин цен","")))),"")</f>
      </c>
    </row>
    <row r="1071">
      <c r="A1071" s="2" t="inlineStr">
        <is>
          <t>CuteShop</t>
        </is>
      </c>
      <c r="B1071" s="2" t="inlineStr">
        <is>
          <t>Держатели для пустышек</t>
        </is>
      </c>
      <c r="C1071" s="2">
        <v>372199369</v>
      </c>
      <c r="D1071" s="2" t="inlineStr">
        <is>
          <t>MiroshaBG2</t>
        </is>
      </c>
      <c r="E1071" s="2" t="inlineStr">
        <is>
          <t>2043391352080</t>
        </is>
      </c>
      <c r="F1071" s="2">
        <v>0</v>
      </c>
      <c r="G1071" s="2">
        <v>1</v>
      </c>
      <c r="H1071" s="2" t="inlineStr">
        <is>
          <t/>
        </is>
      </c>
      <c r="I1071" s="2" t="inlineStr">
        <is>
          <t>760</t>
        </is>
      </c>
      <c r="J1071" s="4"/>
      <c r="K1071" s="2">
        <v>10</v>
      </c>
      <c r="L1071" s="6"/>
      <c r="M1071" s="2" t="str">
        <f>IF(J1071="",ROUND(I1071*(1-IF(ISBLANK(L1071),K1071,L1071)/100),2),ROUND(J1071*(1-IF(ISBLANK(L1071),K1071,L1071)/100),2))</f>
      </c>
      <c r="N1071" s="7" t="str">
        <f>IF(NOT(AND(J1071="",L1071="")),IF(OR(AND(L1071&lt;&gt;"",NOT(ISNUMBER(L1071))),IFERROR(MOD(L1071,1),1)&gt;0,AND(ISNUMBER(L1071),OR(L1071&lt;0,L1071&gt;95))),"Введите целое число от 0 до 95",IF(OR(AND(J1071&lt;&gt;"",NOT(ISNUMBER(J1071))),IFERROR(MOD(J1071,1),1)&gt;0,AND(ISNUMBER(J1071),OR(J1071&lt;50,J1071&gt;20000000))),"Введите целое число от 50 до 20000000",IF(NOT(ABS(IFERROR(VALUE(LEFT(M1071,FIND("-",M1071)-1)),M1071)*100-(5000+2000000000)/2)&lt;=ABS(5000-2000000000)/2),"Цена со скидкой должна быть от 50 до 20000000",IF(IFERROR(VALUE(LEFT(M1071,FIND("-",M1071)-1)),M1071)*229&lt;68400,"Вы уменьшили цену в несколько раз, товар попадет в карантин цен","")))),"")</f>
      </c>
    </row>
    <row r="1072">
      <c r="A1072" s="2" t="inlineStr">
        <is>
          <t>CuteShop</t>
        </is>
      </c>
      <c r="B1072" s="2" t="inlineStr">
        <is>
          <t>Держатели для пустышек</t>
        </is>
      </c>
      <c r="C1072" s="2">
        <v>372216084</v>
      </c>
      <c r="D1072" s="2" t="inlineStr">
        <is>
          <t>MiroshaBel</t>
        </is>
      </c>
      <c r="E1072" s="2" t="inlineStr">
        <is>
          <t>2043391487812</t>
        </is>
      </c>
      <c r="F1072" s="2">
        <v>0</v>
      </c>
      <c r="G1072" s="2">
        <v>1</v>
      </c>
      <c r="H1072" s="2" t="inlineStr">
        <is>
          <t/>
        </is>
      </c>
      <c r="I1072" s="2" t="inlineStr">
        <is>
          <t>1030</t>
        </is>
      </c>
      <c r="J1072" s="4"/>
      <c r="K1072" s="2">
        <v>10</v>
      </c>
      <c r="L1072" s="6"/>
      <c r="M1072" s="2" t="str">
        <f>IF(J1072="",ROUND(I1072*(1-IF(ISBLANK(L1072),K1072,L1072)/100),2),ROUND(J1072*(1-IF(ISBLANK(L1072),K1072,L1072)/100),2))</f>
      </c>
      <c r="N1072" s="7" t="str">
        <f>IF(NOT(AND(J1072="",L1072="")),IF(OR(AND(L1072&lt;&gt;"",NOT(ISNUMBER(L1072))),IFERROR(MOD(L1072,1),1)&gt;0,AND(ISNUMBER(L1072),OR(L1072&lt;0,L1072&gt;95))),"Введите целое число от 0 до 95",IF(OR(AND(J1072&lt;&gt;"",NOT(ISNUMBER(J1072))),IFERROR(MOD(J1072,1),1)&gt;0,AND(ISNUMBER(J1072),OR(J1072&lt;50,J1072&gt;20000000))),"Введите целое число от 50 до 20000000",IF(NOT(ABS(IFERROR(VALUE(LEFT(M1072,FIND("-",M1072)-1)),M1072)*100-(5000+2000000000)/2)&lt;=ABS(5000-2000000000)/2),"Цена со скидкой должна быть от 50 до 20000000",IF(IFERROR(VALUE(LEFT(M1072,FIND("-",M1072)-1)),M1072)*229&lt;92700,"Вы уменьшили цену в несколько раз, товар попадет в карантин цен","")))),"")</f>
      </c>
    </row>
    <row r="1073">
      <c r="A1073" s="2" t="inlineStr">
        <is>
          <t>CuteShop</t>
        </is>
      </c>
      <c r="B1073" s="2" t="inlineStr">
        <is>
          <t>Держатели для пустышек</t>
        </is>
      </c>
      <c r="C1073" s="2">
        <v>111023789</v>
      </c>
      <c r="D1073" s="2" t="inlineStr">
        <is>
          <t>EvochkaEvaLama</t>
        </is>
      </c>
      <c r="E1073" s="2" t="inlineStr">
        <is>
          <t>2037451939625</t>
        </is>
      </c>
      <c r="F1073" s="2">
        <v>0</v>
      </c>
      <c r="G1073" s="2">
        <v>1</v>
      </c>
      <c r="H1073" s="2">
        <v>0</v>
      </c>
      <c r="I1073" s="2" t="inlineStr">
        <is>
          <t>1030</t>
        </is>
      </c>
      <c r="J1073" s="4"/>
      <c r="K1073" s="2">
        <v>10</v>
      </c>
      <c r="L1073" s="6"/>
      <c r="M1073" s="2" t="str">
        <f>IF(J1073="",ROUND(I1073*(1-IF(ISBLANK(L1073),K1073,L1073)/100),2),ROUND(J1073*(1-IF(ISBLANK(L1073),K1073,L1073)/100),2))</f>
      </c>
      <c r="N1073" s="7" t="str">
        <f>IF(NOT(AND(J1073="",L1073="")),IF(OR(AND(L1073&lt;&gt;"",NOT(ISNUMBER(L1073))),IFERROR(MOD(L1073,1),1)&gt;0,AND(ISNUMBER(L1073),OR(L1073&lt;0,L1073&gt;95))),"Введите целое число от 0 до 95",IF(OR(AND(J1073&lt;&gt;"",NOT(ISNUMBER(J1073))),IFERROR(MOD(J1073,1),1)&gt;0,AND(ISNUMBER(J1073),OR(J1073&lt;50,J1073&gt;20000000))),"Введите целое число от 50 до 20000000",IF(NOT(ABS(IFERROR(VALUE(LEFT(M1073,FIND("-",M1073)-1)),M1073)*100-(5000+2000000000)/2)&lt;=ABS(5000-2000000000)/2),"Цена со скидкой должна быть от 50 до 20000000",IF(IFERROR(VALUE(LEFT(M1073,FIND("-",M1073)-1)),M1073)*229&lt;92700,"Вы уменьшили цену в несколько раз, товар попадет в карантин цен","")))),"")</f>
      </c>
    </row>
    <row r="1074">
      <c r="A1074" s="2" t="inlineStr">
        <is>
          <t>CuteShop</t>
        </is>
      </c>
      <c r="B1074" s="2" t="inlineStr">
        <is>
          <t>Держатели для пустышек</t>
        </is>
      </c>
      <c r="C1074" s="2">
        <v>111023787</v>
      </c>
      <c r="D1074" s="2" t="inlineStr">
        <is>
          <t>EvochkaEvaBG</t>
        </is>
      </c>
      <c r="E1074" s="2" t="inlineStr">
        <is>
          <t>2037450117628</t>
        </is>
      </c>
      <c r="F1074" s="2">
        <v>0</v>
      </c>
      <c r="G1074" s="2">
        <v>1</v>
      </c>
      <c r="H1074" s="2">
        <v>1</v>
      </c>
      <c r="I1074" s="2" t="inlineStr">
        <is>
          <t>790</t>
        </is>
      </c>
      <c r="J1074" s="4"/>
      <c r="K1074" s="2">
        <v>10</v>
      </c>
      <c r="L1074" s="6"/>
      <c r="M1074" s="2" t="str">
        <f>IF(J1074="",ROUND(I1074*(1-IF(ISBLANK(L1074),K1074,L1074)/100),2),ROUND(J1074*(1-IF(ISBLANK(L1074),K1074,L1074)/100),2))</f>
      </c>
      <c r="N1074" s="7" t="str">
        <f>IF(NOT(AND(J1074="",L1074="")),IF(OR(AND(L1074&lt;&gt;"",NOT(ISNUMBER(L1074))),IFERROR(MOD(L1074,1),1)&gt;0,AND(ISNUMBER(L1074),OR(L1074&lt;0,L1074&gt;95))),"Введите целое число от 0 до 95",IF(OR(AND(J1074&lt;&gt;"",NOT(ISNUMBER(J1074))),IFERROR(MOD(J1074,1),1)&gt;0,AND(ISNUMBER(J1074),OR(J1074&lt;50,J1074&gt;20000000))),"Введите целое число от 50 до 20000000",IF(NOT(ABS(IFERROR(VALUE(LEFT(M1074,FIND("-",M1074)-1)),M1074)*100-(5000+2000000000)/2)&lt;=ABS(5000-2000000000)/2),"Цена со скидкой должна быть от 50 до 20000000",IF(IFERROR(VALUE(LEFT(M1074,FIND("-",M1074)-1)),M1074)*229&lt;71100,"Вы уменьшили цену в несколько раз, товар попадет в карантин цен","")))),"")</f>
      </c>
    </row>
    <row r="1075">
      <c r="A1075" s="2" t="inlineStr">
        <is>
          <t>CuteShop</t>
        </is>
      </c>
      <c r="B1075" s="2" t="inlineStr">
        <is>
          <t>Держатели для пустышек</t>
        </is>
      </c>
      <c r="C1075" s="2">
        <v>217977341</v>
      </c>
      <c r="D1075" s="2" t="inlineStr">
        <is>
          <t>MayaBG</t>
        </is>
      </c>
      <c r="E1075" s="2" t="inlineStr">
        <is>
          <t>2039673966908</t>
        </is>
      </c>
      <c r="F1075" s="2">
        <v>0</v>
      </c>
      <c r="G1075" s="2">
        <v>1</v>
      </c>
      <c r="H1075" s="2" t="inlineStr">
        <is>
          <t/>
        </is>
      </c>
      <c r="I1075" s="2" t="inlineStr">
        <is>
          <t>790</t>
        </is>
      </c>
      <c r="J1075" s="4"/>
      <c r="K1075" s="2">
        <v>10</v>
      </c>
      <c r="L1075" s="6"/>
      <c r="M1075" s="2" t="str">
        <f>IF(J1075="",ROUND(I1075*(1-IF(ISBLANK(L1075),K1075,L1075)/100),2),ROUND(J1075*(1-IF(ISBLANK(L1075),K1075,L1075)/100),2))</f>
      </c>
      <c r="N1075" s="7" t="str">
        <f>IF(NOT(AND(J1075="",L1075="")),IF(OR(AND(L1075&lt;&gt;"",NOT(ISNUMBER(L1075))),IFERROR(MOD(L1075,1),1)&gt;0,AND(ISNUMBER(L1075),OR(L1075&lt;0,L1075&gt;95))),"Введите целое число от 0 до 95",IF(OR(AND(J1075&lt;&gt;"",NOT(ISNUMBER(J1075))),IFERROR(MOD(J1075,1),1)&gt;0,AND(ISNUMBER(J1075),OR(J1075&lt;50,J1075&gt;20000000))),"Введите целое число от 50 до 20000000",IF(NOT(ABS(IFERROR(VALUE(LEFT(M1075,FIND("-",M1075)-1)),M1075)*100-(5000+2000000000)/2)&lt;=ABS(5000-2000000000)/2),"Цена со скидкой должна быть от 50 до 20000000",IF(IFERROR(VALUE(LEFT(M1075,FIND("-",M1075)-1)),M1075)*229&lt;71100,"Вы уменьшили цену в несколько раз, товар попадет в карантин цен","")))),"")</f>
      </c>
    </row>
    <row r="1076">
      <c r="A1076" s="2" t="inlineStr">
        <is>
          <t>CuteShop</t>
        </is>
      </c>
      <c r="B1076" s="2" t="inlineStr">
        <is>
          <t>Держатели для пустышек</t>
        </is>
      </c>
      <c r="C1076" s="2">
        <v>245106144</v>
      </c>
      <c r="D1076" s="2" t="inlineStr">
        <is>
          <t>VanyaBG</t>
        </is>
      </c>
      <c r="E1076" s="2" t="inlineStr">
        <is>
          <t>2040697861865</t>
        </is>
      </c>
      <c r="F1076" s="2">
        <v>0</v>
      </c>
      <c r="G1076" s="2">
        <v>1</v>
      </c>
      <c r="H1076" s="2" t="inlineStr">
        <is>
          <t/>
        </is>
      </c>
      <c r="I1076" s="2" t="inlineStr">
        <is>
          <t>700</t>
        </is>
      </c>
      <c r="J1076" s="4"/>
      <c r="K1076" s="2">
        <v>10</v>
      </c>
      <c r="L1076" s="6"/>
      <c r="M1076" s="2" t="str">
        <f>IF(J1076="",ROUND(I1076*(1-IF(ISBLANK(L1076),K1076,L1076)/100),2),ROUND(J1076*(1-IF(ISBLANK(L1076),K1076,L1076)/100),2))</f>
      </c>
      <c r="N1076" s="7" t="str">
        <f>IF(NOT(AND(J1076="",L1076="")),IF(OR(AND(L1076&lt;&gt;"",NOT(ISNUMBER(L1076))),IFERROR(MOD(L1076,1),1)&gt;0,AND(ISNUMBER(L1076),OR(L1076&lt;0,L1076&gt;95))),"Введите целое число от 0 до 95",IF(OR(AND(J1076&lt;&gt;"",NOT(ISNUMBER(J1076))),IFERROR(MOD(J1076,1),1)&gt;0,AND(ISNUMBER(J1076),OR(J1076&lt;50,J1076&gt;20000000))),"Введите целое число от 50 до 20000000",IF(NOT(ABS(IFERROR(VALUE(LEFT(M1076,FIND("-",M1076)-1)),M1076)*100-(5000+2000000000)/2)&lt;=ABS(5000-2000000000)/2),"Цена со скидкой должна быть от 50 до 20000000",IF(IFERROR(VALUE(LEFT(M1076,FIND("-",M1076)-1)),M1076)*229&lt;63000,"Вы уменьшили цену в несколько раз, товар попадет в карантин цен","")))),"")</f>
      </c>
    </row>
    <row r="1077">
      <c r="A1077" s="2" t="inlineStr">
        <is>
          <t>CuteShop</t>
        </is>
      </c>
      <c r="B1077" s="2" t="inlineStr">
        <is>
          <t>Держатели для пустышек</t>
        </is>
      </c>
      <c r="C1077" s="2">
        <v>173354706</v>
      </c>
      <c r="D1077" s="2" t="inlineStr">
        <is>
          <t>MishelEdin</t>
        </is>
      </c>
      <c r="E1077" s="2" t="inlineStr">
        <is>
          <t>2038381979811</t>
        </is>
      </c>
      <c r="F1077" s="2">
        <v>0</v>
      </c>
      <c r="G1077" s="2">
        <v>0</v>
      </c>
      <c r="H1077" s="2">
        <v>1</v>
      </c>
      <c r="I1077" s="2" t="inlineStr">
        <is>
          <t>1030</t>
        </is>
      </c>
      <c r="J1077" s="4"/>
      <c r="K1077" s="2">
        <v>10</v>
      </c>
      <c r="L1077" s="6"/>
      <c r="M1077" s="2" t="str">
        <f>IF(J1077="",ROUND(I1077*(1-IF(ISBLANK(L1077),K1077,L1077)/100),2),ROUND(J1077*(1-IF(ISBLANK(L1077),K1077,L1077)/100),2))</f>
      </c>
      <c r="N1077" s="7" t="str">
        <f>IF(NOT(AND(J1077="",L1077="")),IF(OR(AND(L1077&lt;&gt;"",NOT(ISNUMBER(L1077))),IFERROR(MOD(L1077,1),1)&gt;0,AND(ISNUMBER(L1077),OR(L1077&lt;0,L1077&gt;95))),"Введите целое число от 0 до 95",IF(OR(AND(J1077&lt;&gt;"",NOT(ISNUMBER(J1077))),IFERROR(MOD(J1077,1),1)&gt;0,AND(ISNUMBER(J1077),OR(J1077&lt;50,J1077&gt;20000000))),"Введите целое число от 50 до 20000000",IF(NOT(ABS(IFERROR(VALUE(LEFT(M1077,FIND("-",M1077)-1)),M1077)*100-(5000+2000000000)/2)&lt;=ABS(5000-2000000000)/2),"Цена со скидкой должна быть от 50 до 20000000",IF(IFERROR(VALUE(LEFT(M1077,FIND("-",M1077)-1)),M1077)*229&lt;92700,"Вы уменьшили цену в несколько раз, товар попадет в карантин цен","")))),"")</f>
      </c>
    </row>
    <row r="1078">
      <c r="A1078" s="2" t="inlineStr">
        <is>
          <t>CuteShop</t>
        </is>
      </c>
      <c r="B1078" s="2" t="inlineStr">
        <is>
          <t>Держатели для пустышек</t>
        </is>
      </c>
      <c r="C1078" s="2">
        <v>173478347</v>
      </c>
      <c r="D1078" s="2" t="inlineStr">
        <is>
          <t>MirushaEdin</t>
        </is>
      </c>
      <c r="E1078" s="2" t="inlineStr">
        <is>
          <t>2038389722457</t>
        </is>
      </c>
      <c r="F1078" s="2">
        <v>0</v>
      </c>
      <c r="G1078" s="2">
        <v>0</v>
      </c>
      <c r="H1078" s="2">
        <v>0</v>
      </c>
      <c r="I1078" s="2" t="inlineStr">
        <is>
          <t>1030</t>
        </is>
      </c>
      <c r="J1078" s="4"/>
      <c r="K1078" s="2">
        <v>10</v>
      </c>
      <c r="L1078" s="6"/>
      <c r="M1078" s="2" t="str">
        <f>IF(J1078="",ROUND(I1078*(1-IF(ISBLANK(L1078),K1078,L1078)/100),2),ROUND(J1078*(1-IF(ISBLANK(L1078),K1078,L1078)/100),2))</f>
      </c>
      <c r="N1078" s="7" t="str">
        <f>IF(NOT(AND(J1078="",L1078="")),IF(OR(AND(L1078&lt;&gt;"",NOT(ISNUMBER(L1078))),IFERROR(MOD(L1078,1),1)&gt;0,AND(ISNUMBER(L1078),OR(L1078&lt;0,L1078&gt;95))),"Введите целое число от 0 до 95",IF(OR(AND(J1078&lt;&gt;"",NOT(ISNUMBER(J1078))),IFERROR(MOD(J1078,1),1)&gt;0,AND(ISNUMBER(J1078),OR(J1078&lt;50,J1078&gt;20000000))),"Введите целое число от 50 до 20000000",IF(NOT(ABS(IFERROR(VALUE(LEFT(M1078,FIND("-",M1078)-1)),M1078)*100-(5000+2000000000)/2)&lt;=ABS(5000-2000000000)/2),"Цена со скидкой должна быть от 50 до 20000000",IF(IFERROR(VALUE(LEFT(M1078,FIND("-",M1078)-1)),M1078)*229&lt;92700,"Вы уменьшили цену в несколько раз, товар попадет в карантин цен","")))),"")</f>
      </c>
    </row>
    <row r="1079">
      <c r="A1079" s="2" t="inlineStr">
        <is>
          <t>CuteShop</t>
        </is>
      </c>
      <c r="B1079" s="2" t="inlineStr">
        <is>
          <t>Держатели для пустышек</t>
        </is>
      </c>
      <c r="C1079" s="2">
        <v>439656846</v>
      </c>
      <c r="D1079" s="2" t="inlineStr">
        <is>
          <t>AnaraZay</t>
        </is>
      </c>
      <c r="E1079" s="2" t="inlineStr">
        <is>
          <t>2044388703397</t>
        </is>
      </c>
      <c r="F1079" s="2">
        <v>0</v>
      </c>
      <c r="G1079" s="2">
        <v>1</v>
      </c>
      <c r="H1079" s="2" t="inlineStr">
        <is>
          <t/>
        </is>
      </c>
      <c r="I1079" s="2" t="inlineStr">
        <is>
          <t>1030</t>
        </is>
      </c>
      <c r="J1079" s="4"/>
      <c r="K1079" s="2">
        <v>10</v>
      </c>
      <c r="L1079" s="6"/>
      <c r="M1079" s="2" t="str">
        <f>IF(J1079="",ROUND(I1079*(1-IF(ISBLANK(L1079),K1079,L1079)/100),2),ROUND(J1079*(1-IF(ISBLANK(L1079),K1079,L1079)/100),2))</f>
      </c>
      <c r="N1079" s="7" t="str">
        <f>IF(NOT(AND(J1079="",L1079="")),IF(OR(AND(L1079&lt;&gt;"",NOT(ISNUMBER(L1079))),IFERROR(MOD(L1079,1),1)&gt;0,AND(ISNUMBER(L1079),OR(L1079&lt;0,L1079&gt;95))),"Введите целое число от 0 до 95",IF(OR(AND(J1079&lt;&gt;"",NOT(ISNUMBER(J1079))),IFERROR(MOD(J1079,1),1)&gt;0,AND(ISNUMBER(J1079),OR(J1079&lt;50,J1079&gt;20000000))),"Введите целое число от 50 до 20000000",IF(NOT(ABS(IFERROR(VALUE(LEFT(M1079,FIND("-",M1079)-1)),M1079)*100-(5000+2000000000)/2)&lt;=ABS(5000-2000000000)/2),"Цена со скидкой должна быть от 50 до 20000000",IF(IFERROR(VALUE(LEFT(M1079,FIND("-",M1079)-1)),M1079)*229&lt;92700,"Вы уменьшили цену в несколько раз, товар попадет в карантин цен","")))),"")</f>
      </c>
    </row>
    <row r="1080">
      <c r="A1080" s="2" t="inlineStr">
        <is>
          <t>CuteShop</t>
        </is>
      </c>
      <c r="B1080" s="2" t="inlineStr">
        <is>
          <t>Держатели для пустышек</t>
        </is>
      </c>
      <c r="C1080" s="2">
        <v>218269292</v>
      </c>
      <c r="D1080" s="2" t="inlineStr">
        <is>
          <t>KamilKoala</t>
        </is>
      </c>
      <c r="E1080" s="2" t="inlineStr">
        <is>
          <t>2039683930579</t>
        </is>
      </c>
      <c r="F1080" s="2">
        <v>0</v>
      </c>
      <c r="G1080" s="2">
        <v>1</v>
      </c>
      <c r="H1080" s="2" t="inlineStr">
        <is>
          <t/>
        </is>
      </c>
      <c r="I1080" s="2" t="inlineStr">
        <is>
          <t>1030</t>
        </is>
      </c>
      <c r="J1080" s="4"/>
      <c r="K1080" s="2">
        <v>10</v>
      </c>
      <c r="L1080" s="6"/>
      <c r="M1080" s="2" t="str">
        <f>IF(J1080="",ROUND(I1080*(1-IF(ISBLANK(L1080),K1080,L1080)/100),2),ROUND(J1080*(1-IF(ISBLANK(L1080),K1080,L1080)/100),2))</f>
      </c>
      <c r="N1080" s="7" t="str">
        <f>IF(NOT(AND(J1080="",L1080="")),IF(OR(AND(L1080&lt;&gt;"",NOT(ISNUMBER(L1080))),IFERROR(MOD(L1080,1),1)&gt;0,AND(ISNUMBER(L1080),OR(L1080&lt;0,L1080&gt;95))),"Введите целое число от 0 до 95",IF(OR(AND(J1080&lt;&gt;"",NOT(ISNUMBER(J1080))),IFERROR(MOD(J1080,1),1)&gt;0,AND(ISNUMBER(J1080),OR(J1080&lt;50,J1080&gt;20000000))),"Введите целое число от 50 до 20000000",IF(NOT(ABS(IFERROR(VALUE(LEFT(M1080,FIND("-",M1080)-1)),M1080)*100-(5000+2000000000)/2)&lt;=ABS(5000-2000000000)/2),"Цена со скидкой должна быть от 50 до 20000000",IF(IFERROR(VALUE(LEFT(M1080,FIND("-",M1080)-1)),M1080)*229&lt;92700,"Вы уменьшили цену в несколько раз, товар попадет в карантин цен","")))),"")</f>
      </c>
    </row>
    <row r="1081">
      <c r="A1081" s="2" t="inlineStr">
        <is>
          <t>CuteShop</t>
        </is>
      </c>
      <c r="B1081" s="2" t="inlineStr">
        <is>
          <t>Держатели для пустышек</t>
        </is>
      </c>
      <c r="C1081" s="2">
        <v>111023791</v>
      </c>
      <c r="D1081" s="2" t="inlineStr">
        <is>
          <t>EvochkaEvaZay</t>
        </is>
      </c>
      <c r="E1081" s="2" t="inlineStr">
        <is>
          <t>2037452191626</t>
        </is>
      </c>
      <c r="F1081" s="2">
        <v>0</v>
      </c>
      <c r="G1081" s="2">
        <v>1</v>
      </c>
      <c r="H1081" s="2">
        <v>0</v>
      </c>
      <c r="I1081" s="2" t="inlineStr">
        <is>
          <t>1030</t>
        </is>
      </c>
      <c r="J1081" s="4"/>
      <c r="K1081" s="2">
        <v>10</v>
      </c>
      <c r="L1081" s="6"/>
      <c r="M1081" s="2" t="str">
        <f>IF(J1081="",ROUND(I1081*(1-IF(ISBLANK(L1081),K1081,L1081)/100),2),ROUND(J1081*(1-IF(ISBLANK(L1081),K1081,L1081)/100),2))</f>
      </c>
      <c r="N1081" s="7" t="str">
        <f>IF(NOT(AND(J1081="",L1081="")),IF(OR(AND(L1081&lt;&gt;"",NOT(ISNUMBER(L1081))),IFERROR(MOD(L1081,1),1)&gt;0,AND(ISNUMBER(L1081),OR(L1081&lt;0,L1081&gt;95))),"Введите целое число от 0 до 95",IF(OR(AND(J1081&lt;&gt;"",NOT(ISNUMBER(J1081))),IFERROR(MOD(J1081,1),1)&gt;0,AND(ISNUMBER(J1081),OR(J1081&lt;50,J1081&gt;20000000))),"Введите целое число от 50 до 20000000",IF(NOT(ABS(IFERROR(VALUE(LEFT(M1081,FIND("-",M1081)-1)),M1081)*100-(5000+2000000000)/2)&lt;=ABS(5000-2000000000)/2),"Цена со скидкой должна быть от 50 до 20000000",IF(IFERROR(VALUE(LEFT(M1081,FIND("-",M1081)-1)),M1081)*229&lt;92700,"Вы уменьшили цену в несколько раз, товар попадет в карантин цен","")))),"")</f>
      </c>
    </row>
    <row r="1082">
      <c r="A1082" s="2" t="inlineStr">
        <is>
          <t>CuteShop</t>
        </is>
      </c>
      <c r="B1082" s="2" t="inlineStr">
        <is>
          <t>Держатели для пустышек</t>
        </is>
      </c>
      <c r="C1082" s="2">
        <v>111023793</v>
      </c>
      <c r="D1082" s="2" t="inlineStr">
        <is>
          <t>EvochkaSlonik</t>
        </is>
      </c>
      <c r="E1082" s="2" t="inlineStr">
        <is>
          <t>2037449965629</t>
        </is>
      </c>
      <c r="F1082" s="2">
        <v>0</v>
      </c>
      <c r="G1082" s="2">
        <v>1</v>
      </c>
      <c r="H1082" s="2">
        <v>0</v>
      </c>
      <c r="I1082" s="2" t="inlineStr">
        <is>
          <t>1030</t>
        </is>
      </c>
      <c r="J1082" s="4"/>
      <c r="K1082" s="2">
        <v>10</v>
      </c>
      <c r="L1082" s="6"/>
      <c r="M1082" s="2" t="str">
        <f>IF(J1082="",ROUND(I1082*(1-IF(ISBLANK(L1082),K1082,L1082)/100),2),ROUND(J1082*(1-IF(ISBLANK(L1082),K1082,L1082)/100),2))</f>
      </c>
      <c r="N1082" s="7" t="str">
        <f>IF(NOT(AND(J1082="",L1082="")),IF(OR(AND(L1082&lt;&gt;"",NOT(ISNUMBER(L1082))),IFERROR(MOD(L1082,1),1)&gt;0,AND(ISNUMBER(L1082),OR(L1082&lt;0,L1082&gt;95))),"Введите целое число от 0 до 95",IF(OR(AND(J1082&lt;&gt;"",NOT(ISNUMBER(J1082))),IFERROR(MOD(J1082,1),1)&gt;0,AND(ISNUMBER(J1082),OR(J1082&lt;50,J1082&gt;20000000))),"Введите целое число от 50 до 20000000",IF(NOT(ABS(IFERROR(VALUE(LEFT(M1082,FIND("-",M1082)-1)),M1082)*100-(5000+2000000000)/2)&lt;=ABS(5000-2000000000)/2),"Цена со скидкой должна быть от 50 до 20000000",IF(IFERROR(VALUE(LEFT(M1082,FIND("-",M1082)-1)),M1082)*229&lt;92700,"Вы уменьшили цену в несколько раз, товар попадет в карантин цен","")))),"")</f>
      </c>
    </row>
    <row r="1083">
      <c r="A1083" s="2" t="inlineStr">
        <is>
          <t>CuteShop</t>
        </is>
      </c>
      <c r="B1083" s="2" t="inlineStr">
        <is>
          <t>Держатели для пустышек</t>
        </is>
      </c>
      <c r="C1083" s="2">
        <v>111946409</v>
      </c>
      <c r="D1083" s="2" t="inlineStr">
        <is>
          <t>LianaZay</t>
        </is>
      </c>
      <c r="E1083" s="2" t="inlineStr">
        <is>
          <t>2038490929622</t>
        </is>
      </c>
      <c r="F1083" s="2">
        <v>0</v>
      </c>
      <c r="G1083" s="2">
        <v>0</v>
      </c>
      <c r="H1083" s="2" t="inlineStr">
        <is>
          <t/>
        </is>
      </c>
      <c r="I1083" s="2" t="inlineStr">
        <is>
          <t>1030</t>
        </is>
      </c>
      <c r="J1083" s="4"/>
      <c r="K1083" s="2">
        <v>10</v>
      </c>
      <c r="L1083" s="6"/>
      <c r="M1083" s="2" t="str">
        <f>IF(J1083="",ROUND(I1083*(1-IF(ISBLANK(L1083),K1083,L1083)/100),2),ROUND(J1083*(1-IF(ISBLANK(L1083),K1083,L1083)/100),2))</f>
      </c>
      <c r="N1083" s="7" t="str">
        <f>IF(NOT(AND(J1083="",L1083="")),IF(OR(AND(L1083&lt;&gt;"",NOT(ISNUMBER(L1083))),IFERROR(MOD(L1083,1),1)&gt;0,AND(ISNUMBER(L1083),OR(L1083&lt;0,L1083&gt;95))),"Введите целое число от 0 до 95",IF(OR(AND(J1083&lt;&gt;"",NOT(ISNUMBER(J1083))),IFERROR(MOD(J1083,1),1)&gt;0,AND(ISNUMBER(J1083),OR(J1083&lt;50,J1083&gt;20000000))),"Введите целое число от 50 до 20000000",IF(NOT(ABS(IFERROR(VALUE(LEFT(M1083,FIND("-",M1083)-1)),M1083)*100-(5000+2000000000)/2)&lt;=ABS(5000-2000000000)/2),"Цена со скидкой должна быть от 50 до 20000000",IF(IFERROR(VALUE(LEFT(M1083,FIND("-",M1083)-1)),M1083)*229&lt;92700,"Вы уменьшили цену в несколько раз, товар попадет в карантин цен","")))),"")</f>
      </c>
    </row>
    <row r="1084">
      <c r="A1084" s="2" t="inlineStr">
        <is>
          <t>CuteShop</t>
        </is>
      </c>
      <c r="B1084" s="2" t="inlineStr">
        <is>
          <t>Держатели для пустышек</t>
        </is>
      </c>
      <c r="C1084" s="2">
        <v>147190240</v>
      </c>
      <c r="D1084" s="2" t="inlineStr">
        <is>
          <t>GlebBG</t>
        </is>
      </c>
      <c r="E1084" s="2" t="inlineStr">
        <is>
          <t>2037486071666</t>
        </is>
      </c>
      <c r="F1084" s="2">
        <v>0</v>
      </c>
      <c r="G1084" s="2">
        <v>1</v>
      </c>
      <c r="H1084" s="2">
        <v>0</v>
      </c>
      <c r="I1084" s="2" t="inlineStr">
        <is>
          <t>790</t>
        </is>
      </c>
      <c r="J1084" s="4"/>
      <c r="K1084" s="2">
        <v>10</v>
      </c>
      <c r="L1084" s="6"/>
      <c r="M1084" s="2" t="str">
        <f>IF(J1084="",ROUND(I1084*(1-IF(ISBLANK(L1084),K1084,L1084)/100),2),ROUND(J1084*(1-IF(ISBLANK(L1084),K1084,L1084)/100),2))</f>
      </c>
      <c r="N1084" s="7" t="str">
        <f>IF(NOT(AND(J1084="",L1084="")),IF(OR(AND(L1084&lt;&gt;"",NOT(ISNUMBER(L1084))),IFERROR(MOD(L1084,1),1)&gt;0,AND(ISNUMBER(L1084),OR(L1084&lt;0,L1084&gt;95))),"Введите целое число от 0 до 95",IF(OR(AND(J1084&lt;&gt;"",NOT(ISNUMBER(J1084))),IFERROR(MOD(J1084,1),1)&gt;0,AND(ISNUMBER(J1084),OR(J1084&lt;50,J1084&gt;20000000))),"Введите целое число от 50 до 20000000",IF(NOT(ABS(IFERROR(VALUE(LEFT(M1084,FIND("-",M1084)-1)),M1084)*100-(5000+2000000000)/2)&lt;=ABS(5000-2000000000)/2),"Цена со скидкой должна быть от 50 до 20000000",IF(IFERROR(VALUE(LEFT(M1084,FIND("-",M1084)-1)),M1084)*229&lt;71100,"Вы уменьшили цену в несколько раз, товар попадет в карантин цен","")))),"")</f>
      </c>
    </row>
    <row r="1085">
      <c r="A1085" s="2" t="inlineStr">
        <is>
          <t>CuteShop</t>
        </is>
      </c>
      <c r="B1085" s="2" t="inlineStr">
        <is>
          <t>Держатели для пустышек</t>
        </is>
      </c>
      <c r="C1085" s="2">
        <v>147190242</v>
      </c>
      <c r="D1085" s="2" t="inlineStr">
        <is>
          <t>GlebKoala</t>
        </is>
      </c>
      <c r="E1085" s="2" t="inlineStr">
        <is>
          <t>2037486072977</t>
        </is>
      </c>
      <c r="F1085" s="2">
        <v>0</v>
      </c>
      <c r="G1085" s="2">
        <v>1</v>
      </c>
      <c r="H1085" s="2" t="inlineStr">
        <is>
          <t/>
        </is>
      </c>
      <c r="I1085" s="2" t="inlineStr">
        <is>
          <t>1030</t>
        </is>
      </c>
      <c r="J1085" s="4"/>
      <c r="K1085" s="2">
        <v>10</v>
      </c>
      <c r="L1085" s="6"/>
      <c r="M1085" s="2" t="str">
        <f>IF(J1085="",ROUND(I1085*(1-IF(ISBLANK(L1085),K1085,L1085)/100),2),ROUND(J1085*(1-IF(ISBLANK(L1085),K1085,L1085)/100),2))</f>
      </c>
      <c r="N1085" s="7" t="str">
        <f>IF(NOT(AND(J1085="",L1085="")),IF(OR(AND(L1085&lt;&gt;"",NOT(ISNUMBER(L1085))),IFERROR(MOD(L1085,1),1)&gt;0,AND(ISNUMBER(L1085),OR(L1085&lt;0,L1085&gt;95))),"Введите целое число от 0 до 95",IF(OR(AND(J1085&lt;&gt;"",NOT(ISNUMBER(J1085))),IFERROR(MOD(J1085,1),1)&gt;0,AND(ISNUMBER(J1085),OR(J1085&lt;50,J1085&gt;20000000))),"Введите целое число от 50 до 20000000",IF(NOT(ABS(IFERROR(VALUE(LEFT(M1085,FIND("-",M1085)-1)),M1085)*100-(5000+2000000000)/2)&lt;=ABS(5000-2000000000)/2),"Цена со скидкой должна быть от 50 до 20000000",IF(IFERROR(VALUE(LEFT(M1085,FIND("-",M1085)-1)),M1085)*229&lt;92700,"Вы уменьшили цену в несколько раз, товар попадет в карантин цен","")))),"")</f>
      </c>
    </row>
    <row r="1086">
      <c r="A1086" s="2" t="inlineStr">
        <is>
          <t>CuteShop</t>
        </is>
      </c>
      <c r="B1086" s="2" t="inlineStr">
        <is>
          <t>Держатели для пустышек</t>
        </is>
      </c>
      <c r="C1086" s="2">
        <v>173347723</v>
      </c>
      <c r="D1086" s="2" t="inlineStr">
        <is>
          <t>AminaBel</t>
        </is>
      </c>
      <c r="E1086" s="2" t="inlineStr">
        <is>
          <t>2038381540264</t>
        </is>
      </c>
      <c r="F1086" s="2">
        <v>0</v>
      </c>
      <c r="G1086" s="2">
        <v>1</v>
      </c>
      <c r="H1086" s="2" t="inlineStr">
        <is>
          <t/>
        </is>
      </c>
      <c r="I1086" s="2" t="inlineStr">
        <is>
          <t>1030</t>
        </is>
      </c>
      <c r="J1086" s="4"/>
      <c r="K1086" s="2">
        <v>10</v>
      </c>
      <c r="L1086" s="6"/>
      <c r="M1086" s="2" t="str">
        <f>IF(J1086="",ROUND(I1086*(1-IF(ISBLANK(L1086),K1086,L1086)/100),2),ROUND(J1086*(1-IF(ISBLANK(L1086),K1086,L1086)/100),2))</f>
      </c>
      <c r="N1086" s="7" t="str">
        <f>IF(NOT(AND(J1086="",L1086="")),IF(OR(AND(L1086&lt;&gt;"",NOT(ISNUMBER(L1086))),IFERROR(MOD(L1086,1),1)&gt;0,AND(ISNUMBER(L1086),OR(L1086&lt;0,L1086&gt;95))),"Введите целое число от 0 до 95",IF(OR(AND(J1086&lt;&gt;"",NOT(ISNUMBER(J1086))),IFERROR(MOD(J1086,1),1)&gt;0,AND(ISNUMBER(J1086),OR(J1086&lt;50,J1086&gt;20000000))),"Введите целое число от 50 до 20000000",IF(NOT(ABS(IFERROR(VALUE(LEFT(M1086,FIND("-",M1086)-1)),M1086)*100-(5000+2000000000)/2)&lt;=ABS(5000-2000000000)/2),"Цена со скидкой должна быть от 50 до 20000000",IF(IFERROR(VALUE(LEFT(M1086,FIND("-",M1086)-1)),M1086)*229&lt;92700,"Вы уменьшили цену в несколько раз, товар попадет в карантин цен","")))),"")</f>
      </c>
    </row>
    <row r="1087">
      <c r="A1087" s="2" t="inlineStr">
        <is>
          <t>CuteShop</t>
        </is>
      </c>
      <c r="B1087" s="2" t="inlineStr">
        <is>
          <t>Держатели для пустышек</t>
        </is>
      </c>
      <c r="C1087" s="2">
        <v>230345613</v>
      </c>
      <c r="D1087" s="2" t="inlineStr">
        <is>
          <t>MariyaMaruZay</t>
        </is>
      </c>
      <c r="E1087" s="2" t="inlineStr">
        <is>
          <t>2039967575052</t>
        </is>
      </c>
      <c r="F1087" s="2">
        <v>0</v>
      </c>
      <c r="G1087" s="2">
        <v>1</v>
      </c>
      <c r="H1087" s="2">
        <v>1</v>
      </c>
      <c r="I1087" s="2" t="inlineStr">
        <is>
          <t>1030</t>
        </is>
      </c>
      <c r="J1087" s="4"/>
      <c r="K1087" s="2">
        <v>10</v>
      </c>
      <c r="L1087" s="6"/>
      <c r="M1087" s="2" t="str">
        <f>IF(J1087="",ROUND(I1087*(1-IF(ISBLANK(L1087),K1087,L1087)/100),2),ROUND(J1087*(1-IF(ISBLANK(L1087),K1087,L1087)/100),2))</f>
      </c>
      <c r="N1087" s="7" t="str">
        <f>IF(NOT(AND(J1087="",L1087="")),IF(OR(AND(L1087&lt;&gt;"",NOT(ISNUMBER(L1087))),IFERROR(MOD(L1087,1),1)&gt;0,AND(ISNUMBER(L1087),OR(L1087&lt;0,L1087&gt;95))),"Введите целое число от 0 до 95",IF(OR(AND(J1087&lt;&gt;"",NOT(ISNUMBER(J1087))),IFERROR(MOD(J1087,1),1)&gt;0,AND(ISNUMBER(J1087),OR(J1087&lt;50,J1087&gt;20000000))),"Введите целое число от 50 до 20000000",IF(NOT(ABS(IFERROR(VALUE(LEFT(M1087,FIND("-",M1087)-1)),M1087)*100-(5000+2000000000)/2)&lt;=ABS(5000-2000000000)/2),"Цена со скидкой должна быть от 50 до 20000000",IF(IFERROR(VALUE(LEFT(M1087,FIND("-",M1087)-1)),M1087)*229&lt;92700,"Вы уменьшили цену в несколько раз, товар попадет в карантин цен","")))),"")</f>
      </c>
    </row>
    <row r="1088">
      <c r="A1088" s="2" t="inlineStr">
        <is>
          <t>CuteShop</t>
        </is>
      </c>
      <c r="B1088" s="2" t="inlineStr">
        <is>
          <t>Держатели для пустышек</t>
        </is>
      </c>
      <c r="C1088" s="2">
        <v>173347729</v>
      </c>
      <c r="D1088" s="2" t="inlineStr">
        <is>
          <t>AminaKot2</t>
        </is>
      </c>
      <c r="E1088" s="2" t="inlineStr">
        <is>
          <t>2038381545535</t>
        </is>
      </c>
      <c r="F1088" s="2">
        <v>0</v>
      </c>
      <c r="G1088" s="2">
        <v>0</v>
      </c>
      <c r="H1088" s="2" t="inlineStr">
        <is>
          <t/>
        </is>
      </c>
      <c r="I1088" s="2" t="inlineStr">
        <is>
          <t>1020</t>
        </is>
      </c>
      <c r="J1088" s="4"/>
      <c r="K1088" s="2">
        <v>10</v>
      </c>
      <c r="L1088" s="6"/>
      <c r="M1088" s="2" t="str">
        <f>IF(J1088="",ROUND(I1088*(1-IF(ISBLANK(L1088),K1088,L1088)/100),2),ROUND(J1088*(1-IF(ISBLANK(L1088),K1088,L1088)/100),2))</f>
      </c>
      <c r="N1088" s="7" t="str">
        <f>IF(NOT(AND(J1088="",L1088="")),IF(OR(AND(L1088&lt;&gt;"",NOT(ISNUMBER(L1088))),IFERROR(MOD(L1088,1),1)&gt;0,AND(ISNUMBER(L1088),OR(L1088&lt;0,L1088&gt;95))),"Введите целое число от 0 до 95",IF(OR(AND(J1088&lt;&gt;"",NOT(ISNUMBER(J1088))),IFERROR(MOD(J1088,1),1)&gt;0,AND(ISNUMBER(J1088),OR(J1088&lt;50,J1088&gt;20000000))),"Введите целое число от 50 до 20000000",IF(NOT(ABS(IFERROR(VALUE(LEFT(M1088,FIND("-",M1088)-1)),M1088)*100-(5000+2000000000)/2)&lt;=ABS(5000-2000000000)/2),"Цена со скидкой должна быть от 50 до 20000000",IF(IFERROR(VALUE(LEFT(M1088,FIND("-",M1088)-1)),M1088)*229&lt;91800,"Вы уменьшили цену в несколько раз, товар попадет в карантин цен","")))),"")</f>
      </c>
    </row>
    <row r="1089">
      <c r="A1089" s="2" t="inlineStr">
        <is>
          <t>CuteShop</t>
        </is>
      </c>
      <c r="B1089" s="2" t="inlineStr">
        <is>
          <t>Держатели для пустышек</t>
        </is>
      </c>
      <c r="C1089" s="2">
        <v>217977346</v>
      </c>
      <c r="D1089" s="2" t="inlineStr">
        <is>
          <t>MayaMish</t>
        </is>
      </c>
      <c r="E1089" s="2" t="inlineStr">
        <is>
          <t>2039673972329</t>
        </is>
      </c>
      <c r="F1089" s="2">
        <v>0</v>
      </c>
      <c r="G1089" s="2">
        <v>1</v>
      </c>
      <c r="H1089" s="2" t="inlineStr">
        <is>
          <t/>
        </is>
      </c>
      <c r="I1089" s="2" t="inlineStr">
        <is>
          <t>1030</t>
        </is>
      </c>
      <c r="J1089" s="4"/>
      <c r="K1089" s="2">
        <v>10</v>
      </c>
      <c r="L1089" s="6"/>
      <c r="M1089" s="2" t="str">
        <f>IF(J1089="",ROUND(I1089*(1-IF(ISBLANK(L1089),K1089,L1089)/100),2),ROUND(J1089*(1-IF(ISBLANK(L1089),K1089,L1089)/100),2))</f>
      </c>
      <c r="N1089" s="7" t="str">
        <f>IF(NOT(AND(J1089="",L1089="")),IF(OR(AND(L1089&lt;&gt;"",NOT(ISNUMBER(L1089))),IFERROR(MOD(L1089,1),1)&gt;0,AND(ISNUMBER(L1089),OR(L1089&lt;0,L1089&gt;95))),"Введите целое число от 0 до 95",IF(OR(AND(J1089&lt;&gt;"",NOT(ISNUMBER(J1089))),IFERROR(MOD(J1089,1),1)&gt;0,AND(ISNUMBER(J1089),OR(J1089&lt;50,J1089&gt;20000000))),"Введите целое число от 50 до 20000000",IF(NOT(ABS(IFERROR(VALUE(LEFT(M1089,FIND("-",M1089)-1)),M1089)*100-(5000+2000000000)/2)&lt;=ABS(5000-2000000000)/2),"Цена со скидкой должна быть от 50 до 20000000",IF(IFERROR(VALUE(LEFT(M1089,FIND("-",M1089)-1)),M1089)*229&lt;92700,"Вы уменьшили цену в несколько раз, товар попадет в карантин цен","")))),"")</f>
      </c>
    </row>
    <row r="1090">
      <c r="A1090" s="2" t="inlineStr">
        <is>
          <t>CuteShop</t>
        </is>
      </c>
      <c r="B1090" s="2" t="inlineStr">
        <is>
          <t>Держатели для пустышек</t>
        </is>
      </c>
      <c r="C1090" s="2">
        <v>230345612</v>
      </c>
      <c r="D1090" s="2" t="inlineStr">
        <is>
          <t>MariyaEdin</t>
        </is>
      </c>
      <c r="E1090" s="2" t="inlineStr">
        <is>
          <t>2039967574932</t>
        </is>
      </c>
      <c r="F1090" s="2">
        <v>0</v>
      </c>
      <c r="G1090" s="2">
        <v>0</v>
      </c>
      <c r="H1090" s="2" t="inlineStr">
        <is>
          <t/>
        </is>
      </c>
      <c r="I1090" s="2" t="inlineStr">
        <is>
          <t>1030</t>
        </is>
      </c>
      <c r="J1090" s="4"/>
      <c r="K1090" s="2">
        <v>10</v>
      </c>
      <c r="L1090" s="6"/>
      <c r="M1090" s="2" t="str">
        <f>IF(J1090="",ROUND(I1090*(1-IF(ISBLANK(L1090),K1090,L1090)/100),2),ROUND(J1090*(1-IF(ISBLANK(L1090),K1090,L1090)/100),2))</f>
      </c>
      <c r="N1090" s="7" t="str">
        <f>IF(NOT(AND(J1090="",L1090="")),IF(OR(AND(L1090&lt;&gt;"",NOT(ISNUMBER(L1090))),IFERROR(MOD(L1090,1),1)&gt;0,AND(ISNUMBER(L1090),OR(L1090&lt;0,L1090&gt;95))),"Введите целое число от 0 до 95",IF(OR(AND(J1090&lt;&gt;"",NOT(ISNUMBER(J1090))),IFERROR(MOD(J1090,1),1)&gt;0,AND(ISNUMBER(J1090),OR(J1090&lt;50,J1090&gt;20000000))),"Введите целое число от 50 до 20000000",IF(NOT(ABS(IFERROR(VALUE(LEFT(M1090,FIND("-",M1090)-1)),M1090)*100-(5000+2000000000)/2)&lt;=ABS(5000-2000000000)/2),"Цена со скидкой должна быть от 50 до 20000000",IF(IFERROR(VALUE(LEFT(M1090,FIND("-",M1090)-1)),M1090)*229&lt;92700,"Вы уменьшили цену в несколько раз, товар попадет в карантин цен","")))),"")</f>
      </c>
    </row>
    <row r="1091">
      <c r="A1091" s="2" t="inlineStr">
        <is>
          <t>CuteShop</t>
        </is>
      </c>
      <c r="B1091" s="2" t="inlineStr">
        <is>
          <t>Держатели для пустышек</t>
        </is>
      </c>
      <c r="C1091" s="2">
        <v>161022982</v>
      </c>
      <c r="D1091" s="2" t="inlineStr">
        <is>
          <t>TeonaZay</t>
        </is>
      </c>
      <c r="E1091" s="2" t="inlineStr">
        <is>
          <t>2037837707916</t>
        </is>
      </c>
      <c r="F1091" s="2">
        <v>0</v>
      </c>
      <c r="G1091" s="2">
        <v>0</v>
      </c>
      <c r="H1091" s="2" t="inlineStr">
        <is>
          <t/>
        </is>
      </c>
      <c r="I1091" s="2" t="inlineStr">
        <is>
          <t>1030</t>
        </is>
      </c>
      <c r="J1091" s="4"/>
      <c r="K1091" s="2">
        <v>10</v>
      </c>
      <c r="L1091" s="6"/>
      <c r="M1091" s="2" t="str">
        <f>IF(J1091="",ROUND(I1091*(1-IF(ISBLANK(L1091),K1091,L1091)/100),2),ROUND(J1091*(1-IF(ISBLANK(L1091),K1091,L1091)/100),2))</f>
      </c>
      <c r="N1091" s="7" t="str">
        <f>IF(NOT(AND(J1091="",L1091="")),IF(OR(AND(L1091&lt;&gt;"",NOT(ISNUMBER(L1091))),IFERROR(MOD(L1091,1),1)&gt;0,AND(ISNUMBER(L1091),OR(L1091&lt;0,L1091&gt;95))),"Введите целое число от 0 до 95",IF(OR(AND(J1091&lt;&gt;"",NOT(ISNUMBER(J1091))),IFERROR(MOD(J1091,1),1)&gt;0,AND(ISNUMBER(J1091),OR(J1091&lt;50,J1091&gt;20000000))),"Введите целое число от 50 до 20000000",IF(NOT(ABS(IFERROR(VALUE(LEFT(M1091,FIND("-",M1091)-1)),M1091)*100-(5000+2000000000)/2)&lt;=ABS(5000-2000000000)/2),"Цена со скидкой должна быть от 50 до 20000000",IF(IFERROR(VALUE(LEFT(M1091,FIND("-",M1091)-1)),M1091)*229&lt;92700,"Вы уменьшили цену в несколько раз, товар попадет в карантин цен","")))),"")</f>
      </c>
    </row>
    <row r="1092">
      <c r="A1092" s="2" t="inlineStr">
        <is>
          <t>CuteShop</t>
        </is>
      </c>
      <c r="B1092" s="2" t="inlineStr">
        <is>
          <t>Держатели для пустышек</t>
        </is>
      </c>
      <c r="C1092" s="2">
        <v>146355733</v>
      </c>
      <c r="D1092" s="2" t="inlineStr">
        <is>
          <t>RuslanKoala</t>
        </is>
      </c>
      <c r="E1092" s="2" t="inlineStr">
        <is>
          <t>2037465648544</t>
        </is>
      </c>
      <c r="F1092" s="2">
        <v>0</v>
      </c>
      <c r="G1092" s="2">
        <v>1</v>
      </c>
      <c r="H1092" s="2">
        <v>0</v>
      </c>
      <c r="I1092" s="2" t="inlineStr">
        <is>
          <t>1030</t>
        </is>
      </c>
      <c r="J1092" s="4"/>
      <c r="K1092" s="2">
        <v>10</v>
      </c>
      <c r="L1092" s="6"/>
      <c r="M1092" s="2" t="str">
        <f>IF(J1092="",ROUND(I1092*(1-IF(ISBLANK(L1092),K1092,L1092)/100),2),ROUND(J1092*(1-IF(ISBLANK(L1092),K1092,L1092)/100),2))</f>
      </c>
      <c r="N1092" s="7" t="str">
        <f>IF(NOT(AND(J1092="",L1092="")),IF(OR(AND(L1092&lt;&gt;"",NOT(ISNUMBER(L1092))),IFERROR(MOD(L1092,1),1)&gt;0,AND(ISNUMBER(L1092),OR(L1092&lt;0,L1092&gt;95))),"Введите целое число от 0 до 95",IF(OR(AND(J1092&lt;&gt;"",NOT(ISNUMBER(J1092))),IFERROR(MOD(J1092,1),1)&gt;0,AND(ISNUMBER(J1092),OR(J1092&lt;50,J1092&gt;20000000))),"Введите целое число от 50 до 20000000",IF(NOT(ABS(IFERROR(VALUE(LEFT(M1092,FIND("-",M1092)-1)),M1092)*100-(5000+2000000000)/2)&lt;=ABS(5000-2000000000)/2),"Цена со скидкой должна быть от 50 до 20000000",IF(IFERROR(VALUE(LEFT(M1092,FIND("-",M1092)-1)),M1092)*229&lt;92700,"Вы уменьшили цену в несколько раз, товар попадет в карантин цен","")))),"")</f>
      </c>
    </row>
    <row r="1093">
      <c r="A1093" s="2" t="inlineStr">
        <is>
          <t>CuteShop</t>
        </is>
      </c>
      <c r="B1093" s="2" t="inlineStr">
        <is>
          <t>Держатели для пустышек</t>
        </is>
      </c>
      <c r="C1093" s="2">
        <v>179069541</v>
      </c>
      <c r="D1093" s="2" t="inlineStr">
        <is>
          <t>KatyaMish</t>
        </is>
      </c>
      <c r="E1093" s="2" t="inlineStr">
        <is>
          <t>2038691486481</t>
        </is>
      </c>
      <c r="F1093" s="2">
        <v>0</v>
      </c>
      <c r="G1093" s="2">
        <v>0</v>
      </c>
      <c r="H1093" s="2" t="inlineStr">
        <is>
          <t/>
        </is>
      </c>
      <c r="I1093" s="2" t="inlineStr">
        <is>
          <t>1030</t>
        </is>
      </c>
      <c r="J1093" s="4"/>
      <c r="K1093" s="2">
        <v>10</v>
      </c>
      <c r="L1093" s="6"/>
      <c r="M1093" s="2" t="str">
        <f>IF(J1093="",ROUND(I1093*(1-IF(ISBLANK(L1093),K1093,L1093)/100),2),ROUND(J1093*(1-IF(ISBLANK(L1093),K1093,L1093)/100),2))</f>
      </c>
      <c r="N1093" s="7" t="str">
        <f>IF(NOT(AND(J1093="",L1093="")),IF(OR(AND(L1093&lt;&gt;"",NOT(ISNUMBER(L1093))),IFERROR(MOD(L1093,1),1)&gt;0,AND(ISNUMBER(L1093),OR(L1093&lt;0,L1093&gt;95))),"Введите целое число от 0 до 95",IF(OR(AND(J1093&lt;&gt;"",NOT(ISNUMBER(J1093))),IFERROR(MOD(J1093,1),1)&gt;0,AND(ISNUMBER(J1093),OR(J1093&lt;50,J1093&gt;20000000))),"Введите целое число от 50 до 20000000",IF(NOT(ABS(IFERROR(VALUE(LEFT(M1093,FIND("-",M1093)-1)),M1093)*100-(5000+2000000000)/2)&lt;=ABS(5000-2000000000)/2),"Цена со скидкой должна быть от 50 до 20000000",IF(IFERROR(VALUE(LEFT(M1093,FIND("-",M1093)-1)),M1093)*229&lt;92700,"Вы уменьшили цену в несколько раз, товар попадет в карантин цен","")))),"")</f>
      </c>
    </row>
    <row r="1094">
      <c r="A1094" s="2" t="inlineStr">
        <is>
          <t>CuteShop</t>
        </is>
      </c>
      <c r="B1094" s="2" t="inlineStr">
        <is>
          <t>Держатели для пустышек</t>
        </is>
      </c>
      <c r="C1094" s="2">
        <v>275629372</v>
      </c>
      <c r="D1094" s="2" t="inlineStr">
        <is>
          <t>Derzh-Nab1</t>
        </is>
      </c>
      <c r="E1094" s="2" t="inlineStr">
        <is>
          <t>2041601037796</t>
        </is>
      </c>
      <c r="F1094" s="2">
        <v>0</v>
      </c>
      <c r="G1094" s="2">
        <v>1</v>
      </c>
      <c r="H1094" s="2" t="inlineStr">
        <is>
          <t/>
        </is>
      </c>
      <c r="I1094" s="2" t="inlineStr">
        <is>
          <t>580</t>
        </is>
      </c>
      <c r="J1094" s="4"/>
      <c r="K1094" s="2">
        <v>10</v>
      </c>
      <c r="L1094" s="6"/>
      <c r="M1094" s="2" t="str">
        <f>IF(J1094="",ROUND(I1094*(1-IF(ISBLANK(L1094),K1094,L1094)/100),2),ROUND(J1094*(1-IF(ISBLANK(L1094),K1094,L1094)/100),2))</f>
      </c>
      <c r="N1094" s="7" t="str">
        <f>IF(NOT(AND(J1094="",L1094="")),IF(OR(AND(L1094&lt;&gt;"",NOT(ISNUMBER(L1094))),IFERROR(MOD(L1094,1),1)&gt;0,AND(ISNUMBER(L1094),OR(L1094&lt;0,L1094&gt;95))),"Введите целое число от 0 до 95",IF(OR(AND(J1094&lt;&gt;"",NOT(ISNUMBER(J1094))),IFERROR(MOD(J1094,1),1)&gt;0,AND(ISNUMBER(J1094),OR(J1094&lt;50,J1094&gt;20000000))),"Введите целое число от 50 до 20000000",IF(NOT(ABS(IFERROR(VALUE(LEFT(M1094,FIND("-",M1094)-1)),M1094)*100-(5000+2000000000)/2)&lt;=ABS(5000-2000000000)/2),"Цена со скидкой должна быть от 50 до 20000000",IF(IFERROR(VALUE(LEFT(M1094,FIND("-",M1094)-1)),M1094)*229&lt;52200,"Вы уменьшили цену в несколько раз, товар попадет в карантин цен","")))),"")</f>
      </c>
    </row>
    <row r="1095">
      <c r="A1095" s="2" t="inlineStr">
        <is>
          <t>CuteShop</t>
        </is>
      </c>
      <c r="B1095" s="2" t="inlineStr">
        <is>
          <t>Держатели для пустышек</t>
        </is>
      </c>
      <c r="C1095" s="2">
        <v>156230065</v>
      </c>
      <c r="D1095" s="2" t="inlineStr">
        <is>
          <t>YanochkaLev</t>
        </is>
      </c>
      <c r="E1095" s="2" t="inlineStr">
        <is>
          <t>2037706171381</t>
        </is>
      </c>
      <c r="F1095" s="2">
        <v>0</v>
      </c>
      <c r="G1095" s="2">
        <v>1</v>
      </c>
      <c r="H1095" s="2">
        <v>0</v>
      </c>
      <c r="I1095" s="2" t="inlineStr">
        <is>
          <t>1030</t>
        </is>
      </c>
      <c r="J1095" s="4"/>
      <c r="K1095" s="2">
        <v>10</v>
      </c>
      <c r="L1095" s="6"/>
      <c r="M1095" s="2" t="str">
        <f>IF(J1095="",ROUND(I1095*(1-IF(ISBLANK(L1095),K1095,L1095)/100),2),ROUND(J1095*(1-IF(ISBLANK(L1095),K1095,L1095)/100),2))</f>
      </c>
      <c r="N1095" s="7" t="str">
        <f>IF(NOT(AND(J1095="",L1095="")),IF(OR(AND(L1095&lt;&gt;"",NOT(ISNUMBER(L1095))),IFERROR(MOD(L1095,1),1)&gt;0,AND(ISNUMBER(L1095),OR(L1095&lt;0,L1095&gt;95))),"Введите целое число от 0 до 95",IF(OR(AND(J1095&lt;&gt;"",NOT(ISNUMBER(J1095))),IFERROR(MOD(J1095,1),1)&gt;0,AND(ISNUMBER(J1095),OR(J1095&lt;50,J1095&gt;20000000))),"Введите целое число от 50 до 20000000",IF(NOT(ABS(IFERROR(VALUE(LEFT(M1095,FIND("-",M1095)-1)),M1095)*100-(5000+2000000000)/2)&lt;=ABS(5000-2000000000)/2),"Цена со скидкой должна быть от 50 до 20000000",IF(IFERROR(VALUE(LEFT(M1095,FIND("-",M1095)-1)),M1095)*229&lt;92700,"Вы уменьшили цену в несколько раз, товар попадет в карантин цен","")))),"")</f>
      </c>
    </row>
    <row r="1096">
      <c r="A1096" s="2" t="inlineStr">
        <is>
          <t>CuteShop</t>
        </is>
      </c>
      <c r="B1096" s="2" t="inlineStr">
        <is>
          <t>Держатели для пустышек</t>
        </is>
      </c>
      <c r="C1096" s="2">
        <v>439732711</v>
      </c>
      <c r="D1096" s="2" t="inlineStr">
        <is>
          <t>AnaraBG3</t>
        </is>
      </c>
      <c r="E1096" s="2" t="inlineStr">
        <is>
          <t>2044390684479</t>
        </is>
      </c>
      <c r="F1096" s="2">
        <v>0</v>
      </c>
      <c r="G1096" s="2">
        <v>2</v>
      </c>
      <c r="H1096" s="2" t="inlineStr">
        <is>
          <t/>
        </is>
      </c>
      <c r="I1096" s="2" t="inlineStr">
        <is>
          <t>1030</t>
        </is>
      </c>
      <c r="J1096" s="4"/>
      <c r="K1096" s="2">
        <v>0</v>
      </c>
      <c r="L1096" s="6"/>
      <c r="M1096" s="2" t="str">
        <f>IF(J1096="",ROUND(I1096*(1-IF(ISBLANK(L1096),K1096,L1096)/100),2),ROUND(J1096*(1-IF(ISBLANK(L1096),K1096,L1096)/100),2))</f>
      </c>
      <c r="N1096" s="7" t="str">
        <f>IF(NOT(AND(J1096="",L1096="")),IF(OR(AND(L1096&lt;&gt;"",NOT(ISNUMBER(L1096))),IFERROR(MOD(L1096,1),1)&gt;0,AND(ISNUMBER(L1096),OR(L1096&lt;0,L1096&gt;95))),"Введите целое число от 0 до 95",IF(OR(AND(J1096&lt;&gt;"",NOT(ISNUMBER(J1096))),IFERROR(MOD(J1096,1),1)&gt;0,AND(ISNUMBER(J1096),OR(J1096&lt;50,J1096&gt;20000000))),"Введите целое число от 50 до 20000000",IF(NOT(ABS(IFERROR(VALUE(LEFT(M1096,FIND("-",M1096)-1)),M1096)*100-(5000+2000000000)/2)&lt;=ABS(5000-2000000000)/2),"Цена со скидкой должна быть от 50 до 20000000",IF(IFERROR(VALUE(LEFT(M1096,FIND("-",M1096)-1)),M1096)*229&lt;103000,"Вы уменьшили цену в несколько раз, товар попадет в карантин цен","")))),"")</f>
      </c>
    </row>
    <row r="1097">
      <c r="A1097" s="2" t="inlineStr">
        <is>
          <t>CuteShop</t>
        </is>
      </c>
      <c r="B1097" s="2" t="inlineStr">
        <is>
          <t>Держатели для пустышек</t>
        </is>
      </c>
      <c r="C1097" s="2">
        <v>110575672</v>
      </c>
      <c r="D1097" s="2" t="inlineStr">
        <is>
          <t>ArtemKoalaBlue</t>
        </is>
      </c>
      <c r="E1097" s="2" t="inlineStr">
        <is>
          <t>2036812432621</t>
        </is>
      </c>
      <c r="F1097" s="2">
        <v>0</v>
      </c>
      <c r="G1097" s="2">
        <v>1</v>
      </c>
      <c r="H1097" s="2">
        <v>1</v>
      </c>
      <c r="I1097" s="2" t="inlineStr">
        <is>
          <t>1030</t>
        </is>
      </c>
      <c r="J1097" s="4"/>
      <c r="K1097" s="2">
        <v>10</v>
      </c>
      <c r="L1097" s="6"/>
      <c r="M1097" s="2" t="str">
        <f>IF(J1097="",ROUND(I1097*(1-IF(ISBLANK(L1097),K1097,L1097)/100),2),ROUND(J1097*(1-IF(ISBLANK(L1097),K1097,L1097)/100),2))</f>
      </c>
      <c r="N1097" s="7" t="str">
        <f>IF(NOT(AND(J1097="",L1097="")),IF(OR(AND(L1097&lt;&gt;"",NOT(ISNUMBER(L1097))),IFERROR(MOD(L1097,1),1)&gt;0,AND(ISNUMBER(L1097),OR(L1097&lt;0,L1097&gt;95))),"Введите целое число от 0 до 95",IF(OR(AND(J1097&lt;&gt;"",NOT(ISNUMBER(J1097))),IFERROR(MOD(J1097,1),1)&gt;0,AND(ISNUMBER(J1097),OR(J1097&lt;50,J1097&gt;20000000))),"Введите целое число от 50 до 20000000",IF(NOT(ABS(IFERROR(VALUE(LEFT(M1097,FIND("-",M1097)-1)),M1097)*100-(5000+2000000000)/2)&lt;=ABS(5000-2000000000)/2),"Цена со скидкой должна быть от 50 до 20000000",IF(IFERROR(VALUE(LEFT(M1097,FIND("-",M1097)-1)),M1097)*229&lt;92700,"Вы уменьшили цену в несколько раз, товар попадет в карантин цен","")))),"")</f>
      </c>
    </row>
    <row r="1098">
      <c r="A1098" s="2" t="inlineStr">
        <is>
          <t>CuteShop</t>
        </is>
      </c>
      <c r="B1098" s="2" t="inlineStr">
        <is>
          <t>Держатели для пустышек</t>
        </is>
      </c>
      <c r="C1098" s="2">
        <v>111023790</v>
      </c>
      <c r="D1098" s="2" t="inlineStr">
        <is>
          <t>EvochkaEvaMish</t>
        </is>
      </c>
      <c r="E1098" s="2" t="inlineStr">
        <is>
          <t>2037450229628</t>
        </is>
      </c>
      <c r="F1098" s="2">
        <v>0</v>
      </c>
      <c r="G1098" s="2">
        <v>1</v>
      </c>
      <c r="H1098" s="2">
        <v>0</v>
      </c>
      <c r="I1098" s="2" t="inlineStr">
        <is>
          <t>1030</t>
        </is>
      </c>
      <c r="J1098" s="4"/>
      <c r="K1098" s="2">
        <v>10</v>
      </c>
      <c r="L1098" s="6"/>
      <c r="M1098" s="2" t="str">
        <f>IF(J1098="",ROUND(I1098*(1-IF(ISBLANK(L1098),K1098,L1098)/100),2),ROUND(J1098*(1-IF(ISBLANK(L1098),K1098,L1098)/100),2))</f>
      </c>
      <c r="N1098" s="7" t="str">
        <f>IF(NOT(AND(J1098="",L1098="")),IF(OR(AND(L1098&lt;&gt;"",NOT(ISNUMBER(L1098))),IFERROR(MOD(L1098,1),1)&gt;0,AND(ISNUMBER(L1098),OR(L1098&lt;0,L1098&gt;95))),"Введите целое число от 0 до 95",IF(OR(AND(J1098&lt;&gt;"",NOT(ISNUMBER(J1098))),IFERROR(MOD(J1098,1),1)&gt;0,AND(ISNUMBER(J1098),OR(J1098&lt;50,J1098&gt;20000000))),"Введите целое число от 50 до 20000000",IF(NOT(ABS(IFERROR(VALUE(LEFT(M1098,FIND("-",M1098)-1)),M1098)*100-(5000+2000000000)/2)&lt;=ABS(5000-2000000000)/2),"Цена со скидкой должна быть от 50 до 20000000",IF(IFERROR(VALUE(LEFT(M1098,FIND("-",M1098)-1)),M1098)*229&lt;92700,"Вы уменьшили цену в несколько раз, товар попадет в карантин цен","")))),"")</f>
      </c>
    </row>
    <row r="1099">
      <c r="A1099" s="2" t="inlineStr">
        <is>
          <t>CuteShop</t>
        </is>
      </c>
      <c r="B1099" s="2" t="inlineStr">
        <is>
          <t>Держатели для пустышек</t>
        </is>
      </c>
      <c r="C1099" s="2">
        <v>253498784</v>
      </c>
      <c r="D1099" s="2" t="inlineStr">
        <is>
          <t>NikitaMishMyat</t>
        </is>
      </c>
      <c r="E1099" s="2" t="inlineStr">
        <is>
          <t>2040954476221</t>
        </is>
      </c>
      <c r="F1099" s="2">
        <v>0</v>
      </c>
      <c r="G1099" s="2">
        <v>1</v>
      </c>
      <c r="H1099" s="2" t="inlineStr">
        <is>
          <t/>
        </is>
      </c>
      <c r="I1099" s="2" t="inlineStr">
        <is>
          <t>1030</t>
        </is>
      </c>
      <c r="J1099" s="4"/>
      <c r="K1099" s="2">
        <v>10</v>
      </c>
      <c r="L1099" s="6"/>
      <c r="M1099" s="2" t="str">
        <f>IF(J1099="",ROUND(I1099*(1-IF(ISBLANK(L1099),K1099,L1099)/100),2),ROUND(J1099*(1-IF(ISBLANK(L1099),K1099,L1099)/100),2))</f>
      </c>
      <c r="N1099" s="7" t="str">
        <f>IF(NOT(AND(J1099="",L1099="")),IF(OR(AND(L1099&lt;&gt;"",NOT(ISNUMBER(L1099))),IFERROR(MOD(L1099,1),1)&gt;0,AND(ISNUMBER(L1099),OR(L1099&lt;0,L1099&gt;95))),"Введите целое число от 0 до 95",IF(OR(AND(J1099&lt;&gt;"",NOT(ISNUMBER(J1099))),IFERROR(MOD(J1099,1),1)&gt;0,AND(ISNUMBER(J1099),OR(J1099&lt;50,J1099&gt;20000000))),"Введите целое число от 50 до 20000000",IF(NOT(ABS(IFERROR(VALUE(LEFT(M1099,FIND("-",M1099)-1)),M1099)*100-(5000+2000000000)/2)&lt;=ABS(5000-2000000000)/2),"Цена со скидкой должна быть от 50 до 20000000",IF(IFERROR(VALUE(LEFT(M1099,FIND("-",M1099)-1)),M1099)*229&lt;92700,"Вы уменьшили цену в несколько раз, товар попадет в карантин цен","")))),"")</f>
      </c>
    </row>
    <row r="1100">
      <c r="A1100" s="2" t="inlineStr">
        <is>
          <t>CuteShop</t>
        </is>
      </c>
      <c r="B1100" s="2" t="inlineStr">
        <is>
          <t>Держатели для пустышек</t>
        </is>
      </c>
      <c r="C1100" s="2">
        <v>112952895</v>
      </c>
      <c r="D1100" s="2" t="inlineStr">
        <is>
          <t>DanyaMish2</t>
        </is>
      </c>
      <c r="E1100" s="2" t="inlineStr">
        <is>
          <t>2038999337621</t>
        </is>
      </c>
      <c r="F1100" s="2">
        <v>0</v>
      </c>
      <c r="G1100" s="2">
        <v>1</v>
      </c>
      <c r="H1100" s="2" t="inlineStr">
        <is>
          <t/>
        </is>
      </c>
      <c r="I1100" s="2" t="inlineStr">
        <is>
          <t>1030</t>
        </is>
      </c>
      <c r="J1100" s="4"/>
      <c r="K1100" s="2">
        <v>10</v>
      </c>
      <c r="L1100" s="6"/>
      <c r="M1100" s="2" t="str">
        <f>IF(J1100="",ROUND(I1100*(1-IF(ISBLANK(L1100),K1100,L1100)/100),2),ROUND(J1100*(1-IF(ISBLANK(L1100),K1100,L1100)/100),2))</f>
      </c>
      <c r="N1100" s="7" t="str">
        <f>IF(NOT(AND(J1100="",L1100="")),IF(OR(AND(L1100&lt;&gt;"",NOT(ISNUMBER(L1100))),IFERROR(MOD(L1100,1),1)&gt;0,AND(ISNUMBER(L1100),OR(L1100&lt;0,L1100&gt;95))),"Введите целое число от 0 до 95",IF(OR(AND(J1100&lt;&gt;"",NOT(ISNUMBER(J1100))),IFERROR(MOD(J1100,1),1)&gt;0,AND(ISNUMBER(J1100),OR(J1100&lt;50,J1100&gt;20000000))),"Введите целое число от 50 до 20000000",IF(NOT(ABS(IFERROR(VALUE(LEFT(M1100,FIND("-",M1100)-1)),M1100)*100-(5000+2000000000)/2)&lt;=ABS(5000-2000000000)/2),"Цена со скидкой должна быть от 50 до 20000000",IF(IFERROR(VALUE(LEFT(M1100,FIND("-",M1100)-1)),M1100)*229&lt;92700,"Вы уменьшили цену в несколько раз, товар попадет в карантин цен","")))),"")</f>
      </c>
    </row>
    <row r="1101">
      <c r="A1101" s="2" t="inlineStr">
        <is>
          <t>CuteShop</t>
        </is>
      </c>
      <c r="B1101" s="2" t="inlineStr">
        <is>
          <t>Держатели для пустышек</t>
        </is>
      </c>
      <c r="C1101" s="2">
        <v>245137015</v>
      </c>
      <c r="D1101" s="2" t="inlineStr">
        <is>
          <t>TimMish2</t>
        </is>
      </c>
      <c r="E1101" s="2" t="inlineStr">
        <is>
          <t>2040698840388</t>
        </is>
      </c>
      <c r="F1101" s="2">
        <v>0</v>
      </c>
      <c r="G1101" s="2">
        <v>1</v>
      </c>
      <c r="H1101" s="2" t="inlineStr">
        <is>
          <t/>
        </is>
      </c>
      <c r="I1101" s="2" t="inlineStr">
        <is>
          <t>920</t>
        </is>
      </c>
      <c r="J1101" s="4"/>
      <c r="K1101" s="2">
        <v>10</v>
      </c>
      <c r="L1101" s="6"/>
      <c r="M1101" s="2" t="str">
        <f>IF(J1101="",ROUND(I1101*(1-IF(ISBLANK(L1101),K1101,L1101)/100),2),ROUND(J1101*(1-IF(ISBLANK(L1101),K1101,L1101)/100),2))</f>
      </c>
      <c r="N1101" s="7" t="str">
        <f>IF(NOT(AND(J1101="",L1101="")),IF(OR(AND(L1101&lt;&gt;"",NOT(ISNUMBER(L1101))),IFERROR(MOD(L1101,1),1)&gt;0,AND(ISNUMBER(L1101),OR(L1101&lt;0,L1101&gt;95))),"Введите целое число от 0 до 95",IF(OR(AND(J1101&lt;&gt;"",NOT(ISNUMBER(J1101))),IFERROR(MOD(J1101,1),1)&gt;0,AND(ISNUMBER(J1101),OR(J1101&lt;50,J1101&gt;20000000))),"Введите целое число от 50 до 20000000",IF(NOT(ABS(IFERROR(VALUE(LEFT(M1101,FIND("-",M1101)-1)),M1101)*100-(5000+2000000000)/2)&lt;=ABS(5000-2000000000)/2),"Цена со скидкой должна быть от 50 до 20000000",IF(IFERROR(VALUE(LEFT(M1101,FIND("-",M1101)-1)),M1101)*229&lt;82800,"Вы уменьшили цену в несколько раз, товар попадет в карантин цен","")))),"")</f>
      </c>
    </row>
    <row r="1102">
      <c r="A1102" s="2" t="inlineStr">
        <is>
          <t>CuteShop</t>
        </is>
      </c>
      <c r="B1102" s="2" t="inlineStr">
        <is>
          <t>Держатели для пустышек</t>
        </is>
      </c>
      <c r="C1102" s="2">
        <v>147473618</v>
      </c>
      <c r="D1102" s="2" t="inlineStr">
        <is>
          <t>DianaBG2</t>
        </is>
      </c>
      <c r="E1102" s="2" t="inlineStr">
        <is>
          <t>2037493795784</t>
        </is>
      </c>
      <c r="F1102" s="2">
        <v>0</v>
      </c>
      <c r="G1102" s="2">
        <v>1</v>
      </c>
      <c r="H1102" s="2" t="inlineStr">
        <is>
          <t/>
        </is>
      </c>
      <c r="I1102" s="2" t="inlineStr">
        <is>
          <t>790</t>
        </is>
      </c>
      <c r="J1102" s="4"/>
      <c r="K1102" s="2">
        <v>10</v>
      </c>
      <c r="L1102" s="6"/>
      <c r="M1102" s="2" t="str">
        <f>IF(J1102="",ROUND(I1102*(1-IF(ISBLANK(L1102),K1102,L1102)/100),2),ROUND(J1102*(1-IF(ISBLANK(L1102),K1102,L1102)/100),2))</f>
      </c>
      <c r="N1102" s="7" t="str">
        <f>IF(NOT(AND(J1102="",L1102="")),IF(OR(AND(L1102&lt;&gt;"",NOT(ISNUMBER(L1102))),IFERROR(MOD(L1102,1),1)&gt;0,AND(ISNUMBER(L1102),OR(L1102&lt;0,L1102&gt;95))),"Введите целое число от 0 до 95",IF(OR(AND(J1102&lt;&gt;"",NOT(ISNUMBER(J1102))),IFERROR(MOD(J1102,1),1)&gt;0,AND(ISNUMBER(J1102),OR(J1102&lt;50,J1102&gt;20000000))),"Введите целое число от 50 до 20000000",IF(NOT(ABS(IFERROR(VALUE(LEFT(M1102,FIND("-",M1102)-1)),M1102)*100-(5000+2000000000)/2)&lt;=ABS(5000-2000000000)/2),"Цена со скидкой должна быть от 50 до 20000000",IF(IFERROR(VALUE(LEFT(M1102,FIND("-",M1102)-1)),M1102)*229&lt;71100,"Вы уменьшили цену в несколько раз, товар попадет в карантин цен","")))),"")</f>
      </c>
    </row>
    <row r="1103">
      <c r="A1103" s="2" t="inlineStr">
        <is>
          <t>CuteShop</t>
        </is>
      </c>
      <c r="B1103" s="2" t="inlineStr">
        <is>
          <t>Держатели для пустышек</t>
        </is>
      </c>
      <c r="C1103" s="2">
        <v>87721386</v>
      </c>
      <c r="D1103" s="2" t="inlineStr">
        <is>
          <t>TimBG</t>
        </is>
      </c>
      <c r="E1103" s="2" t="inlineStr">
        <is>
          <t>2034891860625</t>
        </is>
      </c>
      <c r="F1103" s="2">
        <v>0</v>
      </c>
      <c r="G1103" s="2">
        <v>1</v>
      </c>
      <c r="H1103" s="2">
        <v>0</v>
      </c>
      <c r="I1103" s="2" t="inlineStr">
        <is>
          <t>750</t>
        </is>
      </c>
      <c r="J1103" s="4"/>
      <c r="K1103" s="2">
        <v>10</v>
      </c>
      <c r="L1103" s="6"/>
      <c r="M1103" s="2" t="str">
        <f>IF(J1103="",ROUND(I1103*(1-IF(ISBLANK(L1103),K1103,L1103)/100),2),ROUND(J1103*(1-IF(ISBLANK(L1103),K1103,L1103)/100),2))</f>
      </c>
      <c r="N1103" s="7" t="str">
        <f>IF(NOT(AND(J1103="",L1103="")),IF(OR(AND(L1103&lt;&gt;"",NOT(ISNUMBER(L1103))),IFERROR(MOD(L1103,1),1)&gt;0,AND(ISNUMBER(L1103),OR(L1103&lt;0,L1103&gt;95))),"Введите целое число от 0 до 95",IF(OR(AND(J1103&lt;&gt;"",NOT(ISNUMBER(J1103))),IFERROR(MOD(J1103,1),1)&gt;0,AND(ISNUMBER(J1103),OR(J1103&lt;50,J1103&gt;20000000))),"Введите целое число от 50 до 20000000",IF(NOT(ABS(IFERROR(VALUE(LEFT(M1103,FIND("-",M1103)-1)),M1103)*100-(5000+2000000000)/2)&lt;=ABS(5000-2000000000)/2),"Цена со скидкой должна быть от 50 до 20000000",IF(IFERROR(VALUE(LEFT(M1103,FIND("-",M1103)-1)),M1103)*229&lt;67500,"Вы уменьшили цену в несколько раз, товар попадет в карантин цен","")))),"")</f>
      </c>
    </row>
    <row r="1104">
      <c r="A1104" s="2" t="inlineStr">
        <is>
          <t>CuteShop</t>
        </is>
      </c>
      <c r="B1104" s="2" t="inlineStr">
        <is>
          <t>Держатели для пустышек</t>
        </is>
      </c>
      <c r="C1104" s="2">
        <v>112358501</v>
      </c>
      <c r="D1104" s="2" t="inlineStr">
        <is>
          <t>AlisaKoala</t>
        </is>
      </c>
      <c r="E1104" s="2" t="inlineStr">
        <is>
          <t>2038780935623</t>
        </is>
      </c>
      <c r="F1104" s="2">
        <v>0</v>
      </c>
      <c r="G1104" s="2">
        <v>0</v>
      </c>
      <c r="H1104" s="2">
        <v>0</v>
      </c>
      <c r="I1104" s="2" t="inlineStr">
        <is>
          <t>1030</t>
        </is>
      </c>
      <c r="J1104" s="4"/>
      <c r="K1104" s="2">
        <v>10</v>
      </c>
      <c r="L1104" s="6"/>
      <c r="M1104" s="2" t="str">
        <f>IF(J1104="",ROUND(I1104*(1-IF(ISBLANK(L1104),K1104,L1104)/100),2),ROUND(J1104*(1-IF(ISBLANK(L1104),K1104,L1104)/100),2))</f>
      </c>
      <c r="N1104" s="7" t="str">
        <f>IF(NOT(AND(J1104="",L1104="")),IF(OR(AND(L1104&lt;&gt;"",NOT(ISNUMBER(L1104))),IFERROR(MOD(L1104,1),1)&gt;0,AND(ISNUMBER(L1104),OR(L1104&lt;0,L1104&gt;95))),"Введите целое число от 0 до 95",IF(OR(AND(J1104&lt;&gt;"",NOT(ISNUMBER(J1104))),IFERROR(MOD(J1104,1),1)&gt;0,AND(ISNUMBER(J1104),OR(J1104&lt;50,J1104&gt;20000000))),"Введите целое число от 50 до 20000000",IF(NOT(ABS(IFERROR(VALUE(LEFT(M1104,FIND("-",M1104)-1)),M1104)*100-(5000+2000000000)/2)&lt;=ABS(5000-2000000000)/2),"Цена со скидкой должна быть от 50 до 20000000",IF(IFERROR(VALUE(LEFT(M1104,FIND("-",M1104)-1)),M1104)*229&lt;92700,"Вы уменьшили цену в несколько раз, товар попадет в карантин цен","")))),"")</f>
      </c>
    </row>
    <row r="1105">
      <c r="A1105" s="2" t="inlineStr">
        <is>
          <t/>
        </is>
      </c>
      <c r="B1105" s="2" t="inlineStr">
        <is>
          <t>Ткани для рукоделия</t>
        </is>
      </c>
      <c r="C1105" s="2">
        <v>195362795</v>
      </c>
      <c r="D1105" s="2" t="inlineStr">
        <is>
          <t>Fatin-ZvezdNebo-Bel15-10</t>
        </is>
      </c>
      <c r="E1105" s="2" t="inlineStr">
        <is>
          <t>2039141920463</t>
        </is>
      </c>
      <c r="F1105" s="2">
        <v>0</v>
      </c>
      <c r="G1105" s="2">
        <v>0</v>
      </c>
      <c r="H1105" s="2" t="inlineStr">
        <is>
          <t/>
        </is>
      </c>
      <c r="I1105" s="2" t="inlineStr">
        <is>
          <t>530</t>
        </is>
      </c>
      <c r="J1105" s="4"/>
      <c r="K1105" s="2">
        <v>0</v>
      </c>
      <c r="L1105" s="6"/>
      <c r="M1105" s="2" t="str">
        <f>IF(J1105="",ROUND(I1105*(1-IF(ISBLANK(L1105),K1105,L1105)/100),2),ROUND(J1105*(1-IF(ISBLANK(L1105),K1105,L1105)/100),2))</f>
      </c>
      <c r="N1105" s="7" t="str">
        <f>IF(NOT(AND(J1105="",L1105="")),IF(OR(AND(L1105&lt;&gt;"",NOT(ISNUMBER(L1105))),IFERROR(MOD(L1105,1),1)&gt;0,AND(ISNUMBER(L1105),OR(L1105&lt;0,L1105&gt;95))),"Введите целое число от 0 до 95",IF(OR(AND(J1105&lt;&gt;"",NOT(ISNUMBER(J1105))),IFERROR(MOD(J1105,1),1)&gt;0,AND(ISNUMBER(J1105),OR(J1105&lt;50,J1105&gt;20000000))),"Введите целое число от 50 до 20000000",IF(NOT(ABS(IFERROR(VALUE(LEFT(M1105,FIND("-",M1105)-1)),M1105)*100-(5000+2000000000)/2)&lt;=ABS(5000-2000000000)/2),"Цена со скидкой должна быть от 50 до 20000000",IF(IFERROR(VALUE(LEFT(M1105,FIND("-",M1105)-1)),M1105)*190&lt;53000,"Вы уменьшили цену в несколько раз, товар попадет в карантин цен","")))),"")</f>
      </c>
    </row>
    <row r="1106">
      <c r="A1106" s="2" t="inlineStr">
        <is>
          <t>CuteShop</t>
        </is>
      </c>
      <c r="B1106" s="2" t="inlineStr">
        <is>
          <t>Держатели для пустышек</t>
        </is>
      </c>
      <c r="C1106" s="2">
        <v>87721389</v>
      </c>
      <c r="D1106" s="2" t="inlineStr">
        <is>
          <t>TimOlen</t>
        </is>
      </c>
      <c r="E1106" s="2" t="inlineStr">
        <is>
          <t>2034891964620</t>
        </is>
      </c>
      <c r="F1106" s="2">
        <v>0</v>
      </c>
      <c r="G1106" s="2">
        <v>0</v>
      </c>
      <c r="H1106" s="2">
        <v>0</v>
      </c>
      <c r="I1106" s="2" t="inlineStr">
        <is>
          <t>1030</t>
        </is>
      </c>
      <c r="J1106" s="4"/>
      <c r="K1106" s="2">
        <v>10</v>
      </c>
      <c r="L1106" s="6"/>
      <c r="M1106" s="2" t="str">
        <f>IF(J1106="",ROUND(I1106*(1-IF(ISBLANK(L1106),K1106,L1106)/100),2),ROUND(J1106*(1-IF(ISBLANK(L1106),K1106,L1106)/100),2))</f>
      </c>
      <c r="N1106" s="7" t="str">
        <f>IF(NOT(AND(J1106="",L1106="")),IF(OR(AND(L1106&lt;&gt;"",NOT(ISNUMBER(L1106))),IFERROR(MOD(L1106,1),1)&gt;0,AND(ISNUMBER(L1106),OR(L1106&lt;0,L1106&gt;95))),"Введите целое число от 0 до 95",IF(OR(AND(J1106&lt;&gt;"",NOT(ISNUMBER(J1106))),IFERROR(MOD(J1106,1),1)&gt;0,AND(ISNUMBER(J1106),OR(J1106&lt;50,J1106&gt;20000000))),"Введите целое число от 50 до 20000000",IF(NOT(ABS(IFERROR(VALUE(LEFT(M1106,FIND("-",M1106)-1)),M1106)*100-(5000+2000000000)/2)&lt;=ABS(5000-2000000000)/2),"Цена со скидкой должна быть от 50 до 20000000",IF(IFERROR(VALUE(LEFT(M1106,FIND("-",M1106)-1)),M1106)*229&lt;92700,"Вы уменьшили цену в несколько раз, товар попадет в карантин цен","")))),"")</f>
      </c>
    </row>
    <row r="1107">
      <c r="A1107" s="2" t="inlineStr">
        <is>
          <t>CuteShop</t>
        </is>
      </c>
      <c r="B1107" s="2" t="inlineStr">
        <is>
          <t>Держатели для пустышек</t>
        </is>
      </c>
      <c r="C1107" s="2">
        <v>112399650</v>
      </c>
      <c r="D1107" s="2" t="inlineStr">
        <is>
          <t>MiyaLis</t>
        </is>
      </c>
      <c r="E1107" s="2" t="inlineStr">
        <is>
          <t>2038790313626</t>
        </is>
      </c>
      <c r="F1107" s="2">
        <v>0</v>
      </c>
      <c r="G1107" s="2">
        <v>0</v>
      </c>
      <c r="H1107" s="2">
        <v>0</v>
      </c>
      <c r="I1107" s="2" t="inlineStr">
        <is>
          <t>1030</t>
        </is>
      </c>
      <c r="J1107" s="4"/>
      <c r="K1107" s="2">
        <v>10</v>
      </c>
      <c r="L1107" s="6"/>
      <c r="M1107" s="2" t="str">
        <f>IF(J1107="",ROUND(I1107*(1-IF(ISBLANK(L1107),K1107,L1107)/100),2),ROUND(J1107*(1-IF(ISBLANK(L1107),K1107,L1107)/100),2))</f>
      </c>
      <c r="N1107" s="7" t="str">
        <f>IF(NOT(AND(J1107="",L1107="")),IF(OR(AND(L1107&lt;&gt;"",NOT(ISNUMBER(L1107))),IFERROR(MOD(L1107,1),1)&gt;0,AND(ISNUMBER(L1107),OR(L1107&lt;0,L1107&gt;95))),"Введите целое число от 0 до 95",IF(OR(AND(J1107&lt;&gt;"",NOT(ISNUMBER(J1107))),IFERROR(MOD(J1107,1),1)&gt;0,AND(ISNUMBER(J1107),OR(J1107&lt;50,J1107&gt;20000000))),"Введите целое число от 50 до 20000000",IF(NOT(ABS(IFERROR(VALUE(LEFT(M1107,FIND("-",M1107)-1)),M1107)*100-(5000+2000000000)/2)&lt;=ABS(5000-2000000000)/2),"Цена со скидкой должна быть от 50 до 20000000",IF(IFERROR(VALUE(LEFT(M1107,FIND("-",M1107)-1)),M1107)*229&lt;92700,"Вы уменьшили цену в несколько раз, товар попадет в карантин цен","")))),"")</f>
      </c>
    </row>
    <row r="1108">
      <c r="A1108" s="2" t="inlineStr">
        <is>
          <t>CuteShop</t>
        </is>
      </c>
      <c r="B1108" s="2" t="inlineStr">
        <is>
          <t>Держатели для пустышек</t>
        </is>
      </c>
      <c r="C1108" s="2">
        <v>245139641</v>
      </c>
      <c r="D1108" s="2" t="inlineStr">
        <is>
          <t>RodionLis</t>
        </is>
      </c>
      <c r="E1108" s="2" t="inlineStr">
        <is>
          <t>2040698904882</t>
        </is>
      </c>
      <c r="F1108" s="2">
        <v>0</v>
      </c>
      <c r="G1108" s="2">
        <v>0</v>
      </c>
      <c r="H1108" s="2" t="inlineStr">
        <is>
          <t/>
        </is>
      </c>
      <c r="I1108" s="2" t="inlineStr">
        <is>
          <t>850</t>
        </is>
      </c>
      <c r="J1108" s="4"/>
      <c r="K1108" s="2">
        <v>10</v>
      </c>
      <c r="L1108" s="6"/>
      <c r="M1108" s="2" t="str">
        <f>IF(J1108="",ROUND(I1108*(1-IF(ISBLANK(L1108),K1108,L1108)/100),2),ROUND(J1108*(1-IF(ISBLANK(L1108),K1108,L1108)/100),2))</f>
      </c>
      <c r="N1108" s="7" t="str">
        <f>IF(NOT(AND(J1108="",L1108="")),IF(OR(AND(L1108&lt;&gt;"",NOT(ISNUMBER(L1108))),IFERROR(MOD(L1108,1),1)&gt;0,AND(ISNUMBER(L1108),OR(L1108&lt;0,L1108&gt;95))),"Введите целое число от 0 до 95",IF(OR(AND(J1108&lt;&gt;"",NOT(ISNUMBER(J1108))),IFERROR(MOD(J1108,1),1)&gt;0,AND(ISNUMBER(J1108),OR(J1108&lt;50,J1108&gt;20000000))),"Введите целое число от 50 до 20000000",IF(NOT(ABS(IFERROR(VALUE(LEFT(M1108,FIND("-",M1108)-1)),M1108)*100-(5000+2000000000)/2)&lt;=ABS(5000-2000000000)/2),"Цена со скидкой должна быть от 50 до 20000000",IF(IFERROR(VALUE(LEFT(M1108,FIND("-",M1108)-1)),M1108)*229&lt;76500,"Вы уменьшили цену в несколько раз, товар попадет в карантин цен","")))),"")</f>
      </c>
    </row>
    <row r="1109">
      <c r="A1109" s="2" t="inlineStr">
        <is>
          <t>CuteShop</t>
        </is>
      </c>
      <c r="B1109" s="2" t="inlineStr">
        <is>
          <t>Держатели для пустышек</t>
        </is>
      </c>
      <c r="C1109" s="2">
        <v>112947256</v>
      </c>
      <c r="D1109" s="2" t="inlineStr">
        <is>
          <t>UlyanaSlonSiren</t>
        </is>
      </c>
      <c r="E1109" s="2" t="inlineStr">
        <is>
          <t>2038996658620</t>
        </is>
      </c>
      <c r="F1109" s="2">
        <v>0</v>
      </c>
      <c r="G1109" s="2">
        <v>0</v>
      </c>
      <c r="H1109" s="2" t="inlineStr">
        <is>
          <t/>
        </is>
      </c>
      <c r="I1109" s="2" t="inlineStr">
        <is>
          <t>1030</t>
        </is>
      </c>
      <c r="J1109" s="4"/>
      <c r="K1109" s="2">
        <v>10</v>
      </c>
      <c r="L1109" s="6"/>
      <c r="M1109" s="2" t="str">
        <f>IF(J1109="",ROUND(I1109*(1-IF(ISBLANK(L1109),K1109,L1109)/100),2),ROUND(J1109*(1-IF(ISBLANK(L1109),K1109,L1109)/100),2))</f>
      </c>
      <c r="N1109" s="7" t="str">
        <f>IF(NOT(AND(J1109="",L1109="")),IF(OR(AND(L1109&lt;&gt;"",NOT(ISNUMBER(L1109))),IFERROR(MOD(L1109,1),1)&gt;0,AND(ISNUMBER(L1109),OR(L1109&lt;0,L1109&gt;95))),"Введите целое число от 0 до 95",IF(OR(AND(J1109&lt;&gt;"",NOT(ISNUMBER(J1109))),IFERROR(MOD(J1109,1),1)&gt;0,AND(ISNUMBER(J1109),OR(J1109&lt;50,J1109&gt;20000000))),"Введите целое число от 50 до 20000000",IF(NOT(ABS(IFERROR(VALUE(LEFT(M1109,FIND("-",M1109)-1)),M1109)*100-(5000+2000000000)/2)&lt;=ABS(5000-2000000000)/2),"Цена со скидкой должна быть от 50 до 20000000",IF(IFERROR(VALUE(LEFT(M1109,FIND("-",M1109)-1)),M1109)*229&lt;92700,"Вы уменьшили цену в несколько раз, товар попадет в карантин цен","")))),"")</f>
      </c>
    </row>
    <row r="1110">
      <c r="A1110" s="2" t="inlineStr">
        <is>
          <t>CuteShop</t>
        </is>
      </c>
      <c r="B1110" s="2" t="inlineStr">
        <is>
          <t>Держатели для пустышек</t>
        </is>
      </c>
      <c r="C1110" s="2">
        <v>112388127</v>
      </c>
      <c r="D1110" s="2" t="inlineStr">
        <is>
          <t>DimaBG</t>
        </is>
      </c>
      <c r="E1110" s="2" t="inlineStr">
        <is>
          <t>2038783936627</t>
        </is>
      </c>
      <c r="F1110" s="2">
        <v>0</v>
      </c>
      <c r="G1110" s="2">
        <v>1</v>
      </c>
      <c r="H1110" s="2">
        <v>0</v>
      </c>
      <c r="I1110" s="2" t="inlineStr">
        <is>
          <t>790</t>
        </is>
      </c>
      <c r="J1110" s="4"/>
      <c r="K1110" s="2">
        <v>10</v>
      </c>
      <c r="L1110" s="6"/>
      <c r="M1110" s="2" t="str">
        <f>IF(J1110="",ROUND(I1110*(1-IF(ISBLANK(L1110),K1110,L1110)/100),2),ROUND(J1110*(1-IF(ISBLANK(L1110),K1110,L1110)/100),2))</f>
      </c>
      <c r="N1110" s="7" t="str">
        <f>IF(NOT(AND(J1110="",L1110="")),IF(OR(AND(L1110&lt;&gt;"",NOT(ISNUMBER(L1110))),IFERROR(MOD(L1110,1),1)&gt;0,AND(ISNUMBER(L1110),OR(L1110&lt;0,L1110&gt;95))),"Введите целое число от 0 до 95",IF(OR(AND(J1110&lt;&gt;"",NOT(ISNUMBER(J1110))),IFERROR(MOD(J1110,1),1)&gt;0,AND(ISNUMBER(J1110),OR(J1110&lt;50,J1110&gt;20000000))),"Введите целое число от 50 до 20000000",IF(NOT(ABS(IFERROR(VALUE(LEFT(M1110,FIND("-",M1110)-1)),M1110)*100-(5000+2000000000)/2)&lt;=ABS(5000-2000000000)/2),"Цена со скидкой должна быть от 50 до 20000000",IF(IFERROR(VALUE(LEFT(M1110,FIND("-",M1110)-1)),M1110)*229&lt;71100,"Вы уменьшили цену в несколько раз, товар попадет в карантин цен","")))),"")</f>
      </c>
    </row>
    <row r="1111">
      <c r="A1111" s="2" t="inlineStr">
        <is>
          <t>CuteShop</t>
        </is>
      </c>
      <c r="B1111" s="2" t="inlineStr">
        <is>
          <t>Бусины</t>
        </is>
      </c>
      <c r="C1111" s="2">
        <v>193816833</v>
      </c>
      <c r="D1111" s="2" t="inlineStr">
        <is>
          <t>Bus-Serd-MixZal5-100</t>
        </is>
      </c>
      <c r="E1111" s="2" t="inlineStr">
        <is>
          <t>2039113407251</t>
        </is>
      </c>
      <c r="F1111" s="2">
        <v>0</v>
      </c>
      <c r="G1111" s="2">
        <v>1</v>
      </c>
      <c r="H1111" s="2" t="inlineStr">
        <is>
          <t/>
        </is>
      </c>
      <c r="I1111" s="2" t="inlineStr">
        <is>
          <t>280</t>
        </is>
      </c>
      <c r="J1111" s="4"/>
      <c r="K1111" s="2">
        <v>10</v>
      </c>
      <c r="L1111" s="6"/>
      <c r="M1111" s="2" t="str">
        <f>IF(J1111="",ROUND(I1111*(1-IF(ISBLANK(L1111),K1111,L1111)/100),2),ROUND(J1111*(1-IF(ISBLANK(L1111),K1111,L1111)/100),2))</f>
      </c>
      <c r="N1111" s="7" t="str">
        <f>IF(NOT(AND(J1111="",L1111="")),IF(OR(AND(L1111&lt;&gt;"",NOT(ISNUMBER(L1111))),IFERROR(MOD(L1111,1),1)&gt;0,AND(ISNUMBER(L1111),OR(L1111&lt;0,L1111&gt;95))),"Введите целое число от 0 до 95",IF(OR(AND(J1111&lt;&gt;"",NOT(ISNUMBER(J1111))),IFERROR(MOD(J1111,1),1)&gt;0,AND(ISNUMBER(J1111),OR(J1111&lt;50,J1111&gt;20000000))),"Введите целое число от 50 до 20000000",IF(NOT(ABS(IFERROR(VALUE(LEFT(M1111,FIND("-",M1111)-1)),M1111)*100-(5000+2000000000)/2)&lt;=ABS(5000-2000000000)/2),"Цена со скидкой должна быть от 50 до 20000000",IF(IFERROR(VALUE(LEFT(M1111,FIND("-",M1111)-1)),M1111)*190&lt;25200,"Вы уменьшили цену в несколько раз, товар попадет в карантин цен","")))),"")</f>
      </c>
    </row>
    <row r="1112">
      <c r="A1112" s="2" t="inlineStr">
        <is>
          <t>CuteShop</t>
        </is>
      </c>
      <c r="B1112" s="2" t="inlineStr">
        <is>
          <t>Держатели для пустышек</t>
        </is>
      </c>
      <c r="C1112" s="2">
        <v>245145418</v>
      </c>
      <c r="D1112" s="2" t="inlineStr">
        <is>
          <t>SaveliyKit2</t>
        </is>
      </c>
      <c r="E1112" s="2" t="inlineStr">
        <is>
          <t>2040699059079</t>
        </is>
      </c>
      <c r="F1112" s="2">
        <v>0</v>
      </c>
      <c r="G1112" s="2">
        <v>1</v>
      </c>
      <c r="H1112" s="2" t="inlineStr">
        <is>
          <t/>
        </is>
      </c>
      <c r="I1112" s="2" t="inlineStr">
        <is>
          <t>1030</t>
        </is>
      </c>
      <c r="J1112" s="4"/>
      <c r="K1112" s="2">
        <v>10</v>
      </c>
      <c r="L1112" s="6"/>
      <c r="M1112" s="2" t="str">
        <f>IF(J1112="",ROUND(I1112*(1-IF(ISBLANK(L1112),K1112,L1112)/100),2),ROUND(J1112*(1-IF(ISBLANK(L1112),K1112,L1112)/100),2))</f>
      </c>
      <c r="N1112" s="7" t="str">
        <f>IF(NOT(AND(J1112="",L1112="")),IF(OR(AND(L1112&lt;&gt;"",NOT(ISNUMBER(L1112))),IFERROR(MOD(L1112,1),1)&gt;0,AND(ISNUMBER(L1112),OR(L1112&lt;0,L1112&gt;95))),"Введите целое число от 0 до 95",IF(OR(AND(J1112&lt;&gt;"",NOT(ISNUMBER(J1112))),IFERROR(MOD(J1112,1),1)&gt;0,AND(ISNUMBER(J1112),OR(J1112&lt;50,J1112&gt;20000000))),"Введите целое число от 50 до 20000000",IF(NOT(ABS(IFERROR(VALUE(LEFT(M1112,FIND("-",M1112)-1)),M1112)*100-(5000+2000000000)/2)&lt;=ABS(5000-2000000000)/2),"Цена со скидкой должна быть от 50 до 20000000",IF(IFERROR(VALUE(LEFT(M1112,FIND("-",M1112)-1)),M1112)*229&lt;92700,"Вы уменьшили цену в несколько раз, товар попадет в карантин цен","")))),"")</f>
      </c>
    </row>
    <row r="1113">
      <c r="A1113" s="2" t="inlineStr">
        <is>
          <t>CuteShop</t>
        </is>
      </c>
      <c r="B1113" s="2" t="inlineStr">
        <is>
          <t>Бусины</t>
        </is>
      </c>
      <c r="C1113" s="2">
        <v>229030760</v>
      </c>
      <c r="D1113" s="2" t="inlineStr">
        <is>
          <t>Rond-Zol-Raduzh-6-50</t>
        </is>
      </c>
      <c r="E1113" s="2" t="inlineStr">
        <is>
          <t>2039929781521</t>
        </is>
      </c>
      <c r="F1113" s="2">
        <v>0</v>
      </c>
      <c r="G1113" s="2">
        <v>0</v>
      </c>
      <c r="H1113" s="2" t="inlineStr">
        <is>
          <t/>
        </is>
      </c>
      <c r="I1113" s="2" t="inlineStr">
        <is>
          <t>300</t>
        </is>
      </c>
      <c r="J1113" s="4"/>
      <c r="K1113" s="2">
        <v>0</v>
      </c>
      <c r="L1113" s="6"/>
      <c r="M1113" s="2" t="str">
        <f>IF(J1113="",ROUND(I1113*(1-IF(ISBLANK(L1113),K1113,L1113)/100),2),ROUND(J1113*(1-IF(ISBLANK(L1113),K1113,L1113)/100),2))</f>
      </c>
      <c r="N1113" s="7" t="str">
        <f>IF(NOT(AND(J1113="",L1113="")),IF(OR(AND(L1113&lt;&gt;"",NOT(ISNUMBER(L1113))),IFERROR(MOD(L1113,1),1)&gt;0,AND(ISNUMBER(L1113),OR(L1113&lt;0,L1113&gt;95))),"Введите целое число от 0 до 95",IF(OR(AND(J1113&lt;&gt;"",NOT(ISNUMBER(J1113))),IFERROR(MOD(J1113,1),1)&gt;0,AND(ISNUMBER(J1113),OR(J1113&lt;50,J1113&gt;20000000))),"Введите целое число от 50 до 20000000",IF(NOT(ABS(IFERROR(VALUE(LEFT(M1113,FIND("-",M1113)-1)),M1113)*100-(5000+2000000000)/2)&lt;=ABS(5000-2000000000)/2),"Цена со скидкой должна быть от 50 до 20000000",IF(IFERROR(VALUE(LEFT(M1113,FIND("-",M1113)-1)),M1113)*190&lt;30000,"Вы уменьшили цену в несколько раз, товар попадет в карантин цен","")))),"")</f>
      </c>
    </row>
    <row r="1114">
      <c r="A1114" s="2" t="inlineStr">
        <is>
          <t>CuteShop</t>
        </is>
      </c>
      <c r="B1114" s="2" t="inlineStr">
        <is>
          <t>Держатели для пустышек</t>
        </is>
      </c>
      <c r="C1114" s="2">
        <v>217870051</v>
      </c>
      <c r="D1114" s="2" t="inlineStr">
        <is>
          <t>EvgOl</t>
        </is>
      </c>
      <c r="E1114" s="2" t="inlineStr">
        <is>
          <t>2039672076196</t>
        </is>
      </c>
      <c r="F1114" s="2">
        <v>0</v>
      </c>
      <c r="G1114" s="2">
        <v>0</v>
      </c>
      <c r="H1114" s="2" t="inlineStr">
        <is>
          <t/>
        </is>
      </c>
      <c r="I1114" s="2" t="inlineStr">
        <is>
          <t>1030</t>
        </is>
      </c>
      <c r="J1114" s="4"/>
      <c r="K1114" s="2">
        <v>10</v>
      </c>
      <c r="L1114" s="6"/>
      <c r="M1114" s="2" t="str">
        <f>IF(J1114="",ROUND(I1114*(1-IF(ISBLANK(L1114),K1114,L1114)/100),2),ROUND(J1114*(1-IF(ISBLANK(L1114),K1114,L1114)/100),2))</f>
      </c>
      <c r="N1114" s="7" t="str">
        <f>IF(NOT(AND(J1114="",L1114="")),IF(OR(AND(L1114&lt;&gt;"",NOT(ISNUMBER(L1114))),IFERROR(MOD(L1114,1),1)&gt;0,AND(ISNUMBER(L1114),OR(L1114&lt;0,L1114&gt;95))),"Введите целое число от 0 до 95",IF(OR(AND(J1114&lt;&gt;"",NOT(ISNUMBER(J1114))),IFERROR(MOD(J1114,1),1)&gt;0,AND(ISNUMBER(J1114),OR(J1114&lt;50,J1114&gt;20000000))),"Введите целое число от 50 до 20000000",IF(NOT(ABS(IFERROR(VALUE(LEFT(M1114,FIND("-",M1114)-1)),M1114)*100-(5000+2000000000)/2)&lt;=ABS(5000-2000000000)/2),"Цена со скидкой должна быть от 50 до 20000000",IF(IFERROR(VALUE(LEFT(M1114,FIND("-",M1114)-1)),M1114)*229&lt;92700,"Вы уменьшили цену в несколько раз, товар попадет в карантин цен","")))),"")</f>
      </c>
    </row>
    <row r="1115">
      <c r="A1115" s="2" t="inlineStr">
        <is>
          <t>CuteShop</t>
        </is>
      </c>
      <c r="B1115" s="2" t="inlineStr">
        <is>
          <t>Держатели для пустышек</t>
        </is>
      </c>
      <c r="C1115" s="2">
        <v>245147559</v>
      </c>
      <c r="D1115" s="2" t="inlineStr">
        <is>
          <t>GabrielBG</t>
        </is>
      </c>
      <c r="E1115" s="2" t="inlineStr">
        <is>
          <t>2040699109705</t>
        </is>
      </c>
      <c r="F1115" s="2">
        <v>0</v>
      </c>
      <c r="G1115" s="2">
        <v>1</v>
      </c>
      <c r="H1115" s="2" t="inlineStr">
        <is>
          <t/>
        </is>
      </c>
      <c r="I1115" s="2" t="inlineStr">
        <is>
          <t>790</t>
        </is>
      </c>
      <c r="J1115" s="4"/>
      <c r="K1115" s="2">
        <v>10</v>
      </c>
      <c r="L1115" s="6"/>
      <c r="M1115" s="2" t="str">
        <f>IF(J1115="",ROUND(I1115*(1-IF(ISBLANK(L1115),K1115,L1115)/100),2),ROUND(J1115*(1-IF(ISBLANK(L1115),K1115,L1115)/100),2))</f>
      </c>
      <c r="N1115" s="7" t="str">
        <f>IF(NOT(AND(J1115="",L1115="")),IF(OR(AND(L1115&lt;&gt;"",NOT(ISNUMBER(L1115))),IFERROR(MOD(L1115,1),1)&gt;0,AND(ISNUMBER(L1115),OR(L1115&lt;0,L1115&gt;95))),"Введите целое число от 0 до 95",IF(OR(AND(J1115&lt;&gt;"",NOT(ISNUMBER(J1115))),IFERROR(MOD(J1115,1),1)&gt;0,AND(ISNUMBER(J1115),OR(J1115&lt;50,J1115&gt;20000000))),"Введите целое число от 50 до 20000000",IF(NOT(ABS(IFERROR(VALUE(LEFT(M1115,FIND("-",M1115)-1)),M1115)*100-(5000+2000000000)/2)&lt;=ABS(5000-2000000000)/2),"Цена со скидкой должна быть от 50 до 20000000",IF(IFERROR(VALUE(LEFT(M1115,FIND("-",M1115)-1)),M1115)*229&lt;71100,"Вы уменьшили цену в несколько раз, товар попадет в карантин цен","")))),"")</f>
      </c>
    </row>
    <row r="1116">
      <c r="A1116" s="2" t="inlineStr">
        <is>
          <t>CuteShop</t>
        </is>
      </c>
      <c r="B1116" s="2" t="inlineStr">
        <is>
          <t>Держатели для пустышек</t>
        </is>
      </c>
      <c r="C1116" s="2">
        <v>160787499</v>
      </c>
      <c r="D1116" s="2" t="inlineStr">
        <is>
          <t>DamirLis</t>
        </is>
      </c>
      <c r="E1116" s="2" t="inlineStr">
        <is>
          <t>2037825875245</t>
        </is>
      </c>
      <c r="F1116" s="2">
        <v>0</v>
      </c>
      <c r="G1116" s="2">
        <v>1</v>
      </c>
      <c r="H1116" s="2" t="inlineStr">
        <is>
          <t/>
        </is>
      </c>
      <c r="I1116" s="2" t="inlineStr">
        <is>
          <t>1030</t>
        </is>
      </c>
      <c r="J1116" s="4"/>
      <c r="K1116" s="2">
        <v>10</v>
      </c>
      <c r="L1116" s="6"/>
      <c r="M1116" s="2" t="str">
        <f>IF(J1116="",ROUND(I1116*(1-IF(ISBLANK(L1116),K1116,L1116)/100),2),ROUND(J1116*(1-IF(ISBLANK(L1116),K1116,L1116)/100),2))</f>
      </c>
      <c r="N1116" s="7" t="str">
        <f>IF(NOT(AND(J1116="",L1116="")),IF(OR(AND(L1116&lt;&gt;"",NOT(ISNUMBER(L1116))),IFERROR(MOD(L1116,1),1)&gt;0,AND(ISNUMBER(L1116),OR(L1116&lt;0,L1116&gt;95))),"Введите целое число от 0 до 95",IF(OR(AND(J1116&lt;&gt;"",NOT(ISNUMBER(J1116))),IFERROR(MOD(J1116,1),1)&gt;0,AND(ISNUMBER(J1116),OR(J1116&lt;50,J1116&gt;20000000))),"Введите целое число от 50 до 20000000",IF(NOT(ABS(IFERROR(VALUE(LEFT(M1116,FIND("-",M1116)-1)),M1116)*100-(5000+2000000000)/2)&lt;=ABS(5000-2000000000)/2),"Цена со скидкой должна быть от 50 до 20000000",IF(IFERROR(VALUE(LEFT(M1116,FIND("-",M1116)-1)),M1116)*229&lt;92700,"Вы уменьшили цену в несколько раз, товар попадет в карантин цен","")))),"")</f>
      </c>
    </row>
    <row r="1117">
      <c r="A1117" s="2" t="inlineStr">
        <is>
          <t>CuteShop</t>
        </is>
      </c>
      <c r="B1117" s="2" t="inlineStr">
        <is>
          <t>Держатели для пустышек</t>
        </is>
      </c>
      <c r="C1117" s="2">
        <v>146342941</v>
      </c>
      <c r="D1117" s="2" t="inlineStr">
        <is>
          <t>MartaBel</t>
        </is>
      </c>
      <c r="E1117" s="2" t="inlineStr">
        <is>
          <t>2037465311370</t>
        </is>
      </c>
      <c r="F1117" s="2">
        <v>0</v>
      </c>
      <c r="G1117" s="2">
        <v>1</v>
      </c>
      <c r="H1117" s="2">
        <v>0</v>
      </c>
      <c r="I1117" s="2" t="inlineStr">
        <is>
          <t>1030</t>
        </is>
      </c>
      <c r="J1117" s="4"/>
      <c r="K1117" s="2">
        <v>10</v>
      </c>
      <c r="L1117" s="6"/>
      <c r="M1117" s="2" t="str">
        <f>IF(J1117="",ROUND(I1117*(1-IF(ISBLANK(L1117),K1117,L1117)/100),2),ROUND(J1117*(1-IF(ISBLANK(L1117),K1117,L1117)/100),2))</f>
      </c>
      <c r="N1117" s="7" t="str">
        <f>IF(NOT(AND(J1117="",L1117="")),IF(OR(AND(L1117&lt;&gt;"",NOT(ISNUMBER(L1117))),IFERROR(MOD(L1117,1),1)&gt;0,AND(ISNUMBER(L1117),OR(L1117&lt;0,L1117&gt;95))),"Введите целое число от 0 до 95",IF(OR(AND(J1117&lt;&gt;"",NOT(ISNUMBER(J1117))),IFERROR(MOD(J1117,1),1)&gt;0,AND(ISNUMBER(J1117),OR(J1117&lt;50,J1117&gt;20000000))),"Введите целое число от 50 до 20000000",IF(NOT(ABS(IFERROR(VALUE(LEFT(M1117,FIND("-",M1117)-1)),M1117)*100-(5000+2000000000)/2)&lt;=ABS(5000-2000000000)/2),"Цена со скидкой должна быть от 50 до 20000000",IF(IFERROR(VALUE(LEFT(M1117,FIND("-",M1117)-1)),M1117)*229&lt;92700,"Вы уменьшили цену в несколько раз, товар попадет в карантин цен","")))),"")</f>
      </c>
    </row>
    <row r="1118">
      <c r="A1118" s="2" t="inlineStr">
        <is>
          <t>CuteShop</t>
        </is>
      </c>
      <c r="B1118" s="2" t="inlineStr">
        <is>
          <t>Держатели для пустышек</t>
        </is>
      </c>
      <c r="C1118" s="2">
        <v>218267107</v>
      </c>
      <c r="D1118" s="2" t="inlineStr">
        <is>
          <t>MishaBG</t>
        </is>
      </c>
      <c r="E1118" s="2" t="inlineStr">
        <is>
          <t>2039683888900</t>
        </is>
      </c>
      <c r="F1118" s="2">
        <v>0</v>
      </c>
      <c r="G1118" s="2">
        <v>1</v>
      </c>
      <c r="H1118" s="2" t="inlineStr">
        <is>
          <t/>
        </is>
      </c>
      <c r="I1118" s="2" t="inlineStr">
        <is>
          <t>790</t>
        </is>
      </c>
      <c r="J1118" s="4"/>
      <c r="K1118" s="2">
        <v>10</v>
      </c>
      <c r="L1118" s="6"/>
      <c r="M1118" s="2" t="str">
        <f>IF(J1118="",ROUND(I1118*(1-IF(ISBLANK(L1118),K1118,L1118)/100),2),ROUND(J1118*(1-IF(ISBLANK(L1118),K1118,L1118)/100),2))</f>
      </c>
      <c r="N1118" s="7" t="str">
        <f>IF(NOT(AND(J1118="",L1118="")),IF(OR(AND(L1118&lt;&gt;"",NOT(ISNUMBER(L1118))),IFERROR(MOD(L1118,1),1)&gt;0,AND(ISNUMBER(L1118),OR(L1118&lt;0,L1118&gt;95))),"Введите целое число от 0 до 95",IF(OR(AND(J1118&lt;&gt;"",NOT(ISNUMBER(J1118))),IFERROR(MOD(J1118,1),1)&gt;0,AND(ISNUMBER(J1118),OR(J1118&lt;50,J1118&gt;20000000))),"Введите целое число от 50 до 20000000",IF(NOT(ABS(IFERROR(VALUE(LEFT(M1118,FIND("-",M1118)-1)),M1118)*100-(5000+2000000000)/2)&lt;=ABS(5000-2000000000)/2),"Цена со скидкой должна быть от 50 до 20000000",IF(IFERROR(VALUE(LEFT(M1118,FIND("-",M1118)-1)),M1118)*229&lt;71100,"Вы уменьшили цену в несколько раз, товар попадет в карантин цен","")))),"")</f>
      </c>
    </row>
    <row r="1119">
      <c r="A1119" s="2" t="inlineStr">
        <is>
          <t>CuteShop</t>
        </is>
      </c>
      <c r="B1119" s="2" t="inlineStr">
        <is>
          <t>Ленты для рукоделия</t>
        </is>
      </c>
      <c r="C1119" s="2">
        <v>212586157</v>
      </c>
      <c r="D1119" s="2" t="inlineStr">
        <is>
          <t>Lenta-Rep2-nabor3-30</t>
        </is>
      </c>
      <c r="E1119" s="2" t="inlineStr">
        <is>
          <t>2039562068508</t>
        </is>
      </c>
      <c r="F1119" s="2">
        <v>0</v>
      </c>
      <c r="G1119" s="2">
        <v>0</v>
      </c>
      <c r="H1119" s="2" t="inlineStr">
        <is>
          <t/>
        </is>
      </c>
      <c r="I1119" s="2" t="inlineStr">
        <is>
          <t>690</t>
        </is>
      </c>
      <c r="J1119" s="4"/>
      <c r="K1119" s="2">
        <v>0</v>
      </c>
      <c r="L1119" s="6"/>
      <c r="M1119" s="2" t="str">
        <f>IF(J1119="",ROUND(I1119*(1-IF(ISBLANK(L1119),K1119,L1119)/100),2),ROUND(J1119*(1-IF(ISBLANK(L1119),K1119,L1119)/100),2))</f>
      </c>
      <c r="N1119" s="7" t="str">
        <f>IF(NOT(AND(J1119="",L1119="")),IF(OR(AND(L1119&lt;&gt;"",NOT(ISNUMBER(L1119))),IFERROR(MOD(L1119,1),1)&gt;0,AND(ISNUMBER(L1119),OR(L1119&lt;0,L1119&gt;95))),"Введите целое число от 0 до 95",IF(OR(AND(J1119&lt;&gt;"",NOT(ISNUMBER(J1119))),IFERROR(MOD(J1119,1),1)&gt;0,AND(ISNUMBER(J1119),OR(J1119&lt;50,J1119&gt;20000000))),"Введите целое число от 50 до 20000000",IF(NOT(ABS(IFERROR(VALUE(LEFT(M1119,FIND("-",M1119)-1)),M1119)*100-(5000+2000000000)/2)&lt;=ABS(5000-2000000000)/2),"Цена со скидкой должна быть от 50 до 20000000",IF(IFERROR(VALUE(LEFT(M1119,FIND("-",M1119)-1)),M1119)*190&lt;69000,"Вы уменьшили цену в несколько раз, товар попадет в карантин цен","")))),"")</f>
      </c>
    </row>
    <row r="1120">
      <c r="A1120" s="2" t="inlineStr">
        <is>
          <t>CuteShop</t>
        </is>
      </c>
      <c r="B1120" s="2" t="inlineStr">
        <is>
          <t>Держатели для пустышек</t>
        </is>
      </c>
      <c r="C1120" s="2">
        <v>218269294</v>
      </c>
      <c r="D1120" s="2" t="inlineStr">
        <is>
          <t>KamilMish</t>
        </is>
      </c>
      <c r="E1120" s="2" t="inlineStr">
        <is>
          <t>2039683931361</t>
        </is>
      </c>
      <c r="F1120" s="2">
        <v>0</v>
      </c>
      <c r="G1120" s="2">
        <v>1</v>
      </c>
      <c r="H1120" s="2" t="inlineStr">
        <is>
          <t/>
        </is>
      </c>
      <c r="I1120" s="2" t="inlineStr">
        <is>
          <t>1030</t>
        </is>
      </c>
      <c r="J1120" s="4"/>
      <c r="K1120" s="2">
        <v>10</v>
      </c>
      <c r="L1120" s="6"/>
      <c r="M1120" s="2" t="str">
        <f>IF(J1120="",ROUND(I1120*(1-IF(ISBLANK(L1120),K1120,L1120)/100),2),ROUND(J1120*(1-IF(ISBLANK(L1120),K1120,L1120)/100),2))</f>
      </c>
      <c r="N1120" s="7" t="str">
        <f>IF(NOT(AND(J1120="",L1120="")),IF(OR(AND(L1120&lt;&gt;"",NOT(ISNUMBER(L1120))),IFERROR(MOD(L1120,1),1)&gt;0,AND(ISNUMBER(L1120),OR(L1120&lt;0,L1120&gt;95))),"Введите целое число от 0 до 95",IF(OR(AND(J1120&lt;&gt;"",NOT(ISNUMBER(J1120))),IFERROR(MOD(J1120,1),1)&gt;0,AND(ISNUMBER(J1120),OR(J1120&lt;50,J1120&gt;20000000))),"Введите целое число от 50 до 20000000",IF(NOT(ABS(IFERROR(VALUE(LEFT(M1120,FIND("-",M1120)-1)),M1120)*100-(5000+2000000000)/2)&lt;=ABS(5000-2000000000)/2),"Цена со скидкой должна быть от 50 до 20000000",IF(IFERROR(VALUE(LEFT(M1120,FIND("-",M1120)-1)),M1120)*229&lt;92700,"Вы уменьшили цену в несколько раз, товар попадет в карантин цен","")))),"")</f>
      </c>
    </row>
    <row r="1121">
      <c r="A1121" s="2" t="inlineStr">
        <is>
          <t>CuteShop</t>
        </is>
      </c>
      <c r="B1121" s="2" t="inlineStr">
        <is>
          <t>Бусины</t>
        </is>
      </c>
      <c r="C1121" s="2">
        <v>222801943</v>
      </c>
      <c r="D1121" s="2" t="inlineStr">
        <is>
          <t>Rond-Raduzh-6-100</t>
        </is>
      </c>
      <c r="E1121" s="2" t="inlineStr">
        <is>
          <t>2039800776721</t>
        </is>
      </c>
      <c r="F1121" s="2">
        <v>0</v>
      </c>
      <c r="G1121" s="2">
        <v>0</v>
      </c>
      <c r="H1121" s="2" t="inlineStr">
        <is>
          <t/>
        </is>
      </c>
      <c r="I1121" s="2" t="inlineStr">
        <is>
          <t>420</t>
        </is>
      </c>
      <c r="J1121" s="4"/>
      <c r="K1121" s="2">
        <v>0</v>
      </c>
      <c r="L1121" s="6"/>
      <c r="M1121" s="2" t="str">
        <f>IF(J1121="",ROUND(I1121*(1-IF(ISBLANK(L1121),K1121,L1121)/100),2),ROUND(J1121*(1-IF(ISBLANK(L1121),K1121,L1121)/100),2))</f>
      </c>
      <c r="N1121" s="7" t="str">
        <f>IF(NOT(AND(J1121="",L1121="")),IF(OR(AND(L1121&lt;&gt;"",NOT(ISNUMBER(L1121))),IFERROR(MOD(L1121,1),1)&gt;0,AND(ISNUMBER(L1121),OR(L1121&lt;0,L1121&gt;95))),"Введите целое число от 0 до 95",IF(OR(AND(J1121&lt;&gt;"",NOT(ISNUMBER(J1121))),IFERROR(MOD(J1121,1),1)&gt;0,AND(ISNUMBER(J1121),OR(J1121&lt;50,J1121&gt;20000000))),"Введите целое число от 50 до 20000000",IF(NOT(ABS(IFERROR(VALUE(LEFT(M1121,FIND("-",M1121)-1)),M1121)*100-(5000+2000000000)/2)&lt;=ABS(5000-2000000000)/2),"Цена со скидкой должна быть от 50 до 20000000",IF(IFERROR(VALUE(LEFT(M1121,FIND("-",M1121)-1)),M1121)*190&lt;42000,"Вы уменьшили цену в несколько раз, товар попадет в карантин цен","")))),"")</f>
      </c>
    </row>
    <row r="1122">
      <c r="A1122" s="2" t="inlineStr">
        <is>
          <t>CuteShop</t>
        </is>
      </c>
      <c r="B1122" s="2" t="inlineStr">
        <is>
          <t>Бусины</t>
        </is>
      </c>
      <c r="C1122" s="2">
        <v>151582880</v>
      </c>
      <c r="D1122" s="2" t="inlineStr">
        <is>
          <t>Bus-akril-8mm-mix2-200</t>
        </is>
      </c>
      <c r="E1122" s="2" t="inlineStr">
        <is>
          <t>2037600713922</t>
        </is>
      </c>
      <c r="F1122" s="2">
        <v>0</v>
      </c>
      <c r="G1122" s="2">
        <v>0</v>
      </c>
      <c r="H1122" s="2">
        <v>0</v>
      </c>
      <c r="I1122" s="2" t="inlineStr">
        <is>
          <t>320</t>
        </is>
      </c>
      <c r="J1122" s="4"/>
      <c r="K1122" s="2">
        <v>0</v>
      </c>
      <c r="L1122" s="6"/>
      <c r="M1122" s="2" t="str">
        <f>IF(J1122="",ROUND(I1122*(1-IF(ISBLANK(L1122),K1122,L1122)/100),2),ROUND(J1122*(1-IF(ISBLANK(L1122),K1122,L1122)/100),2))</f>
      </c>
      <c r="N1122" s="7" t="str">
        <f>IF(NOT(AND(J1122="",L1122="")),IF(OR(AND(L1122&lt;&gt;"",NOT(ISNUMBER(L1122))),IFERROR(MOD(L1122,1),1)&gt;0,AND(ISNUMBER(L1122),OR(L1122&lt;0,L1122&gt;95))),"Введите целое число от 0 до 95",IF(OR(AND(J1122&lt;&gt;"",NOT(ISNUMBER(J1122))),IFERROR(MOD(J1122,1),1)&gt;0,AND(ISNUMBER(J1122),OR(J1122&lt;50,J1122&gt;20000000))),"Введите целое число от 50 до 20000000",IF(NOT(ABS(IFERROR(VALUE(LEFT(M1122,FIND("-",M1122)-1)),M1122)*100-(5000+2000000000)/2)&lt;=ABS(5000-2000000000)/2),"Цена со скидкой должна быть от 50 до 20000000",IF(IFERROR(VALUE(LEFT(M1122,FIND("-",M1122)-1)),M1122)*190&lt;32000,"Вы уменьшили цену в несколько раз, товар попадет в карантин цен","")))),"")</f>
      </c>
    </row>
    <row r="1123">
      <c r="A1123" s="2" t="inlineStr">
        <is>
          <t/>
        </is>
      </c>
      <c r="B1123" s="2" t="inlineStr">
        <is>
          <t>Пакеты упаковочные</t>
        </is>
      </c>
      <c r="C1123" s="2">
        <v>148234256</v>
      </c>
      <c r="D1123" s="2" t="inlineStr">
        <is>
          <t>PakvpZelx10</t>
        </is>
      </c>
      <c r="E1123" s="2" t="inlineStr">
        <is>
          <t>2037513234590</t>
        </is>
      </c>
      <c r="F1123" s="2">
        <v>0</v>
      </c>
      <c r="G1123" s="2">
        <v>0</v>
      </c>
      <c r="H1123" s="2">
        <v>0</v>
      </c>
      <c r="I1123" s="2" t="inlineStr">
        <is>
          <t>390</t>
        </is>
      </c>
      <c r="J1123" s="4"/>
      <c r="K1123" s="2">
        <v>0</v>
      </c>
      <c r="L1123" s="6"/>
      <c r="M1123" s="2" t="str">
        <f>IF(J1123="",ROUND(I1123*(1-IF(ISBLANK(L1123),K1123,L1123)/100),2),ROUND(J1123*(1-IF(ISBLANK(L1123),K1123,L1123)/100),2))</f>
      </c>
      <c r="N1123" s="7" t="str">
        <f>IF(NOT(AND(J1123="",L1123="")),IF(OR(AND(L1123&lt;&gt;"",NOT(ISNUMBER(L1123))),IFERROR(MOD(L1123,1),1)&gt;0,AND(ISNUMBER(L1123),OR(L1123&lt;0,L1123&gt;95))),"Введите целое число от 0 до 95",IF(OR(AND(J1123&lt;&gt;"",NOT(ISNUMBER(J1123))),IFERROR(MOD(J1123,1),1)&gt;0,AND(ISNUMBER(J1123),OR(J1123&lt;50,J1123&gt;20000000))),"Введите целое число от 50 до 20000000",IF(NOT(ABS(IFERROR(VALUE(LEFT(M1123,FIND("-",M1123)-1)),M1123)*100-(5000+2000000000)/2)&lt;=ABS(5000-2000000000)/2),"Цена со скидкой должна быть от 50 до 20000000",IF(IFERROR(VALUE(LEFT(M1123,FIND("-",M1123)-1)),M1123)*200&lt;39000,"Вы уменьшили цену в несколько раз, товар попадет в карантин цен","")))),"")</f>
      </c>
    </row>
    <row r="1124">
      <c r="A1124" s="2" t="inlineStr">
        <is>
          <t>CuteShop</t>
        </is>
      </c>
      <c r="B1124" s="2" t="inlineStr">
        <is>
          <t>Аксессуары для рукоделия</t>
        </is>
      </c>
      <c r="C1124" s="2">
        <v>145728089</v>
      </c>
      <c r="D1124" s="2" t="inlineStr">
        <is>
          <t>Kab-Lol5-12</t>
        </is>
      </c>
      <c r="E1124" s="2" t="inlineStr">
        <is>
          <t>2037448129824</t>
        </is>
      </c>
      <c r="F1124" s="2">
        <v>0</v>
      </c>
      <c r="G1124" s="2">
        <v>0</v>
      </c>
      <c r="H1124" s="2">
        <v>0</v>
      </c>
      <c r="I1124" s="2" t="inlineStr">
        <is>
          <t>410</t>
        </is>
      </c>
      <c r="J1124" s="4"/>
      <c r="K1124" s="2">
        <v>5</v>
      </c>
      <c r="L1124" s="6"/>
      <c r="M1124" s="2" t="str">
        <f>IF(J1124="",ROUND(I1124*(1-IF(ISBLANK(L1124),K1124,L1124)/100),2),ROUND(J1124*(1-IF(ISBLANK(L1124),K1124,L1124)/100),2))</f>
      </c>
      <c r="N1124" s="7" t="str">
        <f>IF(NOT(AND(J1124="",L1124="")),IF(OR(AND(L1124&lt;&gt;"",NOT(ISNUMBER(L1124))),IFERROR(MOD(L1124,1),1)&gt;0,AND(ISNUMBER(L1124),OR(L1124&lt;0,L1124&gt;95))),"Введите целое число от 0 до 95",IF(OR(AND(J1124&lt;&gt;"",NOT(ISNUMBER(J1124))),IFERROR(MOD(J1124,1),1)&gt;0,AND(ISNUMBER(J1124),OR(J1124&lt;50,J1124&gt;20000000))),"Введите целое число от 50 до 20000000",IF(NOT(ABS(IFERROR(VALUE(LEFT(M1124,FIND("-",M1124)-1)),M1124)*100-(5000+2000000000)/2)&lt;=ABS(5000-2000000000)/2),"Цена со скидкой должна быть от 50 до 20000000",IF(IFERROR(VALUE(LEFT(M1124,FIND("-",M1124)-1)),M1124)*190&lt;38950,"Вы уменьшили цену в несколько раз, товар попадет в карантин цен","")))),"")</f>
      </c>
    </row>
    <row r="1125">
      <c r="A1125" s="2" t="inlineStr">
        <is>
          <t>CuteShop</t>
        </is>
      </c>
      <c r="B1125" s="2" t="inlineStr">
        <is>
          <t>Держатели для пустышек</t>
        </is>
      </c>
      <c r="C1125" s="2">
        <v>146350037</v>
      </c>
      <c r="D1125" s="2" t="inlineStr">
        <is>
          <t>TihonBG</t>
        </is>
      </c>
      <c r="E1125" s="2" t="inlineStr">
        <is>
          <t>2037465538777</t>
        </is>
      </c>
      <c r="F1125" s="2">
        <v>0</v>
      </c>
      <c r="G1125" s="2">
        <v>1</v>
      </c>
      <c r="H1125" s="2" t="inlineStr">
        <is>
          <t/>
        </is>
      </c>
      <c r="I1125" s="2" t="inlineStr">
        <is>
          <t>790</t>
        </is>
      </c>
      <c r="J1125" s="4"/>
      <c r="K1125" s="2">
        <v>10</v>
      </c>
      <c r="L1125" s="6"/>
      <c r="M1125" s="2" t="str">
        <f>IF(J1125="",ROUND(I1125*(1-IF(ISBLANK(L1125),K1125,L1125)/100),2),ROUND(J1125*(1-IF(ISBLANK(L1125),K1125,L1125)/100),2))</f>
      </c>
      <c r="N1125" s="7" t="str">
        <f>IF(NOT(AND(J1125="",L1125="")),IF(OR(AND(L1125&lt;&gt;"",NOT(ISNUMBER(L1125))),IFERROR(MOD(L1125,1),1)&gt;0,AND(ISNUMBER(L1125),OR(L1125&lt;0,L1125&gt;95))),"Введите целое число от 0 до 95",IF(OR(AND(J1125&lt;&gt;"",NOT(ISNUMBER(J1125))),IFERROR(MOD(J1125,1),1)&gt;0,AND(ISNUMBER(J1125),OR(J1125&lt;50,J1125&gt;20000000))),"Введите целое число от 50 до 20000000",IF(NOT(ABS(IFERROR(VALUE(LEFT(M1125,FIND("-",M1125)-1)),M1125)*100-(5000+2000000000)/2)&lt;=ABS(5000-2000000000)/2),"Цена со скидкой должна быть от 50 до 20000000",IF(IFERROR(VALUE(LEFT(M1125,FIND("-",M1125)-1)),M1125)*229&lt;71100,"Вы уменьшили цену в несколько раз, товар попадет в карантин цен","")))),"")</f>
      </c>
    </row>
    <row r="1126">
      <c r="A1126" s="2" t="inlineStr">
        <is>
          <t>CuteShop</t>
        </is>
      </c>
      <c r="B1126" s="2" t="inlineStr">
        <is>
          <t>Аксессуары для рукоделия</t>
        </is>
      </c>
      <c r="C1126" s="2">
        <v>137674389</v>
      </c>
      <c r="D1126" s="2" t="inlineStr">
        <is>
          <t>Nabor-ShapPompRez</t>
        </is>
      </c>
      <c r="E1126" s="2" t="inlineStr">
        <is>
          <t>2037227479614</t>
        </is>
      </c>
      <c r="F1126" s="2">
        <v>0</v>
      </c>
      <c r="G1126" s="2">
        <v>0</v>
      </c>
      <c r="H1126" s="2">
        <v>0</v>
      </c>
      <c r="I1126" s="2" t="inlineStr">
        <is>
          <t>570</t>
        </is>
      </c>
      <c r="J1126" s="4"/>
      <c r="K1126" s="2">
        <v>0</v>
      </c>
      <c r="L1126" s="6"/>
      <c r="M1126" s="2" t="str">
        <f>IF(J1126="",ROUND(I1126*(1-IF(ISBLANK(L1126),K1126,L1126)/100),2),ROUND(J1126*(1-IF(ISBLANK(L1126),K1126,L1126)/100),2))</f>
      </c>
      <c r="N1126" s="7" t="str">
        <f>IF(NOT(AND(J1126="",L1126="")),IF(OR(AND(L1126&lt;&gt;"",NOT(ISNUMBER(L1126))),IFERROR(MOD(L1126,1),1)&gt;0,AND(ISNUMBER(L1126),OR(L1126&lt;0,L1126&gt;95))),"Введите целое число от 0 до 95",IF(OR(AND(J1126&lt;&gt;"",NOT(ISNUMBER(J1126))),IFERROR(MOD(J1126,1),1)&gt;0,AND(ISNUMBER(J1126),OR(J1126&lt;50,J1126&gt;20000000))),"Введите целое число от 50 до 20000000",IF(NOT(ABS(IFERROR(VALUE(LEFT(M1126,FIND("-",M1126)-1)),M1126)*100-(5000+2000000000)/2)&lt;=ABS(5000-2000000000)/2),"Цена со скидкой должна быть от 50 до 20000000",IF(IFERROR(VALUE(LEFT(M1126,FIND("-",M1126)-1)),M1126)*190&lt;57000,"Вы уменьшили цену в несколько раз, товар попадет в карантин цен","")))),"")</f>
      </c>
    </row>
    <row r="1127">
      <c r="A1127" s="2" t="inlineStr">
        <is>
          <t>CuteShop</t>
        </is>
      </c>
      <c r="B1127" s="2" t="inlineStr">
        <is>
          <t>Держатели для пустышек</t>
        </is>
      </c>
      <c r="C1127" s="2">
        <v>173354727</v>
      </c>
      <c r="D1127" s="2" t="inlineStr">
        <is>
          <t>MishelKoala</t>
        </is>
      </c>
      <c r="E1127" s="2" t="inlineStr">
        <is>
          <t>2038381968013</t>
        </is>
      </c>
      <c r="F1127" s="2">
        <v>0</v>
      </c>
      <c r="G1127" s="2">
        <v>1</v>
      </c>
      <c r="H1127" s="2" t="inlineStr">
        <is>
          <t/>
        </is>
      </c>
      <c r="I1127" s="2" t="inlineStr">
        <is>
          <t>1030</t>
        </is>
      </c>
      <c r="J1127" s="4"/>
      <c r="K1127" s="2">
        <v>10</v>
      </c>
      <c r="L1127" s="6"/>
      <c r="M1127" s="2" t="str">
        <f>IF(J1127="",ROUND(I1127*(1-IF(ISBLANK(L1127),K1127,L1127)/100),2),ROUND(J1127*(1-IF(ISBLANK(L1127),K1127,L1127)/100),2))</f>
      </c>
      <c r="N1127" s="7" t="str">
        <f>IF(NOT(AND(J1127="",L1127="")),IF(OR(AND(L1127&lt;&gt;"",NOT(ISNUMBER(L1127))),IFERROR(MOD(L1127,1),1)&gt;0,AND(ISNUMBER(L1127),OR(L1127&lt;0,L1127&gt;95))),"Введите целое число от 0 до 95",IF(OR(AND(J1127&lt;&gt;"",NOT(ISNUMBER(J1127))),IFERROR(MOD(J1127,1),1)&gt;0,AND(ISNUMBER(J1127),OR(J1127&lt;50,J1127&gt;20000000))),"Введите целое число от 50 до 20000000",IF(NOT(ABS(IFERROR(VALUE(LEFT(M1127,FIND("-",M1127)-1)),M1127)*100-(5000+2000000000)/2)&lt;=ABS(5000-2000000000)/2),"Цена со скидкой должна быть от 50 до 20000000",IF(IFERROR(VALUE(LEFT(M1127,FIND("-",M1127)-1)),M1127)*229&lt;92700,"Вы уменьшили цену в несколько раз, товар попадет в карантин цен","")))),"")</f>
      </c>
    </row>
    <row r="1128">
      <c r="A1128" s="2" t="inlineStr">
        <is>
          <t>CuteShop</t>
        </is>
      </c>
      <c r="B1128" s="2" t="inlineStr">
        <is>
          <t>Бусины</t>
        </is>
      </c>
      <c r="C1128" s="2">
        <v>151583801</v>
      </c>
      <c r="D1128" s="2" t="inlineStr">
        <is>
          <t>Bus-akril-8mm-yarkogol-500</t>
        </is>
      </c>
      <c r="E1128" s="2" t="inlineStr">
        <is>
          <t>2037600730295</t>
        </is>
      </c>
      <c r="F1128" s="2">
        <v>0</v>
      </c>
      <c r="G1128" s="2">
        <v>0</v>
      </c>
      <c r="H1128" s="2" t="inlineStr">
        <is>
          <t/>
        </is>
      </c>
      <c r="I1128" s="2" t="inlineStr">
        <is>
          <t>620</t>
        </is>
      </c>
      <c r="J1128" s="4"/>
      <c r="K1128" s="2">
        <v>0</v>
      </c>
      <c r="L1128" s="6"/>
      <c r="M1128" s="2" t="str">
        <f>IF(J1128="",ROUND(I1128*(1-IF(ISBLANK(L1128),K1128,L1128)/100),2),ROUND(J1128*(1-IF(ISBLANK(L1128),K1128,L1128)/100),2))</f>
      </c>
      <c r="N1128" s="7" t="str">
        <f>IF(NOT(AND(J1128="",L1128="")),IF(OR(AND(L1128&lt;&gt;"",NOT(ISNUMBER(L1128))),IFERROR(MOD(L1128,1),1)&gt;0,AND(ISNUMBER(L1128),OR(L1128&lt;0,L1128&gt;95))),"Введите целое число от 0 до 95",IF(OR(AND(J1128&lt;&gt;"",NOT(ISNUMBER(J1128))),IFERROR(MOD(J1128,1),1)&gt;0,AND(ISNUMBER(J1128),OR(J1128&lt;50,J1128&gt;20000000))),"Введите целое число от 50 до 20000000",IF(NOT(ABS(IFERROR(VALUE(LEFT(M1128,FIND("-",M1128)-1)),M1128)*100-(5000+2000000000)/2)&lt;=ABS(5000-2000000000)/2),"Цена со скидкой должна быть от 50 до 20000000",IF(IFERROR(VALUE(LEFT(M1128,FIND("-",M1128)-1)),M1128)*190&lt;62000,"Вы уменьшили цену в несколько раз, товар попадет в карантин цен","")))),"")</f>
      </c>
    </row>
    <row r="1129">
      <c r="A1129" s="2" t="inlineStr">
        <is>
          <t>CuteShop</t>
        </is>
      </c>
      <c r="B1129" s="2" t="inlineStr">
        <is>
          <t>Ленты для рукоделия</t>
        </is>
      </c>
      <c r="C1129" s="2">
        <v>116437123</v>
      </c>
      <c r="D1129" s="2" t="inlineStr">
        <is>
          <t>Lenta-Rep-PrincBlackPink</t>
        </is>
      </c>
      <c r="E1129" s="2" t="inlineStr">
        <is>
          <t>2041652915623</t>
        </is>
      </c>
      <c r="F1129" s="2">
        <v>0</v>
      </c>
      <c r="G1129" s="2">
        <v>0</v>
      </c>
      <c r="H1129" s="2">
        <v>0</v>
      </c>
      <c r="I1129" s="2" t="inlineStr">
        <is>
          <t>369</t>
        </is>
      </c>
      <c r="J1129" s="4"/>
      <c r="K1129" s="2">
        <v>0</v>
      </c>
      <c r="L1129" s="6"/>
      <c r="M1129" s="2" t="str">
        <f>IF(J1129="",ROUND(I1129*(1-IF(ISBLANK(L1129),K1129,L1129)/100),2),ROUND(J1129*(1-IF(ISBLANK(L1129),K1129,L1129)/100),2))</f>
      </c>
      <c r="N1129" s="7" t="str">
        <f>IF(NOT(AND(J1129="",L1129="")),IF(OR(AND(L1129&lt;&gt;"",NOT(ISNUMBER(L1129))),IFERROR(MOD(L1129,1),1)&gt;0,AND(ISNUMBER(L1129),OR(L1129&lt;0,L1129&gt;95))),"Введите целое число от 0 до 95",IF(OR(AND(J1129&lt;&gt;"",NOT(ISNUMBER(J1129))),IFERROR(MOD(J1129,1),1)&gt;0,AND(ISNUMBER(J1129),OR(J1129&lt;50,J1129&gt;20000000))),"Введите целое число от 50 до 20000000",IF(NOT(ABS(IFERROR(VALUE(LEFT(M1129,FIND("-",M1129)-1)),M1129)*100-(5000+2000000000)/2)&lt;=ABS(5000-2000000000)/2),"Цена со скидкой должна быть от 50 до 20000000",IF(IFERROR(VALUE(LEFT(M1129,FIND("-",M1129)-1)),M1129)*190&lt;36900,"Вы уменьшили цену в несколько раз, товар попадет в карантин цен","")))),"")</f>
      </c>
    </row>
    <row r="1130">
      <c r="A1130" s="2" t="inlineStr">
        <is>
          <t>CuteShop</t>
        </is>
      </c>
      <c r="B1130" s="2" t="inlineStr">
        <is>
          <t>Держатели для пустышек</t>
        </is>
      </c>
      <c r="C1130" s="2">
        <v>173347722</v>
      </c>
      <c r="D1130" s="2" t="inlineStr">
        <is>
          <t>AminaBG</t>
        </is>
      </c>
      <c r="E1130" s="2" t="inlineStr">
        <is>
          <t>2038381535604</t>
        </is>
      </c>
      <c r="F1130" s="2">
        <v>0</v>
      </c>
      <c r="G1130" s="2">
        <v>1</v>
      </c>
      <c r="H1130" s="2">
        <v>0</v>
      </c>
      <c r="I1130" s="2" t="inlineStr">
        <is>
          <t>790</t>
        </is>
      </c>
      <c r="J1130" s="4"/>
      <c r="K1130" s="2">
        <v>10</v>
      </c>
      <c r="L1130" s="6"/>
      <c r="M1130" s="2" t="str">
        <f>IF(J1130="",ROUND(I1130*(1-IF(ISBLANK(L1130),K1130,L1130)/100),2),ROUND(J1130*(1-IF(ISBLANK(L1130),K1130,L1130)/100),2))</f>
      </c>
      <c r="N1130" s="7" t="str">
        <f>IF(NOT(AND(J1130="",L1130="")),IF(OR(AND(L1130&lt;&gt;"",NOT(ISNUMBER(L1130))),IFERROR(MOD(L1130,1),1)&gt;0,AND(ISNUMBER(L1130),OR(L1130&lt;0,L1130&gt;95))),"Введите целое число от 0 до 95",IF(OR(AND(J1130&lt;&gt;"",NOT(ISNUMBER(J1130))),IFERROR(MOD(J1130,1),1)&gt;0,AND(ISNUMBER(J1130),OR(J1130&lt;50,J1130&gt;20000000))),"Введите целое число от 50 до 20000000",IF(NOT(ABS(IFERROR(VALUE(LEFT(M1130,FIND("-",M1130)-1)),M1130)*100-(5000+2000000000)/2)&lt;=ABS(5000-2000000000)/2),"Цена со скидкой должна быть от 50 до 20000000",IF(IFERROR(VALUE(LEFT(M1130,FIND("-",M1130)-1)),M1130)*229&lt;71100,"Вы уменьшили цену в несколько раз, товар попадет в карантин цен","")))),"")</f>
      </c>
    </row>
    <row r="1131">
      <c r="A1131" s="2" t="inlineStr">
        <is>
          <t>CuteShop</t>
        </is>
      </c>
      <c r="B1131" s="2" t="inlineStr">
        <is>
          <t>Ленты для рукоделия</t>
        </is>
      </c>
      <c r="C1131" s="2">
        <v>116437122</v>
      </c>
      <c r="D1131" s="2" t="inlineStr">
        <is>
          <t>Lenta-Rep-PrincBlackBeige</t>
        </is>
      </c>
      <c r="E1131" s="2" t="inlineStr">
        <is>
          <t>2041652928623</t>
        </is>
      </c>
      <c r="F1131" s="2">
        <v>0</v>
      </c>
      <c r="G1131" s="2">
        <v>0</v>
      </c>
      <c r="H1131" s="2">
        <v>0</v>
      </c>
      <c r="I1131" s="2" t="inlineStr">
        <is>
          <t>369</t>
        </is>
      </c>
      <c r="J1131" s="4"/>
      <c r="K1131" s="2">
        <v>0</v>
      </c>
      <c r="L1131" s="6"/>
      <c r="M1131" s="2" t="str">
        <f>IF(J1131="",ROUND(I1131*(1-IF(ISBLANK(L1131),K1131,L1131)/100),2),ROUND(J1131*(1-IF(ISBLANK(L1131),K1131,L1131)/100),2))</f>
      </c>
      <c r="N1131" s="7" t="str">
        <f>IF(NOT(AND(J1131="",L1131="")),IF(OR(AND(L1131&lt;&gt;"",NOT(ISNUMBER(L1131))),IFERROR(MOD(L1131,1),1)&gt;0,AND(ISNUMBER(L1131),OR(L1131&lt;0,L1131&gt;95))),"Введите целое число от 0 до 95",IF(OR(AND(J1131&lt;&gt;"",NOT(ISNUMBER(J1131))),IFERROR(MOD(J1131,1),1)&gt;0,AND(ISNUMBER(J1131),OR(J1131&lt;50,J1131&gt;20000000))),"Введите целое число от 50 до 20000000",IF(NOT(ABS(IFERROR(VALUE(LEFT(M1131,FIND("-",M1131)-1)),M1131)*100-(5000+2000000000)/2)&lt;=ABS(5000-2000000000)/2),"Цена со скидкой должна быть от 50 до 20000000",IF(IFERROR(VALUE(LEFT(M1131,FIND("-",M1131)-1)),M1131)*190&lt;36900,"Вы уменьшили цену в несколько раз, товар попадет в карантин цен","")))),"")</f>
      </c>
    </row>
    <row r="1132">
      <c r="A1132" s="2" t="inlineStr">
        <is>
          <t>CuteShop</t>
        </is>
      </c>
      <c r="B1132" s="2" t="inlineStr">
        <is>
          <t>Держатели для пустышек</t>
        </is>
      </c>
      <c r="C1132" s="2">
        <v>245144089</v>
      </c>
      <c r="D1132" s="2" t="inlineStr">
        <is>
          <t>Derzh-Malch5</t>
        </is>
      </c>
      <c r="E1132" s="2" t="inlineStr">
        <is>
          <t>2040698994500</t>
        </is>
      </c>
      <c r="F1132" s="2">
        <v>0</v>
      </c>
      <c r="G1132" s="2">
        <v>1</v>
      </c>
      <c r="H1132" s="2" t="inlineStr">
        <is>
          <t/>
        </is>
      </c>
      <c r="I1132" s="2" t="inlineStr">
        <is>
          <t>450</t>
        </is>
      </c>
      <c r="J1132" s="4"/>
      <c r="K1132" s="2">
        <v>3</v>
      </c>
      <c r="L1132" s="6"/>
      <c r="M1132" s="2" t="str">
        <f>IF(J1132="",ROUND(I1132*(1-IF(ISBLANK(L1132),K1132,L1132)/100),2),ROUND(J1132*(1-IF(ISBLANK(L1132),K1132,L1132)/100),2))</f>
      </c>
      <c r="N1132" s="7" t="str">
        <f>IF(NOT(AND(J1132="",L1132="")),IF(OR(AND(L1132&lt;&gt;"",NOT(ISNUMBER(L1132))),IFERROR(MOD(L1132,1),1)&gt;0,AND(ISNUMBER(L1132),OR(L1132&lt;0,L1132&gt;95))),"Введите целое число от 0 до 95",IF(OR(AND(J1132&lt;&gt;"",NOT(ISNUMBER(J1132))),IFERROR(MOD(J1132,1),1)&gt;0,AND(ISNUMBER(J1132),OR(J1132&lt;50,J1132&gt;20000000))),"Введите целое число от 50 до 20000000",IF(NOT(ABS(IFERROR(VALUE(LEFT(M1132,FIND("-",M1132)-1)),M1132)*100-(5000+2000000000)/2)&lt;=ABS(5000-2000000000)/2),"Цена со скидкой должна быть от 50 до 20000000",IF(IFERROR(VALUE(LEFT(M1132,FIND("-",M1132)-1)),M1132)*229&lt;43650,"Вы уменьшили цену в несколько раз, товар попадет в карантин цен","")))),"")</f>
      </c>
    </row>
    <row r="1133">
      <c r="A1133" s="2" t="inlineStr">
        <is>
          <t>CuteShop</t>
        </is>
      </c>
      <c r="B1133" s="2" t="inlineStr">
        <is>
          <t>Бусины</t>
        </is>
      </c>
      <c r="C1133" s="2">
        <v>222442844</v>
      </c>
      <c r="D1133" s="2" t="inlineStr">
        <is>
          <t>Rond-Roz-8-50</t>
        </is>
      </c>
      <c r="E1133" s="2" t="inlineStr">
        <is>
          <t>2039791523496</t>
        </is>
      </c>
      <c r="F1133" s="2">
        <v>0</v>
      </c>
      <c r="G1133" s="2">
        <v>0</v>
      </c>
      <c r="H1133" s="2" t="inlineStr">
        <is>
          <t/>
        </is>
      </c>
      <c r="I1133" s="2" t="inlineStr">
        <is>
          <t>300</t>
        </is>
      </c>
      <c r="J1133" s="4"/>
      <c r="K1133" s="2">
        <v>0</v>
      </c>
      <c r="L1133" s="6"/>
      <c r="M1133" s="2" t="str">
        <f>IF(J1133="",ROUND(I1133*(1-IF(ISBLANK(L1133),K1133,L1133)/100),2),ROUND(J1133*(1-IF(ISBLANK(L1133),K1133,L1133)/100),2))</f>
      </c>
      <c r="N1133" s="7" t="str">
        <f>IF(NOT(AND(J1133="",L1133="")),IF(OR(AND(L1133&lt;&gt;"",NOT(ISNUMBER(L1133))),IFERROR(MOD(L1133,1),1)&gt;0,AND(ISNUMBER(L1133),OR(L1133&lt;0,L1133&gt;95))),"Введите целое число от 0 до 95",IF(OR(AND(J1133&lt;&gt;"",NOT(ISNUMBER(J1133))),IFERROR(MOD(J1133,1),1)&gt;0,AND(ISNUMBER(J1133),OR(J1133&lt;50,J1133&gt;20000000))),"Введите целое число от 50 до 20000000",IF(NOT(ABS(IFERROR(VALUE(LEFT(M1133,FIND("-",M1133)-1)),M1133)*100-(5000+2000000000)/2)&lt;=ABS(5000-2000000000)/2),"Цена со скидкой должна быть от 50 до 20000000",IF(IFERROR(VALUE(LEFT(M1133,FIND("-",M1133)-1)),M1133)*190&lt;30000,"Вы уменьшили цену в несколько раз, товар попадет в карантин цен","")))),"")</f>
      </c>
    </row>
    <row r="1134">
      <c r="A1134" s="2" t="inlineStr">
        <is>
          <t>CuteShop</t>
        </is>
      </c>
      <c r="B1134" s="2" t="inlineStr">
        <is>
          <t>Аксессуары для рукоделия</t>
        </is>
      </c>
      <c r="C1134" s="2">
        <v>146257252</v>
      </c>
      <c r="D1134" s="2" t="inlineStr">
        <is>
          <t>Kab-Sovush3</t>
        </is>
      </c>
      <c r="E1134" s="2" t="inlineStr">
        <is>
          <t>2037462647984</t>
        </is>
      </c>
      <c r="F1134" s="2">
        <v>0</v>
      </c>
      <c r="G1134" s="2">
        <v>0</v>
      </c>
      <c r="H1134" s="2">
        <v>0</v>
      </c>
      <c r="I1134" s="2" t="inlineStr">
        <is>
          <t>290</t>
        </is>
      </c>
      <c r="J1134" s="4"/>
      <c r="K1134" s="2">
        <v>10</v>
      </c>
      <c r="L1134" s="6"/>
      <c r="M1134" s="2" t="str">
        <f>IF(J1134="",ROUND(I1134*(1-IF(ISBLANK(L1134),K1134,L1134)/100),2),ROUND(J1134*(1-IF(ISBLANK(L1134),K1134,L1134)/100),2))</f>
      </c>
      <c r="N1134" s="7" t="str">
        <f>IF(NOT(AND(J1134="",L1134="")),IF(OR(AND(L1134&lt;&gt;"",NOT(ISNUMBER(L1134))),IFERROR(MOD(L1134,1),1)&gt;0,AND(ISNUMBER(L1134),OR(L1134&lt;0,L1134&gt;95))),"Введите целое число от 0 до 95",IF(OR(AND(J1134&lt;&gt;"",NOT(ISNUMBER(J1134))),IFERROR(MOD(J1134,1),1)&gt;0,AND(ISNUMBER(J1134),OR(J1134&lt;50,J1134&gt;20000000))),"Введите целое число от 50 до 20000000",IF(NOT(ABS(IFERROR(VALUE(LEFT(M1134,FIND("-",M1134)-1)),M1134)*100-(5000+2000000000)/2)&lt;=ABS(5000-2000000000)/2),"Цена со скидкой должна быть от 50 до 20000000",IF(IFERROR(VALUE(LEFT(M1134,FIND("-",M1134)-1)),M1134)*190&lt;26100,"Вы уменьшили цену в несколько раз, товар попадет в карантин цен","")))),"")</f>
      </c>
    </row>
    <row r="1135">
      <c r="A1135" s="2" t="inlineStr">
        <is>
          <t>CuteShop</t>
        </is>
      </c>
      <c r="B1135" s="2" t="inlineStr">
        <is>
          <t>Аксессуары для рукоделия</t>
        </is>
      </c>
      <c r="C1135" s="2">
        <v>343368089</v>
      </c>
      <c r="D1135" s="2" t="inlineStr">
        <is>
          <t>Kab-Kot</t>
        </is>
      </c>
      <c r="E1135" s="2" t="inlineStr">
        <is>
          <t>2043022450253</t>
        </is>
      </c>
      <c r="F1135" s="2">
        <v>0</v>
      </c>
      <c r="G1135" s="2">
        <v>1</v>
      </c>
      <c r="H1135" s="2" t="inlineStr">
        <is>
          <t/>
        </is>
      </c>
      <c r="I1135" s="2" t="inlineStr">
        <is>
          <t>290</t>
        </is>
      </c>
      <c r="J1135" s="4"/>
      <c r="K1135" s="2">
        <v>10</v>
      </c>
      <c r="L1135" s="6"/>
      <c r="M1135" s="2" t="str">
        <f>IF(J1135="",ROUND(I1135*(1-IF(ISBLANK(L1135),K1135,L1135)/100),2),ROUND(J1135*(1-IF(ISBLANK(L1135),K1135,L1135)/100),2))</f>
      </c>
      <c r="N1135" s="7" t="str">
        <f>IF(NOT(AND(J1135="",L1135="")),IF(OR(AND(L1135&lt;&gt;"",NOT(ISNUMBER(L1135))),IFERROR(MOD(L1135,1),1)&gt;0,AND(ISNUMBER(L1135),OR(L1135&lt;0,L1135&gt;95))),"Введите целое число от 0 до 95",IF(OR(AND(J1135&lt;&gt;"",NOT(ISNUMBER(J1135))),IFERROR(MOD(J1135,1),1)&gt;0,AND(ISNUMBER(J1135),OR(J1135&lt;50,J1135&gt;20000000))),"Введите целое число от 50 до 20000000",IF(NOT(ABS(IFERROR(VALUE(LEFT(M1135,FIND("-",M1135)-1)),M1135)*100-(5000+2000000000)/2)&lt;=ABS(5000-2000000000)/2),"Цена со скидкой должна быть от 50 до 20000000",IF(IFERROR(VALUE(LEFT(M1135,FIND("-",M1135)-1)),M1135)*190&lt;26100,"Вы уменьшили цену в несколько раз, товар попадет в карантин цен","")))),"")</f>
      </c>
    </row>
    <row r="1136">
      <c r="A1136" s="2" t="inlineStr">
        <is>
          <t>CuteShop</t>
        </is>
      </c>
      <c r="B1136" s="2" t="inlineStr">
        <is>
          <t>Держатели для пустышек</t>
        </is>
      </c>
      <c r="C1136" s="2">
        <v>245144969</v>
      </c>
      <c r="D1136" s="2" t="inlineStr">
        <is>
          <t>Derzh-Malch-Lev</t>
        </is>
      </c>
      <c r="E1136" s="2" t="inlineStr">
        <is>
          <t>2040699012081</t>
        </is>
      </c>
      <c r="F1136" s="2">
        <v>0</v>
      </c>
      <c r="G1136" s="2">
        <v>0</v>
      </c>
      <c r="H1136" s="2" t="inlineStr">
        <is>
          <t/>
        </is>
      </c>
      <c r="I1136" s="2" t="inlineStr">
        <is>
          <t>750</t>
        </is>
      </c>
      <c r="J1136" s="4"/>
      <c r="K1136" s="2">
        <v>5</v>
      </c>
      <c r="L1136" s="6"/>
      <c r="M1136" s="2" t="str">
        <f>IF(J1136="",ROUND(I1136*(1-IF(ISBLANK(L1136),K1136,L1136)/100),2),ROUND(J1136*(1-IF(ISBLANK(L1136),K1136,L1136)/100),2))</f>
      </c>
      <c r="N1136" s="7" t="str">
        <f>IF(NOT(AND(J1136="",L1136="")),IF(OR(AND(L1136&lt;&gt;"",NOT(ISNUMBER(L1136))),IFERROR(MOD(L1136,1),1)&gt;0,AND(ISNUMBER(L1136),OR(L1136&lt;0,L1136&gt;95))),"Введите целое число от 0 до 95",IF(OR(AND(J1136&lt;&gt;"",NOT(ISNUMBER(J1136))),IFERROR(MOD(J1136,1),1)&gt;0,AND(ISNUMBER(J1136),OR(J1136&lt;50,J1136&gt;20000000))),"Введите целое число от 50 до 20000000",IF(NOT(ABS(IFERROR(VALUE(LEFT(M1136,FIND("-",M1136)-1)),M1136)*100-(5000+2000000000)/2)&lt;=ABS(5000-2000000000)/2),"Цена со скидкой должна быть от 50 до 20000000",IF(IFERROR(VALUE(LEFT(M1136,FIND("-",M1136)-1)),M1136)*229&lt;71250,"Вы уменьшили цену в несколько раз, товар попадет в карантин цен","")))),"")</f>
      </c>
    </row>
    <row r="1137">
      <c r="A1137" s="2" t="inlineStr">
        <is>
          <t>CuteShop</t>
        </is>
      </c>
      <c r="B1137" s="2" t="inlineStr">
        <is>
          <t>Держатели для пустышек</t>
        </is>
      </c>
      <c r="C1137" s="2">
        <v>146342939</v>
      </c>
      <c r="D1137" s="2" t="inlineStr">
        <is>
          <t>MartaEdin</t>
        </is>
      </c>
      <c r="E1137" s="2" t="inlineStr">
        <is>
          <t>2037465310687</t>
        </is>
      </c>
      <c r="F1137" s="2">
        <v>0</v>
      </c>
      <c r="G1137" s="2">
        <v>0</v>
      </c>
      <c r="H1137" s="2">
        <v>0</v>
      </c>
      <c r="I1137" s="2" t="inlineStr">
        <is>
          <t>1030</t>
        </is>
      </c>
      <c r="J1137" s="4"/>
      <c r="K1137" s="2">
        <v>10</v>
      </c>
      <c r="L1137" s="6"/>
      <c r="M1137" s="2" t="str">
        <f>IF(J1137="",ROUND(I1137*(1-IF(ISBLANK(L1137),K1137,L1137)/100),2),ROUND(J1137*(1-IF(ISBLANK(L1137),K1137,L1137)/100),2))</f>
      </c>
      <c r="N1137" s="7" t="str">
        <f>IF(NOT(AND(J1137="",L1137="")),IF(OR(AND(L1137&lt;&gt;"",NOT(ISNUMBER(L1137))),IFERROR(MOD(L1137,1),1)&gt;0,AND(ISNUMBER(L1137),OR(L1137&lt;0,L1137&gt;95))),"Введите целое число от 0 до 95",IF(OR(AND(J1137&lt;&gt;"",NOT(ISNUMBER(J1137))),IFERROR(MOD(J1137,1),1)&gt;0,AND(ISNUMBER(J1137),OR(J1137&lt;50,J1137&gt;20000000))),"Введите целое число от 50 до 20000000",IF(NOT(ABS(IFERROR(VALUE(LEFT(M1137,FIND("-",M1137)-1)),M1137)*100-(5000+2000000000)/2)&lt;=ABS(5000-2000000000)/2),"Цена со скидкой должна быть от 50 до 20000000",IF(IFERROR(VALUE(LEFT(M1137,FIND("-",M1137)-1)),M1137)*229&lt;92700,"Вы уменьшили цену в несколько раз, товар попадет в карантин цен","")))),"")</f>
      </c>
    </row>
    <row r="1138">
      <c r="A1138" s="2" t="inlineStr">
        <is>
          <t>CuteShop</t>
        </is>
      </c>
      <c r="B1138" s="2" t="inlineStr">
        <is>
          <t>Держатели для пустышек</t>
        </is>
      </c>
      <c r="C1138" s="2">
        <v>146348571</v>
      </c>
      <c r="D1138" s="2" t="inlineStr">
        <is>
          <t>SaveliyMish</t>
        </is>
      </c>
      <c r="E1138" s="2" t="inlineStr">
        <is>
          <t>2037465480205</t>
        </is>
      </c>
      <c r="F1138" s="2">
        <v>0</v>
      </c>
      <c r="G1138" s="2">
        <v>1</v>
      </c>
      <c r="H1138" s="2">
        <v>1</v>
      </c>
      <c r="I1138" s="2" t="inlineStr">
        <is>
          <t>1030</t>
        </is>
      </c>
      <c r="J1138" s="4"/>
      <c r="K1138" s="2">
        <v>10</v>
      </c>
      <c r="L1138" s="6"/>
      <c r="M1138" s="2" t="str">
        <f>IF(J1138="",ROUND(I1138*(1-IF(ISBLANK(L1138),K1138,L1138)/100),2),ROUND(J1138*(1-IF(ISBLANK(L1138),K1138,L1138)/100),2))</f>
      </c>
      <c r="N1138" s="7" t="str">
        <f>IF(NOT(AND(J1138="",L1138="")),IF(OR(AND(L1138&lt;&gt;"",NOT(ISNUMBER(L1138))),IFERROR(MOD(L1138,1),1)&gt;0,AND(ISNUMBER(L1138),OR(L1138&lt;0,L1138&gt;95))),"Введите целое число от 0 до 95",IF(OR(AND(J1138&lt;&gt;"",NOT(ISNUMBER(J1138))),IFERROR(MOD(J1138,1),1)&gt;0,AND(ISNUMBER(J1138),OR(J1138&lt;50,J1138&gt;20000000))),"Введите целое число от 50 до 20000000",IF(NOT(ABS(IFERROR(VALUE(LEFT(M1138,FIND("-",M1138)-1)),M1138)*100-(5000+2000000000)/2)&lt;=ABS(5000-2000000000)/2),"Цена со скидкой должна быть от 50 до 20000000",IF(IFERROR(VALUE(LEFT(M1138,FIND("-",M1138)-1)),M1138)*229&lt;92700,"Вы уменьшили цену в несколько раз, товар попадет в карантин цен","")))),"")</f>
      </c>
    </row>
    <row r="1139">
      <c r="A1139" s="2" t="inlineStr">
        <is>
          <t>CuteShop</t>
        </is>
      </c>
      <c r="B1139" s="2" t="inlineStr">
        <is>
          <t>Ленты для рукоделия</t>
        </is>
      </c>
      <c r="C1139" s="2">
        <v>277583681</v>
      </c>
      <c r="D1139" s="2" t="inlineStr">
        <is>
          <t>Lenta-Atlas-Snezh-Sin-40-4.7</t>
        </is>
      </c>
      <c r="E1139" s="2" t="inlineStr">
        <is>
          <t>2041647984535</t>
        </is>
      </c>
      <c r="F1139" s="2">
        <v>0</v>
      </c>
      <c r="G1139" s="2">
        <v>0</v>
      </c>
      <c r="H1139" s="2" t="inlineStr">
        <is>
          <t/>
        </is>
      </c>
      <c r="I1139" s="2" t="inlineStr">
        <is>
          <t>305</t>
        </is>
      </c>
      <c r="J1139" s="4"/>
      <c r="K1139" s="2">
        <v>0</v>
      </c>
      <c r="L1139" s="6"/>
      <c r="M1139" s="2" t="str">
        <f>IF(J1139="",ROUND(I1139*(1-IF(ISBLANK(L1139),K1139,L1139)/100),2),ROUND(J1139*(1-IF(ISBLANK(L1139),K1139,L1139)/100),2))</f>
      </c>
      <c r="N1139" s="7" t="str">
        <f>IF(NOT(AND(J1139="",L1139="")),IF(OR(AND(L1139&lt;&gt;"",NOT(ISNUMBER(L1139))),IFERROR(MOD(L1139,1),1)&gt;0,AND(ISNUMBER(L1139),OR(L1139&lt;0,L1139&gt;95))),"Введите целое число от 0 до 95",IF(OR(AND(J1139&lt;&gt;"",NOT(ISNUMBER(J1139))),IFERROR(MOD(J1139,1),1)&gt;0,AND(ISNUMBER(J1139),OR(J1139&lt;50,J1139&gt;20000000))),"Введите целое число от 50 до 20000000",IF(NOT(ABS(IFERROR(VALUE(LEFT(M1139,FIND("-",M1139)-1)),M1139)*100-(5000+2000000000)/2)&lt;=ABS(5000-2000000000)/2),"Цена со скидкой должна быть от 50 до 20000000",IF(IFERROR(VALUE(LEFT(M1139,FIND("-",M1139)-1)),M1139)*190&lt;30500,"Вы уменьшили цену в несколько раз, товар попадет в карантин цен","")))),"")</f>
      </c>
    </row>
    <row r="1140">
      <c r="A1140" s="2" t="inlineStr">
        <is>
          <t>CuteShop</t>
        </is>
      </c>
      <c r="B1140" s="2" t="inlineStr">
        <is>
          <t>Держатели для пустышек</t>
        </is>
      </c>
      <c r="C1140" s="2">
        <v>146350038</v>
      </c>
      <c r="D1140" s="2" t="inlineStr">
        <is>
          <t>TihonSob</t>
        </is>
      </c>
      <c r="E1140" s="2" t="inlineStr">
        <is>
          <t>2037465540466</t>
        </is>
      </c>
      <c r="F1140" s="2">
        <v>0</v>
      </c>
      <c r="G1140" s="2">
        <v>0</v>
      </c>
      <c r="H1140" s="2" t="inlineStr">
        <is>
          <t/>
        </is>
      </c>
      <c r="I1140" s="2" t="inlineStr">
        <is>
          <t>1030</t>
        </is>
      </c>
      <c r="J1140" s="4"/>
      <c r="K1140" s="2">
        <v>10</v>
      </c>
      <c r="L1140" s="6"/>
      <c r="M1140" s="2" t="str">
        <f>IF(J1140="",ROUND(I1140*(1-IF(ISBLANK(L1140),K1140,L1140)/100),2),ROUND(J1140*(1-IF(ISBLANK(L1140),K1140,L1140)/100),2))</f>
      </c>
      <c r="N1140" s="7" t="str">
        <f>IF(NOT(AND(J1140="",L1140="")),IF(OR(AND(L1140&lt;&gt;"",NOT(ISNUMBER(L1140))),IFERROR(MOD(L1140,1),1)&gt;0,AND(ISNUMBER(L1140),OR(L1140&lt;0,L1140&gt;95))),"Введите целое число от 0 до 95",IF(OR(AND(J1140&lt;&gt;"",NOT(ISNUMBER(J1140))),IFERROR(MOD(J1140,1),1)&gt;0,AND(ISNUMBER(J1140),OR(J1140&lt;50,J1140&gt;20000000))),"Введите целое число от 50 до 20000000",IF(NOT(ABS(IFERROR(VALUE(LEFT(M1140,FIND("-",M1140)-1)),M1140)*100-(5000+2000000000)/2)&lt;=ABS(5000-2000000000)/2),"Цена со скидкой должна быть от 50 до 20000000",IF(IFERROR(VALUE(LEFT(M1140,FIND("-",M1140)-1)),M1140)*229&lt;92700,"Вы уменьшили цену в несколько раз, товар попадет в карантин цен","")))),"")</f>
      </c>
    </row>
    <row r="1141">
      <c r="A1141" s="2" t="inlineStr">
        <is>
          <t>CuteShop</t>
        </is>
      </c>
      <c r="B1141" s="2" t="inlineStr">
        <is>
          <t>Держатели для пустышек</t>
        </is>
      </c>
      <c r="C1141" s="2">
        <v>179069539</v>
      </c>
      <c r="D1141" s="2" t="inlineStr">
        <is>
          <t>KatenkaMish</t>
        </is>
      </c>
      <c r="E1141" s="2" t="inlineStr">
        <is>
          <t>2038691483954</t>
        </is>
      </c>
      <c r="F1141" s="2">
        <v>0</v>
      </c>
      <c r="G1141" s="2">
        <v>1</v>
      </c>
      <c r="H1141" s="2" t="inlineStr">
        <is>
          <t/>
        </is>
      </c>
      <c r="I1141" s="2" t="inlineStr">
        <is>
          <t>1030</t>
        </is>
      </c>
      <c r="J1141" s="4"/>
      <c r="K1141" s="2">
        <v>10</v>
      </c>
      <c r="L1141" s="6"/>
      <c r="M1141" s="2" t="str">
        <f>IF(J1141="",ROUND(I1141*(1-IF(ISBLANK(L1141),K1141,L1141)/100),2),ROUND(J1141*(1-IF(ISBLANK(L1141),K1141,L1141)/100),2))</f>
      </c>
      <c r="N1141" s="7" t="str">
        <f>IF(NOT(AND(J1141="",L1141="")),IF(OR(AND(L1141&lt;&gt;"",NOT(ISNUMBER(L1141))),IFERROR(MOD(L1141,1),1)&gt;0,AND(ISNUMBER(L1141),OR(L1141&lt;0,L1141&gt;95))),"Введите целое число от 0 до 95",IF(OR(AND(J1141&lt;&gt;"",NOT(ISNUMBER(J1141))),IFERROR(MOD(J1141,1),1)&gt;0,AND(ISNUMBER(J1141),OR(J1141&lt;50,J1141&gt;20000000))),"Введите целое число от 50 до 20000000",IF(NOT(ABS(IFERROR(VALUE(LEFT(M1141,FIND("-",M1141)-1)),M1141)*100-(5000+2000000000)/2)&lt;=ABS(5000-2000000000)/2),"Цена со скидкой должна быть от 50 до 20000000",IF(IFERROR(VALUE(LEFT(M1141,FIND("-",M1141)-1)),M1141)*229&lt;92700,"Вы уменьшили цену в несколько раз, товар попадет в карантин цен","")))),"")</f>
      </c>
    </row>
    <row r="1142">
      <c r="A1142" s="2" t="inlineStr">
        <is>
          <t>CuteShop</t>
        </is>
      </c>
      <c r="B1142" s="2" t="inlineStr">
        <is>
          <t>Держатели для пустышек</t>
        </is>
      </c>
      <c r="C1142" s="2">
        <v>254607366</v>
      </c>
      <c r="D1142" s="2" t="inlineStr">
        <is>
          <t>Derzh-Dev8</t>
        </is>
      </c>
      <c r="E1142" s="2" t="inlineStr">
        <is>
          <t>2040985082507</t>
        </is>
      </c>
      <c r="F1142" s="2">
        <v>0</v>
      </c>
      <c r="G1142" s="2">
        <v>1</v>
      </c>
      <c r="H1142" s="2" t="inlineStr">
        <is>
          <t/>
        </is>
      </c>
      <c r="I1142" s="2" t="inlineStr">
        <is>
          <t>450</t>
        </is>
      </c>
      <c r="J1142" s="4"/>
      <c r="K1142" s="2">
        <v>3</v>
      </c>
      <c r="L1142" s="6"/>
      <c r="M1142" s="2" t="str">
        <f>IF(J1142="",ROUND(I1142*(1-IF(ISBLANK(L1142),K1142,L1142)/100),2),ROUND(J1142*(1-IF(ISBLANK(L1142),K1142,L1142)/100),2))</f>
      </c>
      <c r="N1142" s="7" t="str">
        <f>IF(NOT(AND(J1142="",L1142="")),IF(OR(AND(L1142&lt;&gt;"",NOT(ISNUMBER(L1142))),IFERROR(MOD(L1142,1),1)&gt;0,AND(ISNUMBER(L1142),OR(L1142&lt;0,L1142&gt;95))),"Введите целое число от 0 до 95",IF(OR(AND(J1142&lt;&gt;"",NOT(ISNUMBER(J1142))),IFERROR(MOD(J1142,1),1)&gt;0,AND(ISNUMBER(J1142),OR(J1142&lt;50,J1142&gt;20000000))),"Введите целое число от 50 до 20000000",IF(NOT(ABS(IFERROR(VALUE(LEFT(M1142,FIND("-",M1142)-1)),M1142)*100-(5000+2000000000)/2)&lt;=ABS(5000-2000000000)/2),"Цена со скидкой должна быть от 50 до 20000000",IF(IFERROR(VALUE(LEFT(M1142,FIND("-",M1142)-1)),M1142)*229&lt;43650,"Вы уменьшили цену в несколько раз, товар попадет в карантин цен","")))),"")</f>
      </c>
    </row>
    <row r="1143">
      <c r="A1143" s="2" t="inlineStr">
        <is>
          <t>CuteShop</t>
        </is>
      </c>
      <c r="B1143" s="2" t="inlineStr">
        <is>
          <t>Бусины</t>
        </is>
      </c>
      <c r="C1143" s="2">
        <v>229030352</v>
      </c>
      <c r="D1143" s="2" t="inlineStr">
        <is>
          <t>Rond-Raduzh2-6-50</t>
        </is>
      </c>
      <c r="E1143" s="2" t="inlineStr">
        <is>
          <t>2039929769345</t>
        </is>
      </c>
      <c r="F1143" s="2">
        <v>0</v>
      </c>
      <c r="G1143" s="2">
        <v>0</v>
      </c>
      <c r="H1143" s="2" t="inlineStr">
        <is>
          <t/>
        </is>
      </c>
      <c r="I1143" s="2" t="inlineStr">
        <is>
          <t>300</t>
        </is>
      </c>
      <c r="J1143" s="4"/>
      <c r="K1143" s="2">
        <v>0</v>
      </c>
      <c r="L1143" s="6"/>
      <c r="M1143" s="2" t="str">
        <f>IF(J1143="",ROUND(I1143*(1-IF(ISBLANK(L1143),K1143,L1143)/100),2),ROUND(J1143*(1-IF(ISBLANK(L1143),K1143,L1143)/100),2))</f>
      </c>
      <c r="N1143" s="7" t="str">
        <f>IF(NOT(AND(J1143="",L1143="")),IF(OR(AND(L1143&lt;&gt;"",NOT(ISNUMBER(L1143))),IFERROR(MOD(L1143,1),1)&gt;0,AND(ISNUMBER(L1143),OR(L1143&lt;0,L1143&gt;95))),"Введите целое число от 0 до 95",IF(OR(AND(J1143&lt;&gt;"",NOT(ISNUMBER(J1143))),IFERROR(MOD(J1143,1),1)&gt;0,AND(ISNUMBER(J1143),OR(J1143&lt;50,J1143&gt;20000000))),"Введите целое число от 50 до 20000000",IF(NOT(ABS(IFERROR(VALUE(LEFT(M1143,FIND("-",M1143)-1)),M1143)*100-(5000+2000000000)/2)&lt;=ABS(5000-2000000000)/2),"Цена со скидкой должна быть от 50 до 20000000",IF(IFERROR(VALUE(LEFT(M1143,FIND("-",M1143)-1)),M1143)*190&lt;30000,"Вы уменьшили цену в несколько раз, товар попадет в карантин цен","")))),"")</f>
      </c>
    </row>
    <row r="1144">
      <c r="A1144" s="2" t="inlineStr">
        <is>
          <t>CuteShop</t>
        </is>
      </c>
      <c r="B1144" s="2" t="inlineStr">
        <is>
          <t>Держатели для пустышек</t>
        </is>
      </c>
      <c r="C1144" s="2">
        <v>179069040</v>
      </c>
      <c r="D1144" s="2" t="inlineStr">
        <is>
          <t>KatenkaEdin</t>
        </is>
      </c>
      <c r="E1144" s="2" t="inlineStr">
        <is>
          <t>2038691471869</t>
        </is>
      </c>
      <c r="F1144" s="2">
        <v>0</v>
      </c>
      <c r="G1144" s="2">
        <v>0</v>
      </c>
      <c r="H1144" s="2" t="inlineStr">
        <is>
          <t/>
        </is>
      </c>
      <c r="I1144" s="2" t="inlineStr">
        <is>
          <t>1030</t>
        </is>
      </c>
      <c r="J1144" s="4"/>
      <c r="K1144" s="2">
        <v>10</v>
      </c>
      <c r="L1144" s="6"/>
      <c r="M1144" s="2" t="str">
        <f>IF(J1144="",ROUND(I1144*(1-IF(ISBLANK(L1144),K1144,L1144)/100),2),ROUND(J1144*(1-IF(ISBLANK(L1144),K1144,L1144)/100),2))</f>
      </c>
      <c r="N1144" s="7" t="str">
        <f>IF(NOT(AND(J1144="",L1144="")),IF(OR(AND(L1144&lt;&gt;"",NOT(ISNUMBER(L1144))),IFERROR(MOD(L1144,1),1)&gt;0,AND(ISNUMBER(L1144),OR(L1144&lt;0,L1144&gt;95))),"Введите целое число от 0 до 95",IF(OR(AND(J1144&lt;&gt;"",NOT(ISNUMBER(J1144))),IFERROR(MOD(J1144,1),1)&gt;0,AND(ISNUMBER(J1144),OR(J1144&lt;50,J1144&gt;20000000))),"Введите целое число от 50 до 20000000",IF(NOT(ABS(IFERROR(VALUE(LEFT(M1144,FIND("-",M1144)-1)),M1144)*100-(5000+2000000000)/2)&lt;=ABS(5000-2000000000)/2),"Цена со скидкой должна быть от 50 до 20000000",IF(IFERROR(VALUE(LEFT(M1144,FIND("-",M1144)-1)),M1144)*229&lt;92700,"Вы уменьшили цену в несколько раз, товар попадет в карантин цен","")))),"")</f>
      </c>
    </row>
    <row r="1145">
      <c r="A1145" s="2" t="inlineStr">
        <is>
          <t>CuteShop</t>
        </is>
      </c>
      <c r="B1145" s="2" t="inlineStr">
        <is>
          <t>Держатели для пустышек</t>
        </is>
      </c>
      <c r="C1145" s="2">
        <v>87252080</v>
      </c>
      <c r="D1145" s="2" t="inlineStr">
        <is>
          <t>FilippMish2</t>
        </is>
      </c>
      <c r="E1145" s="2" t="inlineStr">
        <is>
          <t>2034676802628</t>
        </is>
      </c>
      <c r="F1145" s="2">
        <v>0</v>
      </c>
      <c r="G1145" s="2">
        <v>0</v>
      </c>
      <c r="H1145" s="2">
        <v>0</v>
      </c>
      <c r="I1145" s="2" t="inlineStr">
        <is>
          <t>1030</t>
        </is>
      </c>
      <c r="J1145" s="4"/>
      <c r="K1145" s="2">
        <v>10</v>
      </c>
      <c r="L1145" s="6"/>
      <c r="M1145" s="2" t="str">
        <f>IF(J1145="",ROUND(I1145*(1-IF(ISBLANK(L1145),K1145,L1145)/100),2),ROUND(J1145*(1-IF(ISBLANK(L1145),K1145,L1145)/100),2))</f>
      </c>
      <c r="N1145" s="7" t="str">
        <f>IF(NOT(AND(J1145="",L1145="")),IF(OR(AND(L1145&lt;&gt;"",NOT(ISNUMBER(L1145))),IFERROR(MOD(L1145,1),1)&gt;0,AND(ISNUMBER(L1145),OR(L1145&lt;0,L1145&gt;95))),"Введите целое число от 0 до 95",IF(OR(AND(J1145&lt;&gt;"",NOT(ISNUMBER(J1145))),IFERROR(MOD(J1145,1),1)&gt;0,AND(ISNUMBER(J1145),OR(J1145&lt;50,J1145&gt;20000000))),"Введите целое число от 50 до 20000000",IF(NOT(ABS(IFERROR(VALUE(LEFT(M1145,FIND("-",M1145)-1)),M1145)*100-(5000+2000000000)/2)&lt;=ABS(5000-2000000000)/2),"Цена со скидкой должна быть от 50 до 20000000",IF(IFERROR(VALUE(LEFT(M1145,FIND("-",M1145)-1)),M1145)*229&lt;92700,"Вы уменьшили цену в несколько раз, товар попадет в карантин цен","")))),"")</f>
      </c>
    </row>
    <row r="1146">
      <c r="A1146" s="2" t="inlineStr">
        <is>
          <t>CuteShop</t>
        </is>
      </c>
      <c r="B1146" s="2" t="inlineStr">
        <is>
          <t>Бусины</t>
        </is>
      </c>
      <c r="C1146" s="2">
        <v>153292135</v>
      </c>
      <c r="D1146" s="2" t="inlineStr">
        <is>
          <t>Bus-raduzh-8mm-mix-200</t>
        </is>
      </c>
      <c r="E1146" s="2" t="inlineStr">
        <is>
          <t>2037631385266</t>
        </is>
      </c>
      <c r="F1146" s="2">
        <v>0</v>
      </c>
      <c r="G1146" s="2">
        <v>0</v>
      </c>
      <c r="H1146" s="2" t="inlineStr">
        <is>
          <t/>
        </is>
      </c>
      <c r="I1146" s="2" t="inlineStr">
        <is>
          <t>320</t>
        </is>
      </c>
      <c r="J1146" s="4"/>
      <c r="K1146" s="2">
        <v>0</v>
      </c>
      <c r="L1146" s="6"/>
      <c r="M1146" s="2" t="str">
        <f>IF(J1146="",ROUND(I1146*(1-IF(ISBLANK(L1146),K1146,L1146)/100),2),ROUND(J1146*(1-IF(ISBLANK(L1146),K1146,L1146)/100),2))</f>
      </c>
      <c r="N1146" s="7" t="str">
        <f>IF(NOT(AND(J1146="",L1146="")),IF(OR(AND(L1146&lt;&gt;"",NOT(ISNUMBER(L1146))),IFERROR(MOD(L1146,1),1)&gt;0,AND(ISNUMBER(L1146),OR(L1146&lt;0,L1146&gt;95))),"Введите целое число от 0 до 95",IF(OR(AND(J1146&lt;&gt;"",NOT(ISNUMBER(J1146))),IFERROR(MOD(J1146,1),1)&gt;0,AND(ISNUMBER(J1146),OR(J1146&lt;50,J1146&gt;20000000))),"Введите целое число от 50 до 20000000",IF(NOT(ABS(IFERROR(VALUE(LEFT(M1146,FIND("-",M1146)-1)),M1146)*100-(5000+2000000000)/2)&lt;=ABS(5000-2000000000)/2),"Цена со скидкой должна быть от 50 до 20000000",IF(IFERROR(VALUE(LEFT(M1146,FIND("-",M1146)-1)),M1146)*190&lt;32000,"Вы уменьшили цену в несколько раз, товар попадет в карантин цен","")))),"")</f>
      </c>
    </row>
    <row r="1147">
      <c r="A1147" s="2" t="inlineStr">
        <is>
          <t>CuteShop</t>
        </is>
      </c>
      <c r="B1147" s="2" t="inlineStr">
        <is>
          <t>Ленты для рукоделия</t>
        </is>
      </c>
      <c r="C1147" s="2">
        <v>191694196</v>
      </c>
      <c r="D1147" s="2" t="inlineStr">
        <is>
          <t>Lenta-Rep-Snezh-GolSer</t>
        </is>
      </c>
      <c r="E1147" s="2" t="inlineStr">
        <is>
          <t>2039048563046</t>
        </is>
      </c>
      <c r="F1147" s="2">
        <v>0</v>
      </c>
      <c r="G1147" s="2">
        <v>0</v>
      </c>
      <c r="H1147" s="2" t="inlineStr">
        <is>
          <t/>
        </is>
      </c>
      <c r="I1147" s="2" t="inlineStr">
        <is>
          <t>350</t>
        </is>
      </c>
      <c r="J1147" s="4"/>
      <c r="K1147" s="2">
        <v>0</v>
      </c>
      <c r="L1147" s="6"/>
      <c r="M1147" s="2" t="str">
        <f>IF(J1147="",ROUND(I1147*(1-IF(ISBLANK(L1147),K1147,L1147)/100),2),ROUND(J1147*(1-IF(ISBLANK(L1147),K1147,L1147)/100),2))</f>
      </c>
      <c r="N1147" s="7" t="str">
        <f>IF(NOT(AND(J1147="",L1147="")),IF(OR(AND(L1147&lt;&gt;"",NOT(ISNUMBER(L1147))),IFERROR(MOD(L1147,1),1)&gt;0,AND(ISNUMBER(L1147),OR(L1147&lt;0,L1147&gt;95))),"Введите целое число от 0 до 95",IF(OR(AND(J1147&lt;&gt;"",NOT(ISNUMBER(J1147))),IFERROR(MOD(J1147,1),1)&gt;0,AND(ISNUMBER(J1147),OR(J1147&lt;50,J1147&gt;20000000))),"Введите целое число от 50 до 20000000",IF(NOT(ABS(IFERROR(VALUE(LEFT(M1147,FIND("-",M1147)-1)),M1147)*100-(5000+2000000000)/2)&lt;=ABS(5000-2000000000)/2),"Цена со скидкой должна быть от 50 до 20000000",IF(IFERROR(VALUE(LEFT(M1147,FIND("-",M1147)-1)),M1147)*190&lt;35000,"Вы уменьшили цену в несколько раз, товар попадет в карантин цен","")))),"")</f>
      </c>
    </row>
    <row r="1148">
      <c r="A1148" s="2" t="inlineStr">
        <is>
          <t>CuteShop</t>
        </is>
      </c>
      <c r="B1148" s="2" t="inlineStr">
        <is>
          <t>Держатели для пустышек</t>
        </is>
      </c>
      <c r="C1148" s="2">
        <v>87458140</v>
      </c>
      <c r="D1148" s="2" t="inlineStr">
        <is>
          <t>LizaSlon</t>
        </is>
      </c>
      <c r="E1148" s="2" t="inlineStr">
        <is>
          <t>2034789588624</t>
        </is>
      </c>
      <c r="F1148" s="2">
        <v>0</v>
      </c>
      <c r="G1148" s="2">
        <v>0</v>
      </c>
      <c r="H1148" s="2">
        <v>0</v>
      </c>
      <c r="I1148" s="2" t="inlineStr">
        <is>
          <t>1030</t>
        </is>
      </c>
      <c r="J1148" s="4"/>
      <c r="K1148" s="2">
        <v>10</v>
      </c>
      <c r="L1148" s="6"/>
      <c r="M1148" s="2" t="str">
        <f>IF(J1148="",ROUND(I1148*(1-IF(ISBLANK(L1148),K1148,L1148)/100),2),ROUND(J1148*(1-IF(ISBLANK(L1148),K1148,L1148)/100),2))</f>
      </c>
      <c r="N1148" s="7" t="str">
        <f>IF(NOT(AND(J1148="",L1148="")),IF(OR(AND(L1148&lt;&gt;"",NOT(ISNUMBER(L1148))),IFERROR(MOD(L1148,1),1)&gt;0,AND(ISNUMBER(L1148),OR(L1148&lt;0,L1148&gt;95))),"Введите целое число от 0 до 95",IF(OR(AND(J1148&lt;&gt;"",NOT(ISNUMBER(J1148))),IFERROR(MOD(J1148,1),1)&gt;0,AND(ISNUMBER(J1148),OR(J1148&lt;50,J1148&gt;20000000))),"Введите целое число от 50 до 20000000",IF(NOT(ABS(IFERROR(VALUE(LEFT(M1148,FIND("-",M1148)-1)),M1148)*100-(5000+2000000000)/2)&lt;=ABS(5000-2000000000)/2),"Цена со скидкой должна быть от 50 до 20000000",IF(IFERROR(VALUE(LEFT(M1148,FIND("-",M1148)-1)),M1148)*229&lt;92700,"Вы уменьшили цену в несколько раз, товар попадет в карантин цен","")))),"")</f>
      </c>
    </row>
    <row r="1149">
      <c r="A1149" s="2" t="inlineStr">
        <is>
          <t/>
        </is>
      </c>
      <c r="B1149" s="2" t="inlineStr">
        <is>
          <t>Ткани для рукоделия</t>
        </is>
      </c>
      <c r="C1149" s="2">
        <v>190303906</v>
      </c>
      <c r="D1149" s="2" t="inlineStr">
        <is>
          <t>Fatin-15-Gol-11,5</t>
        </is>
      </c>
      <c r="E1149" s="2" t="inlineStr">
        <is>
          <t>2039005589898</t>
        </is>
      </c>
      <c r="F1149" s="2">
        <v>0</v>
      </c>
      <c r="G1149" s="2">
        <v>0</v>
      </c>
      <c r="H1149" s="2">
        <v>1</v>
      </c>
      <c r="I1149" s="2" t="inlineStr">
        <is>
          <t>400</t>
        </is>
      </c>
      <c r="J1149" s="4"/>
      <c r="K1149" s="2">
        <v>10</v>
      </c>
      <c r="L1149" s="6"/>
      <c r="M1149" s="2" t="str">
        <f>IF(J1149="",ROUND(I1149*(1-IF(ISBLANK(L1149),K1149,L1149)/100),2),ROUND(J1149*(1-IF(ISBLANK(L1149),K1149,L1149)/100),2))</f>
      </c>
      <c r="N1149" s="7" t="str">
        <f>IF(NOT(AND(J1149="",L1149="")),IF(OR(AND(L1149&lt;&gt;"",NOT(ISNUMBER(L1149))),IFERROR(MOD(L1149,1),1)&gt;0,AND(ISNUMBER(L1149),OR(L1149&lt;0,L1149&gt;95))),"Введите целое число от 0 до 95",IF(OR(AND(J1149&lt;&gt;"",NOT(ISNUMBER(J1149))),IFERROR(MOD(J1149,1),1)&gt;0,AND(ISNUMBER(J1149),OR(J1149&lt;50,J1149&gt;20000000))),"Введите целое число от 50 до 20000000",IF(NOT(ABS(IFERROR(VALUE(LEFT(M1149,FIND("-",M1149)-1)),M1149)*100-(5000+2000000000)/2)&lt;=ABS(5000-2000000000)/2),"Цена со скидкой должна быть от 50 до 20000000",IF(IFERROR(VALUE(LEFT(M1149,FIND("-",M1149)-1)),M1149)*190&lt;36000,"Вы уменьшили цену в несколько раз, товар попадет в карантин цен","")))),"")</f>
      </c>
    </row>
    <row r="1150">
      <c r="A1150" s="2" t="inlineStr">
        <is>
          <t/>
        </is>
      </c>
      <c r="B1150" s="2" t="inlineStr">
        <is>
          <t>Ткани для рукоделия</t>
        </is>
      </c>
      <c r="C1150" s="2">
        <v>190303907</v>
      </c>
      <c r="D1150" s="2" t="inlineStr">
        <is>
          <t>Fatin-15-Gol-23</t>
        </is>
      </c>
      <c r="E1150" s="2" t="inlineStr">
        <is>
          <t>2039005588723</t>
        </is>
      </c>
      <c r="F1150" s="2">
        <v>0</v>
      </c>
      <c r="G1150" s="2">
        <v>0</v>
      </c>
      <c r="H1150" s="2" t="inlineStr">
        <is>
          <t/>
        </is>
      </c>
      <c r="I1150" s="2" t="inlineStr">
        <is>
          <t>520</t>
        </is>
      </c>
      <c r="J1150" s="4"/>
      <c r="K1150" s="2">
        <v>10</v>
      </c>
      <c r="L1150" s="6"/>
      <c r="M1150" s="2" t="str">
        <f>IF(J1150="",ROUND(I1150*(1-IF(ISBLANK(L1150),K1150,L1150)/100),2),ROUND(J1150*(1-IF(ISBLANK(L1150),K1150,L1150)/100),2))</f>
      </c>
      <c r="N1150" s="7" t="str">
        <f>IF(NOT(AND(J1150="",L1150="")),IF(OR(AND(L1150&lt;&gt;"",NOT(ISNUMBER(L1150))),IFERROR(MOD(L1150,1),1)&gt;0,AND(ISNUMBER(L1150),OR(L1150&lt;0,L1150&gt;95))),"Введите целое число от 0 до 95",IF(OR(AND(J1150&lt;&gt;"",NOT(ISNUMBER(J1150))),IFERROR(MOD(J1150,1),1)&gt;0,AND(ISNUMBER(J1150),OR(J1150&lt;50,J1150&gt;20000000))),"Введите целое число от 50 до 20000000",IF(NOT(ABS(IFERROR(VALUE(LEFT(M1150,FIND("-",M1150)-1)),M1150)*100-(5000+2000000000)/2)&lt;=ABS(5000-2000000000)/2),"Цена со скидкой должна быть от 50 до 20000000",IF(IFERROR(VALUE(LEFT(M1150,FIND("-",M1150)-1)),M1150)*190&lt;46800,"Вы уменьшили цену в несколько раз, товар попадет в карантин цен","")))),"")</f>
      </c>
    </row>
    <row r="1151">
      <c r="A1151" s="2" t="inlineStr">
        <is>
          <t>CuteShop</t>
        </is>
      </c>
      <c r="B1151" s="2" t="inlineStr">
        <is>
          <t>Аксессуары для рукоделия</t>
        </is>
      </c>
      <c r="C1151" s="2">
        <v>140515903</v>
      </c>
      <c r="D1151" s="2" t="inlineStr">
        <is>
          <t>Nabor-ShapPompRez3</t>
        </is>
      </c>
      <c r="E1151" s="2" t="inlineStr">
        <is>
          <t>2037300688810</t>
        </is>
      </c>
      <c r="F1151" s="2">
        <v>0</v>
      </c>
      <c r="G1151" s="2">
        <v>0</v>
      </c>
      <c r="H1151" s="2" t="inlineStr">
        <is>
          <t/>
        </is>
      </c>
      <c r="I1151" s="2" t="inlineStr">
        <is>
          <t>580</t>
        </is>
      </c>
      <c r="J1151" s="4"/>
      <c r="K1151" s="2">
        <v>0</v>
      </c>
      <c r="L1151" s="6"/>
      <c r="M1151" s="2" t="str">
        <f>IF(J1151="",ROUND(I1151*(1-IF(ISBLANK(L1151),K1151,L1151)/100),2),ROUND(J1151*(1-IF(ISBLANK(L1151),K1151,L1151)/100),2))</f>
      </c>
      <c r="N1151" s="7" t="str">
        <f>IF(NOT(AND(J1151="",L1151="")),IF(OR(AND(L1151&lt;&gt;"",NOT(ISNUMBER(L1151))),IFERROR(MOD(L1151,1),1)&gt;0,AND(ISNUMBER(L1151),OR(L1151&lt;0,L1151&gt;95))),"Введите целое число от 0 до 95",IF(OR(AND(J1151&lt;&gt;"",NOT(ISNUMBER(J1151))),IFERROR(MOD(J1151,1),1)&gt;0,AND(ISNUMBER(J1151),OR(J1151&lt;50,J1151&gt;20000000))),"Введите целое число от 50 до 20000000",IF(NOT(ABS(IFERROR(VALUE(LEFT(M1151,FIND("-",M1151)-1)),M1151)*100-(5000+2000000000)/2)&lt;=ABS(5000-2000000000)/2),"Цена со скидкой должна быть от 50 до 20000000",IF(IFERROR(VALUE(LEFT(M1151,FIND("-",M1151)-1)),M1151)*190&lt;58000,"Вы уменьшили цену в несколько раз, товар попадет в карантин цен","")))),"")</f>
      </c>
    </row>
    <row r="1152">
      <c r="A1152" s="2" t="inlineStr">
        <is>
          <t>CuteShop</t>
        </is>
      </c>
      <c r="B1152" s="2" t="inlineStr">
        <is>
          <t>Держатели для пустышек</t>
        </is>
      </c>
      <c r="C1152" s="2">
        <v>245136594</v>
      </c>
      <c r="D1152" s="2" t="inlineStr">
        <is>
          <t>TimoshaBG</t>
        </is>
      </c>
      <c r="E1152" s="2" t="inlineStr">
        <is>
          <t>2040698829215</t>
        </is>
      </c>
      <c r="F1152" s="2">
        <v>0</v>
      </c>
      <c r="G1152" s="2">
        <v>1</v>
      </c>
      <c r="H1152" s="2" t="inlineStr">
        <is>
          <t/>
        </is>
      </c>
      <c r="I1152" s="2" t="inlineStr">
        <is>
          <t>700</t>
        </is>
      </c>
      <c r="J1152" s="4"/>
      <c r="K1152" s="2">
        <v>10</v>
      </c>
      <c r="L1152" s="6"/>
      <c r="M1152" s="2" t="str">
        <f>IF(J1152="",ROUND(I1152*(1-IF(ISBLANK(L1152),K1152,L1152)/100),2),ROUND(J1152*(1-IF(ISBLANK(L1152),K1152,L1152)/100),2))</f>
      </c>
      <c r="N1152" s="7" t="str">
        <f>IF(NOT(AND(J1152="",L1152="")),IF(OR(AND(L1152&lt;&gt;"",NOT(ISNUMBER(L1152))),IFERROR(MOD(L1152,1),1)&gt;0,AND(ISNUMBER(L1152),OR(L1152&lt;0,L1152&gt;95))),"Введите целое число от 0 до 95",IF(OR(AND(J1152&lt;&gt;"",NOT(ISNUMBER(J1152))),IFERROR(MOD(J1152,1),1)&gt;0,AND(ISNUMBER(J1152),OR(J1152&lt;50,J1152&gt;20000000))),"Введите целое число от 50 до 20000000",IF(NOT(ABS(IFERROR(VALUE(LEFT(M1152,FIND("-",M1152)-1)),M1152)*100-(5000+2000000000)/2)&lt;=ABS(5000-2000000000)/2),"Цена со скидкой должна быть от 50 до 20000000",IF(IFERROR(VALUE(LEFT(M1152,FIND("-",M1152)-1)),M1152)*229&lt;63000,"Вы уменьшили цену в несколько раз, товар попадет в карантин цен","")))),"")</f>
      </c>
    </row>
    <row r="1153">
      <c r="A1153" s="2" t="inlineStr">
        <is>
          <t>CuteShop</t>
        </is>
      </c>
      <c r="B1153" s="2" t="inlineStr">
        <is>
          <t>Ленты для рукоделия</t>
        </is>
      </c>
      <c r="C1153" s="2">
        <v>116437120</v>
      </c>
      <c r="D1153" s="2" t="inlineStr">
        <is>
          <t>Lenta-Rep-KruzhBlackPink</t>
        </is>
      </c>
      <c r="E1153" s="2" t="inlineStr">
        <is>
          <t>2041652982625</t>
        </is>
      </c>
      <c r="F1153" s="2">
        <v>0</v>
      </c>
      <c r="G1153" s="2">
        <v>0</v>
      </c>
      <c r="H1153" s="2">
        <v>0</v>
      </c>
      <c r="I1153" s="2" t="inlineStr">
        <is>
          <t>369</t>
        </is>
      </c>
      <c r="J1153" s="4"/>
      <c r="K1153" s="2">
        <v>0</v>
      </c>
      <c r="L1153" s="6"/>
      <c r="M1153" s="2" t="str">
        <f>IF(J1153="",ROUND(I1153*(1-IF(ISBLANK(L1153),K1153,L1153)/100),2),ROUND(J1153*(1-IF(ISBLANK(L1153),K1153,L1153)/100),2))</f>
      </c>
      <c r="N1153" s="7" t="str">
        <f>IF(NOT(AND(J1153="",L1153="")),IF(OR(AND(L1153&lt;&gt;"",NOT(ISNUMBER(L1153))),IFERROR(MOD(L1153,1),1)&gt;0,AND(ISNUMBER(L1153),OR(L1153&lt;0,L1153&gt;95))),"Введите целое число от 0 до 95",IF(OR(AND(J1153&lt;&gt;"",NOT(ISNUMBER(J1153))),IFERROR(MOD(J1153,1),1)&gt;0,AND(ISNUMBER(J1153),OR(J1153&lt;50,J1153&gt;20000000))),"Введите целое число от 50 до 20000000",IF(NOT(ABS(IFERROR(VALUE(LEFT(M1153,FIND("-",M1153)-1)),M1153)*100-(5000+2000000000)/2)&lt;=ABS(5000-2000000000)/2),"Цена со скидкой должна быть от 50 до 20000000",IF(IFERROR(VALUE(LEFT(M1153,FIND("-",M1153)-1)),M1153)*190&lt;36900,"Вы уменьшили цену в несколько раз, товар попадет в карантин цен","")))),"")</f>
      </c>
    </row>
    <row r="1154">
      <c r="A1154" s="2" t="inlineStr">
        <is>
          <t>CuteShop</t>
        </is>
      </c>
      <c r="B1154" s="2" t="inlineStr">
        <is>
          <t>Держатели для пустышек</t>
        </is>
      </c>
      <c r="C1154" s="2">
        <v>87712329</v>
      </c>
      <c r="D1154" s="2" t="inlineStr">
        <is>
          <t>MakarKoala</t>
        </is>
      </c>
      <c r="E1154" s="2" t="inlineStr">
        <is>
          <t>2034890697628</t>
        </is>
      </c>
      <c r="F1154" s="2">
        <v>0</v>
      </c>
      <c r="G1154" s="2">
        <v>1</v>
      </c>
      <c r="H1154" s="2">
        <v>0</v>
      </c>
      <c r="I1154" s="2" t="inlineStr">
        <is>
          <t>1030</t>
        </is>
      </c>
      <c r="J1154" s="4"/>
      <c r="K1154" s="2">
        <v>10</v>
      </c>
      <c r="L1154" s="6"/>
      <c r="M1154" s="2" t="str">
        <f>IF(J1154="",ROUND(I1154*(1-IF(ISBLANK(L1154),K1154,L1154)/100),2),ROUND(J1154*(1-IF(ISBLANK(L1154),K1154,L1154)/100),2))</f>
      </c>
      <c r="N1154" s="7" t="str">
        <f>IF(NOT(AND(J1154="",L1154="")),IF(OR(AND(L1154&lt;&gt;"",NOT(ISNUMBER(L1154))),IFERROR(MOD(L1154,1),1)&gt;0,AND(ISNUMBER(L1154),OR(L1154&lt;0,L1154&gt;95))),"Введите целое число от 0 до 95",IF(OR(AND(J1154&lt;&gt;"",NOT(ISNUMBER(J1154))),IFERROR(MOD(J1154,1),1)&gt;0,AND(ISNUMBER(J1154),OR(J1154&lt;50,J1154&gt;20000000))),"Введите целое число от 50 до 20000000",IF(NOT(ABS(IFERROR(VALUE(LEFT(M1154,FIND("-",M1154)-1)),M1154)*100-(5000+2000000000)/2)&lt;=ABS(5000-2000000000)/2),"Цена со скидкой должна быть от 50 до 20000000",IF(IFERROR(VALUE(LEFT(M1154,FIND("-",M1154)-1)),M1154)*229&lt;92700,"Вы уменьшили цену в несколько раз, товар попадет в карантин цен","")))),"")</f>
      </c>
    </row>
    <row r="1155">
      <c r="A1155" s="2" t="inlineStr">
        <is>
          <t>CuteShop</t>
        </is>
      </c>
      <c r="B1155" s="2" t="inlineStr">
        <is>
          <t>Ленты для рукоделия</t>
        </is>
      </c>
      <c r="C1155" s="2">
        <v>191766147</v>
      </c>
      <c r="D1155" s="2" t="inlineStr">
        <is>
          <t>Lenta-Rep-Snezh-BelSer-40-5</t>
        </is>
      </c>
      <c r="E1155" s="2" t="inlineStr">
        <is>
          <t>2039051166449</t>
        </is>
      </c>
      <c r="F1155" s="2">
        <v>0</v>
      </c>
      <c r="G1155" s="2">
        <v>0</v>
      </c>
      <c r="H1155" s="2">
        <v>10</v>
      </c>
      <c r="I1155" s="2" t="inlineStr">
        <is>
          <t>360</t>
        </is>
      </c>
      <c r="J1155" s="4"/>
      <c r="K1155" s="2">
        <v>0</v>
      </c>
      <c r="L1155" s="6"/>
      <c r="M1155" s="2" t="str">
        <f>IF(J1155="",ROUND(I1155*(1-IF(ISBLANK(L1155),K1155,L1155)/100),2),ROUND(J1155*(1-IF(ISBLANK(L1155),K1155,L1155)/100),2))</f>
      </c>
      <c r="N1155" s="7" t="str">
        <f>IF(NOT(AND(J1155="",L1155="")),IF(OR(AND(L1155&lt;&gt;"",NOT(ISNUMBER(L1155))),IFERROR(MOD(L1155,1),1)&gt;0,AND(ISNUMBER(L1155),OR(L1155&lt;0,L1155&gt;95))),"Введите целое число от 0 до 95",IF(OR(AND(J1155&lt;&gt;"",NOT(ISNUMBER(J1155))),IFERROR(MOD(J1155,1),1)&gt;0,AND(ISNUMBER(J1155),OR(J1155&lt;50,J1155&gt;20000000))),"Введите целое число от 50 до 20000000",IF(NOT(ABS(IFERROR(VALUE(LEFT(M1155,FIND("-",M1155)-1)),M1155)*100-(5000+2000000000)/2)&lt;=ABS(5000-2000000000)/2),"Цена со скидкой должна быть от 50 до 20000000",IF(IFERROR(VALUE(LEFT(M1155,FIND("-",M1155)-1)),M1155)*190&lt;36000,"Вы уменьшили цену в несколько раз, товар попадет в карантин цен","")))),"")</f>
      </c>
    </row>
    <row r="1156">
      <c r="A1156" s="2" t="inlineStr">
        <is>
          <t>CuteShop</t>
        </is>
      </c>
      <c r="B1156" s="2" t="inlineStr">
        <is>
          <t>Держатели для пустышек</t>
        </is>
      </c>
      <c r="C1156" s="2">
        <v>269145306</v>
      </c>
      <c r="D1156" s="2" t="inlineStr">
        <is>
          <t>YulyashaBG</t>
        </is>
      </c>
      <c r="E1156" s="2" t="inlineStr">
        <is>
          <t>2041429771391</t>
        </is>
      </c>
      <c r="F1156" s="2">
        <v>0</v>
      </c>
      <c r="G1156" s="2">
        <v>1</v>
      </c>
      <c r="H1156" s="2" t="inlineStr">
        <is>
          <t/>
        </is>
      </c>
      <c r="I1156" s="2" t="inlineStr">
        <is>
          <t>790</t>
        </is>
      </c>
      <c r="J1156" s="4"/>
      <c r="K1156" s="2">
        <v>10</v>
      </c>
      <c r="L1156" s="6"/>
      <c r="M1156" s="2" t="str">
        <f>IF(J1156="",ROUND(I1156*(1-IF(ISBLANK(L1156),K1156,L1156)/100),2),ROUND(J1156*(1-IF(ISBLANK(L1156),K1156,L1156)/100),2))</f>
      </c>
      <c r="N1156" s="7" t="str">
        <f>IF(NOT(AND(J1156="",L1156="")),IF(OR(AND(L1156&lt;&gt;"",NOT(ISNUMBER(L1156))),IFERROR(MOD(L1156,1),1)&gt;0,AND(ISNUMBER(L1156),OR(L1156&lt;0,L1156&gt;95))),"Введите целое число от 0 до 95",IF(OR(AND(J1156&lt;&gt;"",NOT(ISNUMBER(J1156))),IFERROR(MOD(J1156,1),1)&gt;0,AND(ISNUMBER(J1156),OR(J1156&lt;50,J1156&gt;20000000))),"Введите целое число от 50 до 20000000",IF(NOT(ABS(IFERROR(VALUE(LEFT(M1156,FIND("-",M1156)-1)),M1156)*100-(5000+2000000000)/2)&lt;=ABS(5000-2000000000)/2),"Цена со скидкой должна быть от 50 до 20000000",IF(IFERROR(VALUE(LEFT(M1156,FIND("-",M1156)-1)),M1156)*229&lt;71100,"Вы уменьшили цену в несколько раз, товар попадет в карантин цен","")))),"")</f>
      </c>
    </row>
    <row r="1157">
      <c r="A1157" s="2" t="inlineStr">
        <is>
          <t>CuteShop</t>
        </is>
      </c>
      <c r="B1157" s="2" t="inlineStr">
        <is>
          <t>Аксессуары для рукоделия</t>
        </is>
      </c>
      <c r="C1157" s="2">
        <v>136525558</v>
      </c>
      <c r="D1157" s="2" t="inlineStr">
        <is>
          <t>Kab-Mix5</t>
        </is>
      </c>
      <c r="E1157" s="2" t="inlineStr">
        <is>
          <t>2037188094871</t>
        </is>
      </c>
      <c r="F1157" s="2">
        <v>0</v>
      </c>
      <c r="G1157" s="2">
        <v>0</v>
      </c>
      <c r="H1157" s="2" t="inlineStr">
        <is>
          <t/>
        </is>
      </c>
      <c r="I1157" s="2" t="inlineStr">
        <is>
          <t>380</t>
        </is>
      </c>
      <c r="J1157" s="4"/>
      <c r="K1157" s="2">
        <v>5</v>
      </c>
      <c r="L1157" s="6"/>
      <c r="M1157" s="2" t="str">
        <f>IF(J1157="",ROUND(I1157*(1-IF(ISBLANK(L1157),K1157,L1157)/100),2),ROUND(J1157*(1-IF(ISBLANK(L1157),K1157,L1157)/100),2))</f>
      </c>
      <c r="N1157" s="7" t="str">
        <f>IF(NOT(AND(J1157="",L1157="")),IF(OR(AND(L1157&lt;&gt;"",NOT(ISNUMBER(L1157))),IFERROR(MOD(L1157,1),1)&gt;0,AND(ISNUMBER(L1157),OR(L1157&lt;0,L1157&gt;95))),"Введите целое число от 0 до 95",IF(OR(AND(J1157&lt;&gt;"",NOT(ISNUMBER(J1157))),IFERROR(MOD(J1157,1),1)&gt;0,AND(ISNUMBER(J1157),OR(J1157&lt;50,J1157&gt;20000000))),"Введите целое число от 50 до 20000000",IF(NOT(ABS(IFERROR(VALUE(LEFT(M1157,FIND("-",M1157)-1)),M1157)*100-(5000+2000000000)/2)&lt;=ABS(5000-2000000000)/2),"Цена со скидкой должна быть от 50 до 20000000",IF(IFERROR(VALUE(LEFT(M1157,FIND("-",M1157)-1)),M1157)*190&lt;36100,"Вы уменьшили цену в несколько раз, товар попадет в карантин цен","")))),"")</f>
      </c>
    </row>
    <row r="1158">
      <c r="A1158" s="2" t="inlineStr">
        <is>
          <t>CuteShop</t>
        </is>
      </c>
      <c r="B1158" s="2" t="inlineStr">
        <is>
          <t>Держатели для пустышек</t>
        </is>
      </c>
      <c r="C1158" s="2">
        <v>132206986</v>
      </c>
      <c r="D1158" s="2" t="inlineStr">
        <is>
          <t>SashaOlen</t>
        </is>
      </c>
      <c r="E1158" s="2" t="inlineStr">
        <is>
          <t>2037042395809</t>
        </is>
      </c>
      <c r="F1158" s="2">
        <v>0</v>
      </c>
      <c r="G1158" s="2">
        <v>0</v>
      </c>
      <c r="H1158" s="2" t="inlineStr">
        <is>
          <t/>
        </is>
      </c>
      <c r="I1158" s="2" t="inlineStr">
        <is>
          <t>1030</t>
        </is>
      </c>
      <c r="J1158" s="4"/>
      <c r="K1158" s="2">
        <v>10</v>
      </c>
      <c r="L1158" s="6"/>
      <c r="M1158" s="2" t="str">
        <f>IF(J1158="",ROUND(I1158*(1-IF(ISBLANK(L1158),K1158,L1158)/100),2),ROUND(J1158*(1-IF(ISBLANK(L1158),K1158,L1158)/100),2))</f>
      </c>
      <c r="N1158" s="7" t="str">
        <f>IF(NOT(AND(J1158="",L1158="")),IF(OR(AND(L1158&lt;&gt;"",NOT(ISNUMBER(L1158))),IFERROR(MOD(L1158,1),1)&gt;0,AND(ISNUMBER(L1158),OR(L1158&lt;0,L1158&gt;95))),"Введите целое число от 0 до 95",IF(OR(AND(J1158&lt;&gt;"",NOT(ISNUMBER(J1158))),IFERROR(MOD(J1158,1),1)&gt;0,AND(ISNUMBER(J1158),OR(J1158&lt;50,J1158&gt;20000000))),"Введите целое число от 50 до 20000000",IF(NOT(ABS(IFERROR(VALUE(LEFT(M1158,FIND("-",M1158)-1)),M1158)*100-(5000+2000000000)/2)&lt;=ABS(5000-2000000000)/2),"Цена со скидкой должна быть от 50 до 20000000",IF(IFERROR(VALUE(LEFT(M1158,FIND("-",M1158)-1)),M1158)*229&lt;92700,"Вы уменьшили цену в несколько раз, товар попадет в карантин цен","")))),"")</f>
      </c>
    </row>
    <row r="1159">
      <c r="A1159" s="2" t="inlineStr">
        <is>
          <t>CuteShop</t>
        </is>
      </c>
      <c r="B1159" s="2" t="inlineStr">
        <is>
          <t>Аксессуары для рукоделия</t>
        </is>
      </c>
      <c r="C1159" s="2">
        <v>136530631</v>
      </c>
      <c r="D1159" s="2" t="inlineStr">
        <is>
          <t>Kab-LikeeAvok</t>
        </is>
      </c>
      <c r="E1159" s="2" t="inlineStr">
        <is>
          <t>2037188148307</t>
        </is>
      </c>
      <c r="F1159" s="2">
        <v>0</v>
      </c>
      <c r="G1159" s="2">
        <v>1</v>
      </c>
      <c r="H1159" s="2">
        <v>0</v>
      </c>
      <c r="I1159" s="2" t="inlineStr">
        <is>
          <t>390</t>
        </is>
      </c>
      <c r="J1159" s="4"/>
      <c r="K1159" s="2">
        <v>10</v>
      </c>
      <c r="L1159" s="6"/>
      <c r="M1159" s="2" t="str">
        <f>IF(J1159="",ROUND(I1159*(1-IF(ISBLANK(L1159),K1159,L1159)/100),2),ROUND(J1159*(1-IF(ISBLANK(L1159),K1159,L1159)/100),2))</f>
      </c>
      <c r="N1159" s="7" t="str">
        <f>IF(NOT(AND(J1159="",L1159="")),IF(OR(AND(L1159&lt;&gt;"",NOT(ISNUMBER(L1159))),IFERROR(MOD(L1159,1),1)&gt;0,AND(ISNUMBER(L1159),OR(L1159&lt;0,L1159&gt;95))),"Введите целое число от 0 до 95",IF(OR(AND(J1159&lt;&gt;"",NOT(ISNUMBER(J1159))),IFERROR(MOD(J1159,1),1)&gt;0,AND(ISNUMBER(J1159),OR(J1159&lt;50,J1159&gt;20000000))),"Введите целое число от 50 до 20000000",IF(NOT(ABS(IFERROR(VALUE(LEFT(M1159,FIND("-",M1159)-1)),M1159)*100-(5000+2000000000)/2)&lt;=ABS(5000-2000000000)/2),"Цена со скидкой должна быть от 50 до 20000000",IF(IFERROR(VALUE(LEFT(M1159,FIND("-",M1159)-1)),M1159)*190&lt;35100,"Вы уменьшили цену в несколько раз, товар попадет в карантин цен","")))),"")</f>
      </c>
    </row>
    <row r="1160">
      <c r="A1160" s="2" t="inlineStr">
        <is>
          <t>CuteShop</t>
        </is>
      </c>
      <c r="B1160" s="2" t="inlineStr">
        <is>
          <t>Держатели для пустышек</t>
        </is>
      </c>
      <c r="C1160" s="2">
        <v>132206987</v>
      </c>
      <c r="D1160" s="2" t="inlineStr">
        <is>
          <t>SashaBG1</t>
        </is>
      </c>
      <c r="E1160" s="2" t="inlineStr">
        <is>
          <t>2037042392303</t>
        </is>
      </c>
      <c r="F1160" s="2">
        <v>0</v>
      </c>
      <c r="G1160" s="2">
        <v>1</v>
      </c>
      <c r="H1160" s="2" t="inlineStr">
        <is>
          <t/>
        </is>
      </c>
      <c r="I1160" s="2" t="inlineStr">
        <is>
          <t>790</t>
        </is>
      </c>
      <c r="J1160" s="4"/>
      <c r="K1160" s="2">
        <v>10</v>
      </c>
      <c r="L1160" s="6"/>
      <c r="M1160" s="2" t="str">
        <f>IF(J1160="",ROUND(I1160*(1-IF(ISBLANK(L1160),K1160,L1160)/100),2),ROUND(J1160*(1-IF(ISBLANK(L1160),K1160,L1160)/100),2))</f>
      </c>
      <c r="N1160" s="7" t="str">
        <f>IF(NOT(AND(J1160="",L1160="")),IF(OR(AND(L1160&lt;&gt;"",NOT(ISNUMBER(L1160))),IFERROR(MOD(L1160,1),1)&gt;0,AND(ISNUMBER(L1160),OR(L1160&lt;0,L1160&gt;95))),"Введите целое число от 0 до 95",IF(OR(AND(J1160&lt;&gt;"",NOT(ISNUMBER(J1160))),IFERROR(MOD(J1160,1),1)&gt;0,AND(ISNUMBER(J1160),OR(J1160&lt;50,J1160&gt;20000000))),"Введите целое число от 50 до 20000000",IF(NOT(ABS(IFERROR(VALUE(LEFT(M1160,FIND("-",M1160)-1)),M1160)*100-(5000+2000000000)/2)&lt;=ABS(5000-2000000000)/2),"Цена со скидкой должна быть от 50 до 20000000",IF(IFERROR(VALUE(LEFT(M1160,FIND("-",M1160)-1)),M1160)*229&lt;71100,"Вы уменьшили цену в несколько раз, товар попадет в карантин цен","")))),"")</f>
      </c>
    </row>
    <row r="1161">
      <c r="A1161" s="2" t="inlineStr">
        <is>
          <t>CuteShop</t>
        </is>
      </c>
      <c r="B1161" s="2" t="inlineStr">
        <is>
          <t>Аксессуары для рукоделия</t>
        </is>
      </c>
      <c r="C1161" s="2">
        <v>136530616</v>
      </c>
      <c r="D1161" s="2" t="inlineStr">
        <is>
          <t>Kab-AmongUs</t>
        </is>
      </c>
      <c r="E1161" s="2" t="inlineStr">
        <is>
          <t>2037188149427</t>
        </is>
      </c>
      <c r="F1161" s="2">
        <v>0</v>
      </c>
      <c r="G1161" s="2">
        <v>0</v>
      </c>
      <c r="H1161" s="2">
        <v>1</v>
      </c>
      <c r="I1161" s="2" t="inlineStr">
        <is>
          <t>330</t>
        </is>
      </c>
      <c r="J1161" s="4"/>
      <c r="K1161" s="2">
        <v>7</v>
      </c>
      <c r="L1161" s="6"/>
      <c r="M1161" s="2" t="str">
        <f>IF(J1161="",ROUND(I1161*(1-IF(ISBLANK(L1161),K1161,L1161)/100),2),ROUND(J1161*(1-IF(ISBLANK(L1161),K1161,L1161)/100),2))</f>
      </c>
      <c r="N1161" s="7" t="str">
        <f>IF(NOT(AND(J1161="",L1161="")),IF(OR(AND(L1161&lt;&gt;"",NOT(ISNUMBER(L1161))),IFERROR(MOD(L1161,1),1)&gt;0,AND(ISNUMBER(L1161),OR(L1161&lt;0,L1161&gt;95))),"Введите целое число от 0 до 95",IF(OR(AND(J1161&lt;&gt;"",NOT(ISNUMBER(J1161))),IFERROR(MOD(J1161,1),1)&gt;0,AND(ISNUMBER(J1161),OR(J1161&lt;50,J1161&gt;20000000))),"Введите целое число от 50 до 20000000",IF(NOT(ABS(IFERROR(VALUE(LEFT(M1161,FIND("-",M1161)-1)),M1161)*100-(5000+2000000000)/2)&lt;=ABS(5000-2000000000)/2),"Цена со скидкой должна быть от 50 до 20000000",IF(IFERROR(VALUE(LEFT(M1161,FIND("-",M1161)-1)),M1161)*190&lt;30689,"Вы уменьшили цену в несколько раз, товар попадет в карантин цен","")))),"")</f>
      </c>
    </row>
    <row r="1162">
      <c r="A1162" s="2" t="inlineStr">
        <is>
          <t>CuteShop</t>
        </is>
      </c>
      <c r="B1162" s="2" t="inlineStr">
        <is>
          <t>Держатели для пустышек</t>
        </is>
      </c>
      <c r="C1162" s="2">
        <v>132225094</v>
      </c>
      <c r="D1162" s="2" t="inlineStr">
        <is>
          <t>MariyaZay</t>
        </is>
      </c>
      <c r="E1162" s="2" t="inlineStr">
        <is>
          <t>2037042595018</t>
        </is>
      </c>
      <c r="F1162" s="2">
        <v>0</v>
      </c>
      <c r="G1162" s="2">
        <v>0</v>
      </c>
      <c r="H1162" s="2">
        <v>1</v>
      </c>
      <c r="I1162" s="2" t="inlineStr">
        <is>
          <t>1030</t>
        </is>
      </c>
      <c r="J1162" s="4"/>
      <c r="K1162" s="2">
        <v>10</v>
      </c>
      <c r="L1162" s="6"/>
      <c r="M1162" s="2" t="str">
        <f>IF(J1162="",ROUND(I1162*(1-IF(ISBLANK(L1162),K1162,L1162)/100),2),ROUND(J1162*(1-IF(ISBLANK(L1162),K1162,L1162)/100),2))</f>
      </c>
      <c r="N1162" s="7" t="str">
        <f>IF(NOT(AND(J1162="",L1162="")),IF(OR(AND(L1162&lt;&gt;"",NOT(ISNUMBER(L1162))),IFERROR(MOD(L1162,1),1)&gt;0,AND(ISNUMBER(L1162),OR(L1162&lt;0,L1162&gt;95))),"Введите целое число от 0 до 95",IF(OR(AND(J1162&lt;&gt;"",NOT(ISNUMBER(J1162))),IFERROR(MOD(J1162,1),1)&gt;0,AND(ISNUMBER(J1162),OR(J1162&lt;50,J1162&gt;20000000))),"Введите целое число от 50 до 20000000",IF(NOT(ABS(IFERROR(VALUE(LEFT(M1162,FIND("-",M1162)-1)),M1162)*100-(5000+2000000000)/2)&lt;=ABS(5000-2000000000)/2),"Цена со скидкой должна быть от 50 до 20000000",IF(IFERROR(VALUE(LEFT(M1162,FIND("-",M1162)-1)),M1162)*229&lt;92700,"Вы уменьшили цену в несколько раз, товар попадет в карантин цен","")))),"")</f>
      </c>
    </row>
    <row r="1163">
      <c r="A1163" s="2" t="inlineStr">
        <is>
          <t>CuteShop</t>
        </is>
      </c>
      <c r="B1163" s="2" t="inlineStr">
        <is>
          <t>Бусины</t>
        </is>
      </c>
      <c r="C1163" s="2">
        <v>229030759</v>
      </c>
      <c r="D1163" s="2" t="inlineStr">
        <is>
          <t>Rond-Zol-Prozr-6-50</t>
        </is>
      </c>
      <c r="E1163" s="2" t="inlineStr">
        <is>
          <t>2039929780920</t>
        </is>
      </c>
      <c r="F1163" s="2">
        <v>0</v>
      </c>
      <c r="G1163" s="2">
        <v>0</v>
      </c>
      <c r="H1163" s="2" t="inlineStr">
        <is>
          <t/>
        </is>
      </c>
      <c r="I1163" s="2" t="inlineStr">
        <is>
          <t>300</t>
        </is>
      </c>
      <c r="J1163" s="4"/>
      <c r="K1163" s="2">
        <v>0</v>
      </c>
      <c r="L1163" s="6"/>
      <c r="M1163" s="2" t="str">
        <f>IF(J1163="",ROUND(I1163*(1-IF(ISBLANK(L1163),K1163,L1163)/100),2),ROUND(J1163*(1-IF(ISBLANK(L1163),K1163,L1163)/100),2))</f>
      </c>
      <c r="N1163" s="7" t="str">
        <f>IF(NOT(AND(J1163="",L1163="")),IF(OR(AND(L1163&lt;&gt;"",NOT(ISNUMBER(L1163))),IFERROR(MOD(L1163,1),1)&gt;0,AND(ISNUMBER(L1163),OR(L1163&lt;0,L1163&gt;95))),"Введите целое число от 0 до 95",IF(OR(AND(J1163&lt;&gt;"",NOT(ISNUMBER(J1163))),IFERROR(MOD(J1163,1),1)&gt;0,AND(ISNUMBER(J1163),OR(J1163&lt;50,J1163&gt;20000000))),"Введите целое число от 50 до 20000000",IF(NOT(ABS(IFERROR(VALUE(LEFT(M1163,FIND("-",M1163)-1)),M1163)*100-(5000+2000000000)/2)&lt;=ABS(5000-2000000000)/2),"Цена со скидкой должна быть от 50 до 20000000",IF(IFERROR(VALUE(LEFT(M1163,FIND("-",M1163)-1)),M1163)*190&lt;30000,"Вы уменьшили цену в несколько раз, товар попадет в карантин цен","")))),"")</f>
      </c>
    </row>
    <row r="1164">
      <c r="A1164" s="2" t="inlineStr">
        <is>
          <t>CuteShop</t>
        </is>
      </c>
      <c r="B1164" s="2" t="inlineStr">
        <is>
          <t>Держатели для пустышек</t>
        </is>
      </c>
      <c r="C1164" s="2">
        <v>245134273</v>
      </c>
      <c r="D1164" s="2" t="inlineStr">
        <is>
          <t>RuslanMish2</t>
        </is>
      </c>
      <c r="E1164" s="2" t="inlineStr">
        <is>
          <t>2040698738166</t>
        </is>
      </c>
      <c r="F1164" s="2">
        <v>0</v>
      </c>
      <c r="G1164" s="2">
        <v>1</v>
      </c>
      <c r="H1164" s="2" t="inlineStr">
        <is>
          <t/>
        </is>
      </c>
      <c r="I1164" s="2" t="inlineStr">
        <is>
          <t>1030</t>
        </is>
      </c>
      <c r="J1164" s="4"/>
      <c r="K1164" s="2">
        <v>10</v>
      </c>
      <c r="L1164" s="6"/>
      <c r="M1164" s="2" t="str">
        <f>IF(J1164="",ROUND(I1164*(1-IF(ISBLANK(L1164),K1164,L1164)/100),2),ROUND(J1164*(1-IF(ISBLANK(L1164),K1164,L1164)/100),2))</f>
      </c>
      <c r="N1164" s="7" t="str">
        <f>IF(NOT(AND(J1164="",L1164="")),IF(OR(AND(L1164&lt;&gt;"",NOT(ISNUMBER(L1164))),IFERROR(MOD(L1164,1),1)&gt;0,AND(ISNUMBER(L1164),OR(L1164&lt;0,L1164&gt;95))),"Введите целое число от 0 до 95",IF(OR(AND(J1164&lt;&gt;"",NOT(ISNUMBER(J1164))),IFERROR(MOD(J1164,1),1)&gt;0,AND(ISNUMBER(J1164),OR(J1164&lt;50,J1164&gt;20000000))),"Введите целое число от 50 до 20000000",IF(NOT(ABS(IFERROR(VALUE(LEFT(M1164,FIND("-",M1164)-1)),M1164)*100-(5000+2000000000)/2)&lt;=ABS(5000-2000000000)/2),"Цена со скидкой должна быть от 50 до 20000000",IF(IFERROR(VALUE(LEFT(M1164,FIND("-",M1164)-1)),M1164)*229&lt;92700,"Вы уменьшили цену в несколько раз, товар попадет в карантин цен","")))),"")</f>
      </c>
    </row>
    <row r="1165">
      <c r="A1165" s="2" t="inlineStr">
        <is>
          <t>CuteShop</t>
        </is>
      </c>
      <c r="B1165" s="2" t="inlineStr">
        <is>
          <t>Бусины</t>
        </is>
      </c>
      <c r="C1165" s="2">
        <v>151583798</v>
      </c>
      <c r="D1165" s="2" t="inlineStr">
        <is>
          <t>Bus-akril-8mm-roz-500</t>
        </is>
      </c>
      <c r="E1165" s="2" t="inlineStr">
        <is>
          <t>2037600728063</t>
        </is>
      </c>
      <c r="F1165" s="2">
        <v>0</v>
      </c>
      <c r="G1165" s="2">
        <v>0</v>
      </c>
      <c r="H1165" s="2" t="inlineStr">
        <is>
          <t/>
        </is>
      </c>
      <c r="I1165" s="2" t="inlineStr">
        <is>
          <t>620</t>
        </is>
      </c>
      <c r="J1165" s="4"/>
      <c r="K1165" s="2">
        <v>0</v>
      </c>
      <c r="L1165" s="6"/>
      <c r="M1165" s="2" t="str">
        <f>IF(J1165="",ROUND(I1165*(1-IF(ISBLANK(L1165),K1165,L1165)/100),2),ROUND(J1165*(1-IF(ISBLANK(L1165),K1165,L1165)/100),2))</f>
      </c>
      <c r="N1165" s="7" t="str">
        <f>IF(NOT(AND(J1165="",L1165="")),IF(OR(AND(L1165&lt;&gt;"",NOT(ISNUMBER(L1165))),IFERROR(MOD(L1165,1),1)&gt;0,AND(ISNUMBER(L1165),OR(L1165&lt;0,L1165&gt;95))),"Введите целое число от 0 до 95",IF(OR(AND(J1165&lt;&gt;"",NOT(ISNUMBER(J1165))),IFERROR(MOD(J1165,1),1)&gt;0,AND(ISNUMBER(J1165),OR(J1165&lt;50,J1165&gt;20000000))),"Введите целое число от 50 до 20000000",IF(NOT(ABS(IFERROR(VALUE(LEFT(M1165,FIND("-",M1165)-1)),M1165)*100-(5000+2000000000)/2)&lt;=ABS(5000-2000000000)/2),"Цена со скидкой должна быть от 50 до 20000000",IF(IFERROR(VALUE(LEFT(M1165,FIND("-",M1165)-1)),M1165)*190&lt;62000,"Вы уменьшили цену в несколько раз, товар попадет в карантин цен","")))),"")</f>
      </c>
    </row>
    <row r="1166">
      <c r="A1166" s="2" t="inlineStr">
        <is>
          <t>CuteShop</t>
        </is>
      </c>
      <c r="B1166" s="2" t="inlineStr">
        <is>
          <t>Аксессуары для рукоделия</t>
        </is>
      </c>
      <c r="C1166" s="2">
        <v>343423973</v>
      </c>
      <c r="D1166" s="2" t="inlineStr">
        <is>
          <t>Kab-Avoc</t>
        </is>
      </c>
      <c r="E1166" s="2" t="inlineStr">
        <is>
          <t>2043023858447</t>
        </is>
      </c>
      <c r="F1166" s="2">
        <v>0</v>
      </c>
      <c r="G1166" s="2">
        <v>1</v>
      </c>
      <c r="H1166" s="2" t="inlineStr">
        <is>
          <t/>
        </is>
      </c>
      <c r="I1166" s="2" t="inlineStr">
        <is>
          <t>290</t>
        </is>
      </c>
      <c r="J1166" s="4"/>
      <c r="K1166" s="2">
        <v>10</v>
      </c>
      <c r="L1166" s="6"/>
      <c r="M1166" s="2" t="str">
        <f>IF(J1166="",ROUND(I1166*(1-IF(ISBLANK(L1166),K1166,L1166)/100),2),ROUND(J1166*(1-IF(ISBLANK(L1166),K1166,L1166)/100),2))</f>
      </c>
      <c r="N1166" s="7" t="str">
        <f>IF(NOT(AND(J1166="",L1166="")),IF(OR(AND(L1166&lt;&gt;"",NOT(ISNUMBER(L1166))),IFERROR(MOD(L1166,1),1)&gt;0,AND(ISNUMBER(L1166),OR(L1166&lt;0,L1166&gt;95))),"Введите целое число от 0 до 95",IF(OR(AND(J1166&lt;&gt;"",NOT(ISNUMBER(J1166))),IFERROR(MOD(J1166,1),1)&gt;0,AND(ISNUMBER(J1166),OR(J1166&lt;50,J1166&gt;20000000))),"Введите целое число от 50 до 20000000",IF(NOT(ABS(IFERROR(VALUE(LEFT(M1166,FIND("-",M1166)-1)),M1166)*100-(5000+2000000000)/2)&lt;=ABS(5000-2000000000)/2),"Цена со скидкой должна быть от 50 до 20000000",IF(IFERROR(VALUE(LEFT(M1166,FIND("-",M1166)-1)),M1166)*190&lt;26100,"Вы уменьшили цену в несколько раз, товар попадет в карантин цен","")))),"")</f>
      </c>
    </row>
    <row r="1167">
      <c r="A1167" s="2" t="inlineStr">
        <is>
          <t>CuteShop</t>
        </is>
      </c>
      <c r="B1167" s="2" t="inlineStr">
        <is>
          <t>Держатели для пустышек</t>
        </is>
      </c>
      <c r="C1167" s="2">
        <v>112940596</v>
      </c>
      <c r="D1167" s="2" t="inlineStr">
        <is>
          <t>PolinaSlon</t>
        </is>
      </c>
      <c r="E1167" s="2" t="inlineStr">
        <is>
          <t>2038995265621</t>
        </is>
      </c>
      <c r="F1167" s="2">
        <v>0</v>
      </c>
      <c r="G1167" s="2">
        <v>1</v>
      </c>
      <c r="H1167" s="2">
        <v>0</v>
      </c>
      <c r="I1167" s="2" t="inlineStr">
        <is>
          <t>1030</t>
        </is>
      </c>
      <c r="J1167" s="4"/>
      <c r="K1167" s="2">
        <v>10</v>
      </c>
      <c r="L1167" s="6"/>
      <c r="M1167" s="2" t="str">
        <f>IF(J1167="",ROUND(I1167*(1-IF(ISBLANK(L1167),K1167,L1167)/100),2),ROUND(J1167*(1-IF(ISBLANK(L1167),K1167,L1167)/100),2))</f>
      </c>
      <c r="N1167" s="7" t="str">
        <f>IF(NOT(AND(J1167="",L1167="")),IF(OR(AND(L1167&lt;&gt;"",NOT(ISNUMBER(L1167))),IFERROR(MOD(L1167,1),1)&gt;0,AND(ISNUMBER(L1167),OR(L1167&lt;0,L1167&gt;95))),"Введите целое число от 0 до 95",IF(OR(AND(J1167&lt;&gt;"",NOT(ISNUMBER(J1167))),IFERROR(MOD(J1167,1),1)&gt;0,AND(ISNUMBER(J1167),OR(J1167&lt;50,J1167&gt;20000000))),"Введите целое число от 50 до 20000000",IF(NOT(ABS(IFERROR(VALUE(LEFT(M1167,FIND("-",M1167)-1)),M1167)*100-(5000+2000000000)/2)&lt;=ABS(5000-2000000000)/2),"Цена со скидкой должна быть от 50 до 20000000",IF(IFERROR(VALUE(LEFT(M1167,FIND("-",M1167)-1)),M1167)*229&lt;92700,"Вы уменьшили цену в несколько раз, товар попадет в карантин цен","")))),"")</f>
      </c>
    </row>
    <row r="1168">
      <c r="A1168" s="2" t="inlineStr">
        <is>
          <t>CuteShop</t>
        </is>
      </c>
      <c r="B1168" s="2" t="inlineStr">
        <is>
          <t>Бусины</t>
        </is>
      </c>
      <c r="C1168" s="2">
        <v>194508821</v>
      </c>
      <c r="D1168" s="2" t="inlineStr">
        <is>
          <t>Bus-Serd-RedZal-200</t>
        </is>
      </c>
      <c r="E1168" s="2" t="inlineStr">
        <is>
          <t>2039125132646</t>
        </is>
      </c>
      <c r="F1168" s="2">
        <v>0</v>
      </c>
      <c r="G1168" s="2">
        <v>1</v>
      </c>
      <c r="H1168" s="2" t="inlineStr">
        <is>
          <t/>
        </is>
      </c>
      <c r="I1168" s="2" t="inlineStr">
        <is>
          <t>380</t>
        </is>
      </c>
      <c r="J1168" s="4"/>
      <c r="K1168" s="2">
        <v>10</v>
      </c>
      <c r="L1168" s="6"/>
      <c r="M1168" s="2" t="str">
        <f>IF(J1168="",ROUND(I1168*(1-IF(ISBLANK(L1168),K1168,L1168)/100),2),ROUND(J1168*(1-IF(ISBLANK(L1168),K1168,L1168)/100),2))</f>
      </c>
      <c r="N1168" s="7" t="str">
        <f>IF(NOT(AND(J1168="",L1168="")),IF(OR(AND(L1168&lt;&gt;"",NOT(ISNUMBER(L1168))),IFERROR(MOD(L1168,1),1)&gt;0,AND(ISNUMBER(L1168),OR(L1168&lt;0,L1168&gt;95))),"Введите целое число от 0 до 95",IF(OR(AND(J1168&lt;&gt;"",NOT(ISNUMBER(J1168))),IFERROR(MOD(J1168,1),1)&gt;0,AND(ISNUMBER(J1168),OR(J1168&lt;50,J1168&gt;20000000))),"Введите целое число от 50 до 20000000",IF(NOT(ABS(IFERROR(VALUE(LEFT(M1168,FIND("-",M1168)-1)),M1168)*100-(5000+2000000000)/2)&lt;=ABS(5000-2000000000)/2),"Цена со скидкой должна быть от 50 до 20000000",IF(IFERROR(VALUE(LEFT(M1168,FIND("-",M1168)-1)),M1168)*190&lt;34200,"Вы уменьшили цену в несколько раз, товар попадет в карантин цен","")))),"")</f>
      </c>
    </row>
    <row r="1169">
      <c r="A1169" s="2" t="inlineStr">
        <is>
          <t/>
        </is>
      </c>
      <c r="B1169" s="2" t="inlineStr">
        <is>
          <t>Ткани для рукоделия</t>
        </is>
      </c>
      <c r="C1169" s="2">
        <v>189529048</v>
      </c>
      <c r="D1169" s="2" t="inlineStr">
        <is>
          <t>Fatin-Zvezd15-Bel-4.6</t>
        </is>
      </c>
      <c r="E1169" s="2" t="inlineStr">
        <is>
          <t>2038978816543</t>
        </is>
      </c>
      <c r="F1169" s="2">
        <v>0</v>
      </c>
      <c r="G1169" s="2">
        <v>0</v>
      </c>
      <c r="H1169" s="2" t="inlineStr">
        <is>
          <t/>
        </is>
      </c>
      <c r="I1169" s="2" t="inlineStr">
        <is>
          <t>380</t>
        </is>
      </c>
      <c r="J1169" s="4"/>
      <c r="K1169" s="2">
        <v>0</v>
      </c>
      <c r="L1169" s="6"/>
      <c r="M1169" s="2" t="str">
        <f>IF(J1169="",ROUND(I1169*(1-IF(ISBLANK(L1169),K1169,L1169)/100),2),ROUND(J1169*(1-IF(ISBLANK(L1169),K1169,L1169)/100),2))</f>
      </c>
      <c r="N1169" s="7" t="str">
        <f>IF(NOT(AND(J1169="",L1169="")),IF(OR(AND(L1169&lt;&gt;"",NOT(ISNUMBER(L1169))),IFERROR(MOD(L1169,1),1)&gt;0,AND(ISNUMBER(L1169),OR(L1169&lt;0,L1169&gt;95))),"Введите целое число от 0 до 95",IF(OR(AND(J1169&lt;&gt;"",NOT(ISNUMBER(J1169))),IFERROR(MOD(J1169,1),1)&gt;0,AND(ISNUMBER(J1169),OR(J1169&lt;50,J1169&gt;20000000))),"Введите целое число от 50 до 20000000",IF(NOT(ABS(IFERROR(VALUE(LEFT(M1169,FIND("-",M1169)-1)),M1169)*100-(5000+2000000000)/2)&lt;=ABS(5000-2000000000)/2),"Цена со скидкой должна быть от 50 до 20000000",IF(IFERROR(VALUE(LEFT(M1169,FIND("-",M1169)-1)),M1169)*190&lt;38000,"Вы уменьшили цену в несколько раз, товар попадет в карантин цен","")))),"")</f>
      </c>
    </row>
    <row r="1170">
      <c r="A1170" s="2" t="inlineStr">
        <is>
          <t>CuteShop</t>
        </is>
      </c>
      <c r="B1170" s="2" t="inlineStr">
        <is>
          <t>Держатели для пустышек</t>
        </is>
      </c>
      <c r="C1170" s="2">
        <v>112949846</v>
      </c>
      <c r="D1170" s="2" t="inlineStr">
        <is>
          <t>AndreyMMishB</t>
        </is>
      </c>
      <c r="E1170" s="2" t="inlineStr">
        <is>
          <t>2038998162620</t>
        </is>
      </c>
      <c r="F1170" s="2">
        <v>0</v>
      </c>
      <c r="G1170" s="2">
        <v>1</v>
      </c>
      <c r="H1170" s="2">
        <v>1</v>
      </c>
      <c r="I1170" s="2" t="inlineStr">
        <is>
          <t>1030</t>
        </is>
      </c>
      <c r="J1170" s="4"/>
      <c r="K1170" s="2">
        <v>10</v>
      </c>
      <c r="L1170" s="6"/>
      <c r="M1170" s="2" t="str">
        <f>IF(J1170="",ROUND(I1170*(1-IF(ISBLANK(L1170),K1170,L1170)/100),2),ROUND(J1170*(1-IF(ISBLANK(L1170),K1170,L1170)/100),2))</f>
      </c>
      <c r="N1170" s="7" t="str">
        <f>IF(NOT(AND(J1170="",L1170="")),IF(OR(AND(L1170&lt;&gt;"",NOT(ISNUMBER(L1170))),IFERROR(MOD(L1170,1),1)&gt;0,AND(ISNUMBER(L1170),OR(L1170&lt;0,L1170&gt;95))),"Введите целое число от 0 до 95",IF(OR(AND(J1170&lt;&gt;"",NOT(ISNUMBER(J1170))),IFERROR(MOD(J1170,1),1)&gt;0,AND(ISNUMBER(J1170),OR(J1170&lt;50,J1170&gt;20000000))),"Введите целое число от 50 до 20000000",IF(NOT(ABS(IFERROR(VALUE(LEFT(M1170,FIND("-",M1170)-1)),M1170)*100-(5000+2000000000)/2)&lt;=ABS(5000-2000000000)/2),"Цена со скидкой должна быть от 50 до 20000000",IF(IFERROR(VALUE(LEFT(M1170,FIND("-",M1170)-1)),M1170)*229&lt;92700,"Вы уменьшили цену в несколько раз, товар попадет в карантин цен","")))),"")</f>
      </c>
    </row>
    <row r="1171">
      <c r="A1171" s="2" t="inlineStr">
        <is>
          <t>CuteShop</t>
        </is>
      </c>
      <c r="B1171" s="2" t="inlineStr">
        <is>
          <t>Ленты для рукоделия</t>
        </is>
      </c>
      <c r="C1171" s="2">
        <v>116433620</v>
      </c>
      <c r="D1171" s="2" t="inlineStr">
        <is>
          <t>Lenta-Rep-Shkoln1</t>
        </is>
      </c>
      <c r="E1171" s="2" t="inlineStr">
        <is>
          <t>2041521722628</t>
        </is>
      </c>
      <c r="F1171" s="2">
        <v>0</v>
      </c>
      <c r="G1171" s="2">
        <v>0</v>
      </c>
      <c r="H1171" s="2">
        <v>0</v>
      </c>
      <c r="I1171" s="2" t="inlineStr">
        <is>
          <t>369</t>
        </is>
      </c>
      <c r="J1171" s="4"/>
      <c r="K1171" s="2">
        <v>0</v>
      </c>
      <c r="L1171" s="6"/>
      <c r="M1171" s="2" t="str">
        <f>IF(J1171="",ROUND(I1171*(1-IF(ISBLANK(L1171),K1171,L1171)/100),2),ROUND(J1171*(1-IF(ISBLANK(L1171),K1171,L1171)/100),2))</f>
      </c>
      <c r="N1171" s="7" t="str">
        <f>IF(NOT(AND(J1171="",L1171="")),IF(OR(AND(L1171&lt;&gt;"",NOT(ISNUMBER(L1171))),IFERROR(MOD(L1171,1),1)&gt;0,AND(ISNUMBER(L1171),OR(L1171&lt;0,L1171&gt;95))),"Введите целое число от 0 до 95",IF(OR(AND(J1171&lt;&gt;"",NOT(ISNUMBER(J1171))),IFERROR(MOD(J1171,1),1)&gt;0,AND(ISNUMBER(J1171),OR(J1171&lt;50,J1171&gt;20000000))),"Введите целое число от 50 до 20000000",IF(NOT(ABS(IFERROR(VALUE(LEFT(M1171,FIND("-",M1171)-1)),M1171)*100-(5000+2000000000)/2)&lt;=ABS(5000-2000000000)/2),"Цена со скидкой должна быть от 50 до 20000000",IF(IFERROR(VALUE(LEFT(M1171,FIND("-",M1171)-1)),M1171)*190&lt;36900,"Вы уменьшили цену в несколько раз, товар попадет в карантин цен","")))),"")</f>
      </c>
    </row>
    <row r="1172">
      <c r="A1172" s="2" t="inlineStr">
        <is>
          <t>CuteShop</t>
        </is>
      </c>
      <c r="B1172" s="2" t="inlineStr">
        <is>
          <t>Держатели для пустышек</t>
        </is>
      </c>
      <c r="C1172" s="2">
        <v>112956197</v>
      </c>
      <c r="D1172" s="2" t="inlineStr">
        <is>
          <t>LeraMish2</t>
        </is>
      </c>
      <c r="E1172" s="2" t="inlineStr">
        <is>
          <t>2039001403624</t>
        </is>
      </c>
      <c r="F1172" s="2">
        <v>0</v>
      </c>
      <c r="G1172" s="2">
        <v>0</v>
      </c>
      <c r="H1172" s="2">
        <v>0</v>
      </c>
      <c r="I1172" s="2" t="inlineStr">
        <is>
          <t>1030</t>
        </is>
      </c>
      <c r="J1172" s="4"/>
      <c r="K1172" s="2">
        <v>10</v>
      </c>
      <c r="L1172" s="6"/>
      <c r="M1172" s="2" t="str">
        <f>IF(J1172="",ROUND(I1172*(1-IF(ISBLANK(L1172),K1172,L1172)/100),2),ROUND(J1172*(1-IF(ISBLANK(L1172),K1172,L1172)/100),2))</f>
      </c>
      <c r="N1172" s="7" t="str">
        <f>IF(NOT(AND(J1172="",L1172="")),IF(OR(AND(L1172&lt;&gt;"",NOT(ISNUMBER(L1172))),IFERROR(MOD(L1172,1),1)&gt;0,AND(ISNUMBER(L1172),OR(L1172&lt;0,L1172&gt;95))),"Введите целое число от 0 до 95",IF(OR(AND(J1172&lt;&gt;"",NOT(ISNUMBER(J1172))),IFERROR(MOD(J1172,1),1)&gt;0,AND(ISNUMBER(J1172),OR(J1172&lt;50,J1172&gt;20000000))),"Введите целое число от 50 до 20000000",IF(NOT(ABS(IFERROR(VALUE(LEFT(M1172,FIND("-",M1172)-1)),M1172)*100-(5000+2000000000)/2)&lt;=ABS(5000-2000000000)/2),"Цена со скидкой должна быть от 50 до 20000000",IF(IFERROR(VALUE(LEFT(M1172,FIND("-",M1172)-1)),M1172)*229&lt;92700,"Вы уменьшили цену в несколько раз, товар попадет в карантин цен","")))),"")</f>
      </c>
    </row>
    <row r="1173">
      <c r="A1173" s="2" t="inlineStr">
        <is>
          <t>CuteShop</t>
        </is>
      </c>
      <c r="B1173" s="2" t="inlineStr">
        <is>
          <t>Держатели для пустышек</t>
        </is>
      </c>
      <c r="C1173" s="2">
        <v>245147561</v>
      </c>
      <c r="D1173" s="2" t="inlineStr">
        <is>
          <t>GabrielOlen</t>
        </is>
      </c>
      <c r="E1173" s="2" t="inlineStr">
        <is>
          <t>2040699120120</t>
        </is>
      </c>
      <c r="F1173" s="2">
        <v>0</v>
      </c>
      <c r="G1173" s="2">
        <v>0</v>
      </c>
      <c r="H1173" s="2" t="inlineStr">
        <is>
          <t/>
        </is>
      </c>
      <c r="I1173" s="2" t="inlineStr">
        <is>
          <t>1030</t>
        </is>
      </c>
      <c r="J1173" s="4"/>
      <c r="K1173" s="2">
        <v>10</v>
      </c>
      <c r="L1173" s="6"/>
      <c r="M1173" s="2" t="str">
        <f>IF(J1173="",ROUND(I1173*(1-IF(ISBLANK(L1173),K1173,L1173)/100),2),ROUND(J1173*(1-IF(ISBLANK(L1173),K1173,L1173)/100),2))</f>
      </c>
      <c r="N1173" s="7" t="str">
        <f>IF(NOT(AND(J1173="",L1173="")),IF(OR(AND(L1173&lt;&gt;"",NOT(ISNUMBER(L1173))),IFERROR(MOD(L1173,1),1)&gt;0,AND(ISNUMBER(L1173),OR(L1173&lt;0,L1173&gt;95))),"Введите целое число от 0 до 95",IF(OR(AND(J1173&lt;&gt;"",NOT(ISNUMBER(J1173))),IFERROR(MOD(J1173,1),1)&gt;0,AND(ISNUMBER(J1173),OR(J1173&lt;50,J1173&gt;20000000))),"Введите целое число от 50 до 20000000",IF(NOT(ABS(IFERROR(VALUE(LEFT(M1173,FIND("-",M1173)-1)),M1173)*100-(5000+2000000000)/2)&lt;=ABS(5000-2000000000)/2),"Цена со скидкой должна быть от 50 до 20000000",IF(IFERROR(VALUE(LEFT(M1173,FIND("-",M1173)-1)),M1173)*229&lt;92700,"Вы уменьшили цену в несколько раз, товар попадет в карантин цен","")))),"")</f>
      </c>
    </row>
    <row r="1174">
      <c r="A1174" s="2" t="inlineStr">
        <is>
          <t>CuteShop</t>
        </is>
      </c>
      <c r="B1174" s="2" t="inlineStr">
        <is>
          <t>Аксессуары для рукоделия</t>
        </is>
      </c>
      <c r="C1174" s="2">
        <v>136539734</v>
      </c>
      <c r="D1174" s="2" t="inlineStr">
        <is>
          <t>Kab-Shkoln</t>
        </is>
      </c>
      <c r="E1174" s="2" t="inlineStr">
        <is>
          <t>2037188261358</t>
        </is>
      </c>
      <c r="F1174" s="2">
        <v>0</v>
      </c>
      <c r="G1174" s="2">
        <v>0</v>
      </c>
      <c r="H1174" s="2">
        <v>0</v>
      </c>
      <c r="I1174" s="2" t="inlineStr">
        <is>
          <t>390</t>
        </is>
      </c>
      <c r="J1174" s="4"/>
      <c r="K1174" s="2">
        <v>0</v>
      </c>
      <c r="L1174" s="6"/>
      <c r="M1174" s="2" t="str">
        <f>IF(J1174="",ROUND(I1174*(1-IF(ISBLANK(L1174),K1174,L1174)/100),2),ROUND(J1174*(1-IF(ISBLANK(L1174),K1174,L1174)/100),2))</f>
      </c>
      <c r="N1174" s="7" t="str">
        <f>IF(NOT(AND(J1174="",L1174="")),IF(OR(AND(L1174&lt;&gt;"",NOT(ISNUMBER(L1174))),IFERROR(MOD(L1174,1),1)&gt;0,AND(ISNUMBER(L1174),OR(L1174&lt;0,L1174&gt;95))),"Введите целое число от 0 до 95",IF(OR(AND(J1174&lt;&gt;"",NOT(ISNUMBER(J1174))),IFERROR(MOD(J1174,1),1)&gt;0,AND(ISNUMBER(J1174),OR(J1174&lt;50,J1174&gt;20000000))),"Введите целое число от 50 до 20000000",IF(NOT(ABS(IFERROR(VALUE(LEFT(M1174,FIND("-",M1174)-1)),M1174)*100-(5000+2000000000)/2)&lt;=ABS(5000-2000000000)/2),"Цена со скидкой должна быть от 50 до 20000000",IF(IFERROR(VALUE(LEFT(M1174,FIND("-",M1174)-1)),M1174)*190&lt;39000,"Вы уменьшили цену в несколько раз, товар попадет в карантин цен","")))),"")</f>
      </c>
    </row>
    <row r="1175">
      <c r="A1175" s="2" t="inlineStr">
        <is>
          <t>CuteShop</t>
        </is>
      </c>
      <c r="B1175" s="2" t="inlineStr">
        <is>
          <t>Держатели для пустышек</t>
        </is>
      </c>
      <c r="C1175" s="2">
        <v>269145308</v>
      </c>
      <c r="D1175" s="2" t="inlineStr">
        <is>
          <t>YulyashaKot</t>
        </is>
      </c>
      <c r="E1175" s="2" t="inlineStr">
        <is>
          <t>2041429772947</t>
        </is>
      </c>
      <c r="F1175" s="2">
        <v>0</v>
      </c>
      <c r="G1175" s="2">
        <v>0</v>
      </c>
      <c r="H1175" s="2" t="inlineStr">
        <is>
          <t/>
        </is>
      </c>
      <c r="I1175" s="2" t="inlineStr">
        <is>
          <t>1030</t>
        </is>
      </c>
      <c r="J1175" s="4"/>
      <c r="K1175" s="2">
        <v>10</v>
      </c>
      <c r="L1175" s="6"/>
      <c r="M1175" s="2" t="str">
        <f>IF(J1175="",ROUND(I1175*(1-IF(ISBLANK(L1175),K1175,L1175)/100),2),ROUND(J1175*(1-IF(ISBLANK(L1175),K1175,L1175)/100),2))</f>
      </c>
      <c r="N1175" s="7" t="str">
        <f>IF(NOT(AND(J1175="",L1175="")),IF(OR(AND(L1175&lt;&gt;"",NOT(ISNUMBER(L1175))),IFERROR(MOD(L1175,1),1)&gt;0,AND(ISNUMBER(L1175),OR(L1175&lt;0,L1175&gt;95))),"Введите целое число от 0 до 95",IF(OR(AND(J1175&lt;&gt;"",NOT(ISNUMBER(J1175))),IFERROR(MOD(J1175,1),1)&gt;0,AND(ISNUMBER(J1175),OR(J1175&lt;50,J1175&gt;20000000))),"Введите целое число от 50 до 20000000",IF(NOT(ABS(IFERROR(VALUE(LEFT(M1175,FIND("-",M1175)-1)),M1175)*100-(5000+2000000000)/2)&lt;=ABS(5000-2000000000)/2),"Цена со скидкой должна быть от 50 до 20000000",IF(IFERROR(VALUE(LEFT(M1175,FIND("-",M1175)-1)),M1175)*229&lt;92700,"Вы уменьшили цену в несколько раз, товар попадет в карантин цен","")))),"")</f>
      </c>
    </row>
    <row r="1176">
      <c r="A1176" s="2" t="inlineStr">
        <is>
          <t>CuteShop</t>
        </is>
      </c>
      <c r="B1176" s="2" t="inlineStr">
        <is>
          <t>Ленты для рукоделия</t>
        </is>
      </c>
      <c r="C1176" s="2">
        <v>376816621</v>
      </c>
      <c r="D1176" s="2" t="inlineStr">
        <is>
          <t>Lenta-Rep-9May-Mix13</t>
        </is>
      </c>
      <c r="E1176" s="2" t="inlineStr">
        <is>
          <t>2043435473191</t>
        </is>
      </c>
      <c r="F1176" s="2">
        <v>0</v>
      </c>
      <c r="G1176" s="2">
        <v>0</v>
      </c>
      <c r="H1176" s="2" t="inlineStr">
        <is>
          <t/>
        </is>
      </c>
      <c r="I1176" s="2" t="inlineStr">
        <is>
          <t>370</t>
        </is>
      </c>
      <c r="J1176" s="4"/>
      <c r="K1176" s="2">
        <v>0</v>
      </c>
      <c r="L1176" s="6"/>
      <c r="M1176" s="2" t="str">
        <f>IF(J1176="",ROUND(I1176*(1-IF(ISBLANK(L1176),K1176,L1176)/100),2),ROUND(J1176*(1-IF(ISBLANK(L1176),K1176,L1176)/100),2))</f>
      </c>
      <c r="N1176" s="7" t="str">
        <f>IF(NOT(AND(J1176="",L1176="")),IF(OR(AND(L1176&lt;&gt;"",NOT(ISNUMBER(L1176))),IFERROR(MOD(L1176,1),1)&gt;0,AND(ISNUMBER(L1176),OR(L1176&lt;0,L1176&gt;95))),"Введите целое число от 0 до 95",IF(OR(AND(J1176&lt;&gt;"",NOT(ISNUMBER(J1176))),IFERROR(MOD(J1176,1),1)&gt;0,AND(ISNUMBER(J1176),OR(J1176&lt;50,J1176&gt;20000000))),"Введите целое число от 50 до 20000000",IF(NOT(ABS(IFERROR(VALUE(LEFT(M1176,FIND("-",M1176)-1)),M1176)*100-(5000+2000000000)/2)&lt;=ABS(5000-2000000000)/2),"Цена со скидкой должна быть от 50 до 20000000",IF(IFERROR(VALUE(LEFT(M1176,FIND("-",M1176)-1)),M1176)*190&lt;37000,"Вы уменьшили цену в несколько раз, товар попадет в карантин цен","")))),"")</f>
      </c>
    </row>
    <row r="1177">
      <c r="A1177" s="2" t="inlineStr">
        <is>
          <t>CuteShop</t>
        </is>
      </c>
      <c r="B1177" s="2" t="inlineStr">
        <is>
          <t>Держатели для пустышек</t>
        </is>
      </c>
      <c r="C1177" s="2">
        <v>268775331</v>
      </c>
      <c r="D1177" s="2" t="inlineStr">
        <is>
          <t>ZaharKot</t>
        </is>
      </c>
      <c r="E1177" s="2" t="inlineStr">
        <is>
          <t>2041404949081</t>
        </is>
      </c>
      <c r="F1177" s="2">
        <v>0</v>
      </c>
      <c r="G1177" s="2">
        <v>0</v>
      </c>
      <c r="H1177" s="2" t="inlineStr">
        <is>
          <t/>
        </is>
      </c>
      <c r="I1177" s="2" t="inlineStr">
        <is>
          <t>1030</t>
        </is>
      </c>
      <c r="J1177" s="4"/>
      <c r="K1177" s="2">
        <v>10</v>
      </c>
      <c r="L1177" s="6"/>
      <c r="M1177" s="2" t="str">
        <f>IF(J1177="",ROUND(I1177*(1-IF(ISBLANK(L1177),K1177,L1177)/100),2),ROUND(J1177*(1-IF(ISBLANK(L1177),K1177,L1177)/100),2))</f>
      </c>
      <c r="N1177" s="7" t="str">
        <f>IF(NOT(AND(J1177="",L1177="")),IF(OR(AND(L1177&lt;&gt;"",NOT(ISNUMBER(L1177))),IFERROR(MOD(L1177,1),1)&gt;0,AND(ISNUMBER(L1177),OR(L1177&lt;0,L1177&gt;95))),"Введите целое число от 0 до 95",IF(OR(AND(J1177&lt;&gt;"",NOT(ISNUMBER(J1177))),IFERROR(MOD(J1177,1),1)&gt;0,AND(ISNUMBER(J1177),OR(J1177&lt;50,J1177&gt;20000000))),"Введите целое число от 50 до 20000000",IF(NOT(ABS(IFERROR(VALUE(LEFT(M1177,FIND("-",M1177)-1)),M1177)*100-(5000+2000000000)/2)&lt;=ABS(5000-2000000000)/2),"Цена со скидкой должна быть от 50 до 20000000",IF(IFERROR(VALUE(LEFT(M1177,FIND("-",M1177)-1)),M1177)*229&lt;92700,"Вы уменьшили цену в несколько раз, товар попадет в карантин цен","")))),"")</f>
      </c>
    </row>
    <row r="1178">
      <c r="A1178" s="2" t="inlineStr">
        <is>
          <t>CuteShop</t>
        </is>
      </c>
      <c r="B1178" s="2" t="inlineStr">
        <is>
          <t>Ленты для рукоделия</t>
        </is>
      </c>
      <c r="C1178" s="2">
        <v>215901974</v>
      </c>
      <c r="D1178" s="2" t="inlineStr">
        <is>
          <t>Lenta-Rep-Serdechki-Gol-2,2</t>
        </is>
      </c>
      <c r="E1178" s="2" t="inlineStr">
        <is>
          <t>2039629856710</t>
        </is>
      </c>
      <c r="F1178" s="2">
        <v>0</v>
      </c>
      <c r="G1178" s="2">
        <v>1</v>
      </c>
      <c r="H1178" s="2" t="inlineStr">
        <is>
          <t/>
        </is>
      </c>
      <c r="I1178" s="2" t="inlineStr">
        <is>
          <t>490</t>
        </is>
      </c>
      <c r="J1178" s="4"/>
      <c r="K1178" s="2">
        <v>10</v>
      </c>
      <c r="L1178" s="6"/>
      <c r="M1178" s="2" t="str">
        <f>IF(J1178="",ROUND(I1178*(1-IF(ISBLANK(L1178),K1178,L1178)/100),2),ROUND(J1178*(1-IF(ISBLANK(L1178),K1178,L1178)/100),2))</f>
      </c>
      <c r="N1178" s="7" t="str">
        <f>IF(NOT(AND(J1178="",L1178="")),IF(OR(AND(L1178&lt;&gt;"",NOT(ISNUMBER(L1178))),IFERROR(MOD(L1178,1),1)&gt;0,AND(ISNUMBER(L1178),OR(L1178&lt;0,L1178&gt;95))),"Введите целое число от 0 до 95",IF(OR(AND(J1178&lt;&gt;"",NOT(ISNUMBER(J1178))),IFERROR(MOD(J1178,1),1)&gt;0,AND(ISNUMBER(J1178),OR(J1178&lt;50,J1178&gt;20000000))),"Введите целое число от 50 до 20000000",IF(NOT(ABS(IFERROR(VALUE(LEFT(M1178,FIND("-",M1178)-1)),M1178)*100-(5000+2000000000)/2)&lt;=ABS(5000-2000000000)/2),"Цена со скидкой должна быть от 50 до 20000000",IF(IFERROR(VALUE(LEFT(M1178,FIND("-",M1178)-1)),M1178)*190&lt;44100,"Вы уменьшили цену в несколько раз, товар попадет в карантин цен","")))),"")</f>
      </c>
    </row>
    <row r="1179">
      <c r="A1179" s="2" t="inlineStr">
        <is>
          <t>CuteShop</t>
        </is>
      </c>
      <c r="B1179" s="2" t="inlineStr">
        <is>
          <t>Аксессуары для рукоделия</t>
        </is>
      </c>
      <c r="C1179" s="2">
        <v>139461089</v>
      </c>
      <c r="D1179" s="2" t="inlineStr">
        <is>
          <t>Kab-KotMix-12</t>
        </is>
      </c>
      <c r="E1179" s="2" t="inlineStr">
        <is>
          <t>2037275941590</t>
        </is>
      </c>
      <c r="F1179" s="2">
        <v>0</v>
      </c>
      <c r="G1179" s="2">
        <v>0</v>
      </c>
      <c r="H1179" s="2">
        <v>0</v>
      </c>
      <c r="I1179" s="2" t="inlineStr">
        <is>
          <t>320</t>
        </is>
      </c>
      <c r="J1179" s="4"/>
      <c r="K1179" s="2">
        <v>0</v>
      </c>
      <c r="L1179" s="6"/>
      <c r="M1179" s="2" t="str">
        <f>IF(J1179="",ROUND(I1179*(1-IF(ISBLANK(L1179),K1179,L1179)/100),2),ROUND(J1179*(1-IF(ISBLANK(L1179),K1179,L1179)/100),2))</f>
      </c>
      <c r="N1179" s="7" t="str">
        <f>IF(NOT(AND(J1179="",L1179="")),IF(OR(AND(L1179&lt;&gt;"",NOT(ISNUMBER(L1179))),IFERROR(MOD(L1179,1),1)&gt;0,AND(ISNUMBER(L1179),OR(L1179&lt;0,L1179&gt;95))),"Введите целое число от 0 до 95",IF(OR(AND(J1179&lt;&gt;"",NOT(ISNUMBER(J1179))),IFERROR(MOD(J1179,1),1)&gt;0,AND(ISNUMBER(J1179),OR(J1179&lt;50,J1179&gt;20000000))),"Введите целое число от 50 до 20000000",IF(NOT(ABS(IFERROR(VALUE(LEFT(M1179,FIND("-",M1179)-1)),M1179)*100-(5000+2000000000)/2)&lt;=ABS(5000-2000000000)/2),"Цена со скидкой должна быть от 50 до 20000000",IF(IFERROR(VALUE(LEFT(M1179,FIND("-",M1179)-1)),M1179)*190&lt;32000,"Вы уменьшили цену в несколько раз, товар попадет в карантин цен","")))),"")</f>
      </c>
    </row>
    <row r="1180">
      <c r="A1180" s="2" t="inlineStr">
        <is>
          <t>CuteShop</t>
        </is>
      </c>
      <c r="B1180" s="2" t="inlineStr">
        <is>
          <t>Держатели для пустышек</t>
        </is>
      </c>
      <c r="C1180" s="2">
        <v>268775330</v>
      </c>
      <c r="D1180" s="2" t="inlineStr">
        <is>
          <t>ZaharKit</t>
        </is>
      </c>
      <c r="E1180" s="2" t="inlineStr">
        <is>
          <t>2041404947902</t>
        </is>
      </c>
      <c r="F1180" s="2">
        <v>0</v>
      </c>
      <c r="G1180" s="2">
        <v>0</v>
      </c>
      <c r="H1180" s="2" t="inlineStr">
        <is>
          <t/>
        </is>
      </c>
      <c r="I1180" s="2" t="inlineStr">
        <is>
          <t>1030</t>
        </is>
      </c>
      <c r="J1180" s="4"/>
      <c r="K1180" s="2">
        <v>10</v>
      </c>
      <c r="L1180" s="6"/>
      <c r="M1180" s="2" t="str">
        <f>IF(J1180="",ROUND(I1180*(1-IF(ISBLANK(L1180),K1180,L1180)/100),2),ROUND(J1180*(1-IF(ISBLANK(L1180),K1180,L1180)/100),2))</f>
      </c>
      <c r="N1180" s="7" t="str">
        <f>IF(NOT(AND(J1180="",L1180="")),IF(OR(AND(L1180&lt;&gt;"",NOT(ISNUMBER(L1180))),IFERROR(MOD(L1180,1),1)&gt;0,AND(ISNUMBER(L1180),OR(L1180&lt;0,L1180&gt;95))),"Введите целое число от 0 до 95",IF(OR(AND(J1180&lt;&gt;"",NOT(ISNUMBER(J1180))),IFERROR(MOD(J1180,1),1)&gt;0,AND(ISNUMBER(J1180),OR(J1180&lt;50,J1180&gt;20000000))),"Введите целое число от 50 до 20000000",IF(NOT(ABS(IFERROR(VALUE(LEFT(M1180,FIND("-",M1180)-1)),M1180)*100-(5000+2000000000)/2)&lt;=ABS(5000-2000000000)/2),"Цена со скидкой должна быть от 50 до 20000000",IF(IFERROR(VALUE(LEFT(M1180,FIND("-",M1180)-1)),M1180)*229&lt;92700,"Вы уменьшили цену в несколько раз, товар попадет в карантин цен","")))),"")</f>
      </c>
    </row>
    <row r="1181">
      <c r="A1181" s="2" t="inlineStr">
        <is>
          <t>CuteShop</t>
        </is>
      </c>
      <c r="B1181" s="2" t="inlineStr">
        <is>
          <t>Держатели для пустышек</t>
        </is>
      </c>
      <c r="C1181" s="2">
        <v>269072035</v>
      </c>
      <c r="D1181" s="2" t="inlineStr">
        <is>
          <t>VikaEdin</t>
        </is>
      </c>
      <c r="E1181" s="2" t="inlineStr">
        <is>
          <t>2041428516016</t>
        </is>
      </c>
      <c r="F1181" s="2">
        <v>0</v>
      </c>
      <c r="G1181" s="2">
        <v>0</v>
      </c>
      <c r="H1181" s="2" t="inlineStr">
        <is>
          <t/>
        </is>
      </c>
      <c r="I1181" s="2" t="inlineStr">
        <is>
          <t>1030</t>
        </is>
      </c>
      <c r="J1181" s="4"/>
      <c r="K1181" s="2">
        <v>10</v>
      </c>
      <c r="L1181" s="6"/>
      <c r="M1181" s="2" t="str">
        <f>IF(J1181="",ROUND(I1181*(1-IF(ISBLANK(L1181),K1181,L1181)/100),2),ROUND(J1181*(1-IF(ISBLANK(L1181),K1181,L1181)/100),2))</f>
      </c>
      <c r="N1181" s="7" t="str">
        <f>IF(NOT(AND(J1181="",L1181="")),IF(OR(AND(L1181&lt;&gt;"",NOT(ISNUMBER(L1181))),IFERROR(MOD(L1181,1),1)&gt;0,AND(ISNUMBER(L1181),OR(L1181&lt;0,L1181&gt;95))),"Введите целое число от 0 до 95",IF(OR(AND(J1181&lt;&gt;"",NOT(ISNUMBER(J1181))),IFERROR(MOD(J1181,1),1)&gt;0,AND(ISNUMBER(J1181),OR(J1181&lt;50,J1181&gt;20000000))),"Введите целое число от 50 до 20000000",IF(NOT(ABS(IFERROR(VALUE(LEFT(M1181,FIND("-",M1181)-1)),M1181)*100-(5000+2000000000)/2)&lt;=ABS(5000-2000000000)/2),"Цена со скидкой должна быть от 50 до 20000000",IF(IFERROR(VALUE(LEFT(M1181,FIND("-",M1181)-1)),M1181)*229&lt;92700,"Вы уменьшили цену в несколько раз, товар попадет в карантин цен","")))),"")</f>
      </c>
    </row>
    <row r="1182">
      <c r="A1182" s="2" t="inlineStr">
        <is>
          <t>CuteShop</t>
        </is>
      </c>
      <c r="B1182" s="2" t="inlineStr">
        <is>
          <t>Ленты для рукоделия</t>
        </is>
      </c>
      <c r="C1182" s="2">
        <v>212589383</v>
      </c>
      <c r="D1182" s="2" t="inlineStr">
        <is>
          <t>Lenta-Rep3-nabor1-17</t>
        </is>
      </c>
      <c r="E1182" s="2" t="inlineStr">
        <is>
          <t>2039562128073</t>
        </is>
      </c>
      <c r="F1182" s="2">
        <v>0</v>
      </c>
      <c r="G1182" s="2">
        <v>0</v>
      </c>
      <c r="H1182" s="2" t="inlineStr">
        <is>
          <t/>
        </is>
      </c>
      <c r="I1182" s="2" t="inlineStr">
        <is>
          <t>520</t>
        </is>
      </c>
      <c r="J1182" s="4"/>
      <c r="K1182" s="2">
        <v>0</v>
      </c>
      <c r="L1182" s="6"/>
      <c r="M1182" s="2" t="str">
        <f>IF(J1182="",ROUND(I1182*(1-IF(ISBLANK(L1182),K1182,L1182)/100),2),ROUND(J1182*(1-IF(ISBLANK(L1182),K1182,L1182)/100),2))</f>
      </c>
      <c r="N1182" s="7" t="str">
        <f>IF(NOT(AND(J1182="",L1182="")),IF(OR(AND(L1182&lt;&gt;"",NOT(ISNUMBER(L1182))),IFERROR(MOD(L1182,1),1)&gt;0,AND(ISNUMBER(L1182),OR(L1182&lt;0,L1182&gt;95))),"Введите целое число от 0 до 95",IF(OR(AND(J1182&lt;&gt;"",NOT(ISNUMBER(J1182))),IFERROR(MOD(J1182,1),1)&gt;0,AND(ISNUMBER(J1182),OR(J1182&lt;50,J1182&gt;20000000))),"Введите целое число от 50 до 20000000",IF(NOT(ABS(IFERROR(VALUE(LEFT(M1182,FIND("-",M1182)-1)),M1182)*100-(5000+2000000000)/2)&lt;=ABS(5000-2000000000)/2),"Цена со скидкой должна быть от 50 до 20000000",IF(IFERROR(VALUE(LEFT(M1182,FIND("-",M1182)-1)),M1182)*190&lt;52000,"Вы уменьшили цену в несколько раз, товар попадет в карантин цен","")))),"")</f>
      </c>
    </row>
    <row r="1183">
      <c r="A1183" s="2" t="inlineStr">
        <is>
          <t>CuteShop</t>
        </is>
      </c>
      <c r="B1183" s="2" t="inlineStr">
        <is>
          <t>Держатели для пустышек</t>
        </is>
      </c>
      <c r="C1183" s="2">
        <v>269071314</v>
      </c>
      <c r="D1183" s="2" t="inlineStr">
        <is>
          <t>VikaZay</t>
        </is>
      </c>
      <c r="E1183" s="2" t="inlineStr">
        <is>
          <t>2041428508868</t>
        </is>
      </c>
      <c r="F1183" s="2">
        <v>0</v>
      </c>
      <c r="G1183" s="2">
        <v>0</v>
      </c>
      <c r="H1183" s="2" t="inlineStr">
        <is>
          <t/>
        </is>
      </c>
      <c r="I1183" s="2" t="inlineStr">
        <is>
          <t>1030</t>
        </is>
      </c>
      <c r="J1183" s="4"/>
      <c r="K1183" s="2">
        <v>10</v>
      </c>
      <c r="L1183" s="6"/>
      <c r="M1183" s="2" t="str">
        <f>IF(J1183="",ROUND(I1183*(1-IF(ISBLANK(L1183),K1183,L1183)/100),2),ROUND(J1183*(1-IF(ISBLANK(L1183),K1183,L1183)/100),2))</f>
      </c>
      <c r="N1183" s="7" t="str">
        <f>IF(NOT(AND(J1183="",L1183="")),IF(OR(AND(L1183&lt;&gt;"",NOT(ISNUMBER(L1183))),IFERROR(MOD(L1183,1),1)&gt;0,AND(ISNUMBER(L1183),OR(L1183&lt;0,L1183&gt;95))),"Введите целое число от 0 до 95",IF(OR(AND(J1183&lt;&gt;"",NOT(ISNUMBER(J1183))),IFERROR(MOD(J1183,1),1)&gt;0,AND(ISNUMBER(J1183),OR(J1183&lt;50,J1183&gt;20000000))),"Введите целое число от 50 до 20000000",IF(NOT(ABS(IFERROR(VALUE(LEFT(M1183,FIND("-",M1183)-1)),M1183)*100-(5000+2000000000)/2)&lt;=ABS(5000-2000000000)/2),"Цена со скидкой должна быть от 50 до 20000000",IF(IFERROR(VALUE(LEFT(M1183,FIND("-",M1183)-1)),M1183)*229&lt;92700,"Вы уменьшили цену в несколько раз, товар попадет в карантин цен","")))),"")</f>
      </c>
    </row>
    <row r="1184">
      <c r="A1184" s="2" t="inlineStr">
        <is>
          <t>CuteShop</t>
        </is>
      </c>
      <c r="B1184" s="2" t="inlineStr">
        <is>
          <t>Ленты для рукоделия</t>
        </is>
      </c>
      <c r="C1184" s="2">
        <v>216382238</v>
      </c>
      <c r="D1184" s="2" t="inlineStr">
        <is>
          <t>Lenta-Rep4-nabor2-39</t>
        </is>
      </c>
      <c r="E1184" s="2" t="inlineStr">
        <is>
          <t>2039640206280</t>
        </is>
      </c>
      <c r="F1184" s="2">
        <v>0</v>
      </c>
      <c r="G1184" s="2">
        <v>0</v>
      </c>
      <c r="H1184" s="2" t="inlineStr">
        <is>
          <t/>
        </is>
      </c>
      <c r="I1184" s="2" t="inlineStr">
        <is>
          <t>550</t>
        </is>
      </c>
      <c r="J1184" s="4"/>
      <c r="K1184" s="2">
        <v>0</v>
      </c>
      <c r="L1184" s="6"/>
      <c r="M1184" s="2" t="str">
        <f>IF(J1184="",ROUND(I1184*(1-IF(ISBLANK(L1184),K1184,L1184)/100),2),ROUND(J1184*(1-IF(ISBLANK(L1184),K1184,L1184)/100),2))</f>
      </c>
      <c r="N1184" s="7" t="str">
        <f>IF(NOT(AND(J1184="",L1184="")),IF(OR(AND(L1184&lt;&gt;"",NOT(ISNUMBER(L1184))),IFERROR(MOD(L1184,1),1)&gt;0,AND(ISNUMBER(L1184),OR(L1184&lt;0,L1184&gt;95))),"Введите целое число от 0 до 95",IF(OR(AND(J1184&lt;&gt;"",NOT(ISNUMBER(J1184))),IFERROR(MOD(J1184,1),1)&gt;0,AND(ISNUMBER(J1184),OR(J1184&lt;50,J1184&gt;20000000))),"Введите целое число от 50 до 20000000",IF(NOT(ABS(IFERROR(VALUE(LEFT(M1184,FIND("-",M1184)-1)),M1184)*100-(5000+2000000000)/2)&lt;=ABS(5000-2000000000)/2),"Цена со скидкой должна быть от 50 до 20000000",IF(IFERROR(VALUE(LEFT(M1184,FIND("-",M1184)-1)),M1184)*190&lt;55000,"Вы уменьшили цену в несколько раз, товар попадет в карантин цен","")))),"")</f>
      </c>
    </row>
    <row r="1185">
      <c r="A1185" s="2" t="inlineStr">
        <is>
          <t>CuteShop</t>
        </is>
      </c>
      <c r="B1185" s="2" t="inlineStr">
        <is>
          <t>Держатели для пустышек</t>
        </is>
      </c>
      <c r="C1185" s="2">
        <v>275693956</v>
      </c>
      <c r="D1185" s="2" t="inlineStr">
        <is>
          <t>Derzh-Nab5</t>
        </is>
      </c>
      <c r="E1185" s="2" t="inlineStr">
        <is>
          <t>2041601907464</t>
        </is>
      </c>
      <c r="F1185" s="2">
        <v>0</v>
      </c>
      <c r="G1185" s="2">
        <v>1</v>
      </c>
      <c r="H1185" s="2" t="inlineStr">
        <is>
          <t/>
        </is>
      </c>
      <c r="I1185" s="2" t="inlineStr">
        <is>
          <t>580</t>
        </is>
      </c>
      <c r="J1185" s="4"/>
      <c r="K1185" s="2">
        <v>10</v>
      </c>
      <c r="L1185" s="6"/>
      <c r="M1185" s="2" t="str">
        <f>IF(J1185="",ROUND(I1185*(1-IF(ISBLANK(L1185),K1185,L1185)/100),2),ROUND(J1185*(1-IF(ISBLANK(L1185),K1185,L1185)/100),2))</f>
      </c>
      <c r="N1185" s="7" t="str">
        <f>IF(NOT(AND(J1185="",L1185="")),IF(OR(AND(L1185&lt;&gt;"",NOT(ISNUMBER(L1185))),IFERROR(MOD(L1185,1),1)&gt;0,AND(ISNUMBER(L1185),OR(L1185&lt;0,L1185&gt;95))),"Введите целое число от 0 до 95",IF(OR(AND(J1185&lt;&gt;"",NOT(ISNUMBER(J1185))),IFERROR(MOD(J1185,1),1)&gt;0,AND(ISNUMBER(J1185),OR(J1185&lt;50,J1185&gt;20000000))),"Введите целое число от 50 до 20000000",IF(NOT(ABS(IFERROR(VALUE(LEFT(M1185,FIND("-",M1185)-1)),M1185)*100-(5000+2000000000)/2)&lt;=ABS(5000-2000000000)/2),"Цена со скидкой должна быть от 50 до 20000000",IF(IFERROR(VALUE(LEFT(M1185,FIND("-",M1185)-1)),M1185)*229&lt;52200,"Вы уменьшили цену в несколько раз, товар попадет в карантин цен","")))),"")</f>
      </c>
    </row>
    <row r="1186">
      <c r="A1186" s="2" t="inlineStr">
        <is>
          <t>CuteShop</t>
        </is>
      </c>
      <c r="B1186" s="2" t="inlineStr">
        <is>
          <t>Аксессуары для рукоделия</t>
        </is>
      </c>
      <c r="C1186" s="2">
        <v>118222408</v>
      </c>
      <c r="D1186" s="2" t="inlineStr">
        <is>
          <t>Podves-Mishki-12-1cvet</t>
        </is>
      </c>
      <c r="E1186" s="2" t="inlineStr">
        <is>
          <t>2042798305620</t>
        </is>
      </c>
      <c r="F1186" s="2">
        <v>0</v>
      </c>
      <c r="G1186" s="2">
        <v>0</v>
      </c>
      <c r="H1186" s="2">
        <v>0</v>
      </c>
      <c r="I1186" s="2" t="inlineStr">
        <is>
          <t>330</t>
        </is>
      </c>
      <c r="J1186" s="4"/>
      <c r="K1186" s="2">
        <v>0</v>
      </c>
      <c r="L1186" s="6"/>
      <c r="M1186" s="2" t="str">
        <f>IF(J1186="",ROUND(I1186*(1-IF(ISBLANK(L1186),K1186,L1186)/100),2),ROUND(J1186*(1-IF(ISBLANK(L1186),K1186,L1186)/100),2))</f>
      </c>
      <c r="N1186" s="7" t="str">
        <f>IF(NOT(AND(J1186="",L1186="")),IF(OR(AND(L1186&lt;&gt;"",NOT(ISNUMBER(L1186))),IFERROR(MOD(L1186,1),1)&gt;0,AND(ISNUMBER(L1186),OR(L1186&lt;0,L1186&gt;95))),"Введите целое число от 0 до 95",IF(OR(AND(J1186&lt;&gt;"",NOT(ISNUMBER(J1186))),IFERROR(MOD(J1186,1),1)&gt;0,AND(ISNUMBER(J1186),OR(J1186&lt;50,J1186&gt;20000000))),"Введите целое число от 50 до 20000000",IF(NOT(ABS(IFERROR(VALUE(LEFT(M1186,FIND("-",M1186)-1)),M1186)*100-(5000+2000000000)/2)&lt;=ABS(5000-2000000000)/2),"Цена со скидкой должна быть от 50 до 20000000",IF(IFERROR(VALUE(LEFT(M1186,FIND("-",M1186)-1)),M1186)*190&lt;33000,"Вы уменьшили цену в несколько раз, товар попадет в карантин цен","")))),"")</f>
      </c>
    </row>
    <row r="1187">
      <c r="A1187" s="2" t="inlineStr">
        <is>
          <t>CuteShop</t>
        </is>
      </c>
      <c r="B1187" s="2" t="inlineStr">
        <is>
          <t>Ленты для рукоделия</t>
        </is>
      </c>
      <c r="C1187" s="2">
        <v>132279610</v>
      </c>
      <c r="D1187" s="2" t="inlineStr">
        <is>
          <t>Lenta-Rep-Snegur</t>
        </is>
      </c>
      <c r="E1187" s="2" t="inlineStr">
        <is>
          <t>2037043092752</t>
        </is>
      </c>
      <c r="F1187" s="2">
        <v>0</v>
      </c>
      <c r="G1187" s="2">
        <v>0</v>
      </c>
      <c r="H1187" s="2">
        <v>0</v>
      </c>
      <c r="I1187" s="2" t="inlineStr">
        <is>
          <t>405</t>
        </is>
      </c>
      <c r="J1187" s="4"/>
      <c r="K1187" s="2">
        <v>0</v>
      </c>
      <c r="L1187" s="6"/>
      <c r="M1187" s="2" t="str">
        <f>IF(J1187="",ROUND(I1187*(1-IF(ISBLANK(L1187),K1187,L1187)/100),2),ROUND(J1187*(1-IF(ISBLANK(L1187),K1187,L1187)/100),2))</f>
      </c>
      <c r="N1187" s="7" t="str">
        <f>IF(NOT(AND(J1187="",L1187="")),IF(OR(AND(L1187&lt;&gt;"",NOT(ISNUMBER(L1187))),IFERROR(MOD(L1187,1),1)&gt;0,AND(ISNUMBER(L1187),OR(L1187&lt;0,L1187&gt;95))),"Введите целое число от 0 до 95",IF(OR(AND(J1187&lt;&gt;"",NOT(ISNUMBER(J1187))),IFERROR(MOD(J1187,1),1)&gt;0,AND(ISNUMBER(J1187),OR(J1187&lt;50,J1187&gt;20000000))),"Введите целое число от 50 до 20000000",IF(NOT(ABS(IFERROR(VALUE(LEFT(M1187,FIND("-",M1187)-1)),M1187)*100-(5000+2000000000)/2)&lt;=ABS(5000-2000000000)/2),"Цена со скидкой должна быть от 50 до 20000000",IF(IFERROR(VALUE(LEFT(M1187,FIND("-",M1187)-1)),M1187)*190&lt;40500,"Вы уменьшили цену в несколько раз, товар попадет в карантин цен","")))),"")</f>
      </c>
    </row>
    <row r="1188">
      <c r="A1188" s="2" t="inlineStr">
        <is>
          <t/>
        </is>
      </c>
      <c r="B1188" s="2" t="inlineStr">
        <is>
          <t>Ткани для рукоделия</t>
        </is>
      </c>
      <c r="C1188" s="2">
        <v>189529050</v>
      </c>
      <c r="D1188" s="2" t="inlineStr">
        <is>
          <t>Fatin-Zvezd15-Ayvori-4.6</t>
        </is>
      </c>
      <c r="E1188" s="2" t="inlineStr">
        <is>
          <t>2038979031341</t>
        </is>
      </c>
      <c r="F1188" s="2">
        <v>0</v>
      </c>
      <c r="G1188" s="2">
        <v>0</v>
      </c>
      <c r="H1188" s="2" t="inlineStr">
        <is>
          <t/>
        </is>
      </c>
      <c r="I1188" s="2" t="inlineStr">
        <is>
          <t>380</t>
        </is>
      </c>
      <c r="J1188" s="4"/>
      <c r="K1188" s="2">
        <v>0</v>
      </c>
      <c r="L1188" s="6"/>
      <c r="M1188" s="2" t="str">
        <f>IF(J1188="",ROUND(I1188*(1-IF(ISBLANK(L1188),K1188,L1188)/100),2),ROUND(J1188*(1-IF(ISBLANK(L1188),K1188,L1188)/100),2))</f>
      </c>
      <c r="N1188" s="7" t="str">
        <f>IF(NOT(AND(J1188="",L1188="")),IF(OR(AND(L1188&lt;&gt;"",NOT(ISNUMBER(L1188))),IFERROR(MOD(L1188,1),1)&gt;0,AND(ISNUMBER(L1188),OR(L1188&lt;0,L1188&gt;95))),"Введите целое число от 0 до 95",IF(OR(AND(J1188&lt;&gt;"",NOT(ISNUMBER(J1188))),IFERROR(MOD(J1188,1),1)&gt;0,AND(ISNUMBER(J1188),OR(J1188&lt;50,J1188&gt;20000000))),"Введите целое число от 50 до 20000000",IF(NOT(ABS(IFERROR(VALUE(LEFT(M1188,FIND("-",M1188)-1)),M1188)*100-(5000+2000000000)/2)&lt;=ABS(5000-2000000000)/2),"Цена со скидкой должна быть от 50 до 20000000",IF(IFERROR(VALUE(LEFT(M1188,FIND("-",M1188)-1)),M1188)*190&lt;38000,"Вы уменьшили цену в несколько раз, товар попадет в карантин цен","")))),"")</f>
      </c>
    </row>
    <row r="1189">
      <c r="A1189" s="2" t="inlineStr">
        <is>
          <t>CuteShop</t>
        </is>
      </c>
      <c r="B1189" s="2" t="inlineStr">
        <is>
          <t>Держатели для пустышек</t>
        </is>
      </c>
      <c r="C1189" s="2">
        <v>272526939</v>
      </c>
      <c r="D1189" s="2" t="inlineStr">
        <is>
          <t>PolyaBG</t>
        </is>
      </c>
      <c r="E1189" s="2" t="inlineStr">
        <is>
          <t>2041508082011</t>
        </is>
      </c>
      <c r="F1189" s="2">
        <v>0</v>
      </c>
      <c r="G1189" s="2">
        <v>1</v>
      </c>
      <c r="H1189" s="2" t="inlineStr">
        <is>
          <t/>
        </is>
      </c>
      <c r="I1189" s="2" t="inlineStr">
        <is>
          <t>830</t>
        </is>
      </c>
      <c r="J1189" s="4"/>
      <c r="K1189" s="2">
        <v>10</v>
      </c>
      <c r="L1189" s="6"/>
      <c r="M1189" s="2" t="str">
        <f>IF(J1189="",ROUND(I1189*(1-IF(ISBLANK(L1189),K1189,L1189)/100),2),ROUND(J1189*(1-IF(ISBLANK(L1189),K1189,L1189)/100),2))</f>
      </c>
      <c r="N1189" s="7" t="str">
        <f>IF(NOT(AND(J1189="",L1189="")),IF(OR(AND(L1189&lt;&gt;"",NOT(ISNUMBER(L1189))),IFERROR(MOD(L1189,1),1)&gt;0,AND(ISNUMBER(L1189),OR(L1189&lt;0,L1189&gt;95))),"Введите целое число от 0 до 95",IF(OR(AND(J1189&lt;&gt;"",NOT(ISNUMBER(J1189))),IFERROR(MOD(J1189,1),1)&gt;0,AND(ISNUMBER(J1189),OR(J1189&lt;50,J1189&gt;20000000))),"Введите целое число от 50 до 20000000",IF(NOT(ABS(IFERROR(VALUE(LEFT(M1189,FIND("-",M1189)-1)),M1189)*100-(5000+2000000000)/2)&lt;=ABS(5000-2000000000)/2),"Цена со скидкой должна быть от 50 до 20000000",IF(IFERROR(VALUE(LEFT(M1189,FIND("-",M1189)-1)),M1189)*229&lt;74700,"Вы уменьшили цену в несколько раз, товар попадет в карантин цен","")))),"")</f>
      </c>
    </row>
    <row r="1190">
      <c r="A1190" s="2" t="inlineStr">
        <is>
          <t>CuteShop</t>
        </is>
      </c>
      <c r="B1190" s="2" t="inlineStr">
        <is>
          <t>Аксессуары для рукоделия</t>
        </is>
      </c>
      <c r="C1190" s="2">
        <v>137867443</v>
      </c>
      <c r="D1190" s="2" t="inlineStr">
        <is>
          <t>Ser-Straz-MixOval-6</t>
        </is>
      </c>
      <c r="E1190" s="2" t="inlineStr">
        <is>
          <t>2037234276923</t>
        </is>
      </c>
      <c r="F1190" s="2">
        <v>0</v>
      </c>
      <c r="G1190" s="2">
        <v>0</v>
      </c>
      <c r="H1190" s="2" t="inlineStr">
        <is>
          <t/>
        </is>
      </c>
      <c r="I1190" s="2" t="inlineStr">
        <is>
          <t>480</t>
        </is>
      </c>
      <c r="J1190" s="4"/>
      <c r="K1190" s="2">
        <v>10</v>
      </c>
      <c r="L1190" s="6"/>
      <c r="M1190" s="2" t="str">
        <f>IF(J1190="",ROUND(I1190*(1-IF(ISBLANK(L1190),K1190,L1190)/100),2),ROUND(J1190*(1-IF(ISBLANK(L1190),K1190,L1190)/100),2))</f>
      </c>
      <c r="N1190" s="7" t="str">
        <f>IF(NOT(AND(J1190="",L1190="")),IF(OR(AND(L1190&lt;&gt;"",NOT(ISNUMBER(L1190))),IFERROR(MOD(L1190,1),1)&gt;0,AND(ISNUMBER(L1190),OR(L1190&lt;0,L1190&gt;95))),"Введите целое число от 0 до 95",IF(OR(AND(J1190&lt;&gt;"",NOT(ISNUMBER(J1190))),IFERROR(MOD(J1190,1),1)&gt;0,AND(ISNUMBER(J1190),OR(J1190&lt;50,J1190&gt;20000000))),"Введите целое число от 50 до 20000000",IF(NOT(ABS(IFERROR(VALUE(LEFT(M1190,FIND("-",M1190)-1)),M1190)*100-(5000+2000000000)/2)&lt;=ABS(5000-2000000000)/2),"Цена со скидкой должна быть от 50 до 20000000",IF(IFERROR(VALUE(LEFT(M1190,FIND("-",M1190)-1)),M1190)*190&lt;43200,"Вы уменьшили цену в несколько раз, товар попадет в карантин цен","")))),"")</f>
      </c>
    </row>
    <row r="1191">
      <c r="A1191" s="2" t="inlineStr">
        <is>
          <t>CuteShop</t>
        </is>
      </c>
      <c r="B1191" s="2" t="inlineStr">
        <is>
          <t>Аксессуары для рукоделия</t>
        </is>
      </c>
      <c r="C1191" s="2">
        <v>123871879</v>
      </c>
      <c r="D1191" s="2" t="inlineStr">
        <is>
          <t>Ser-Straz-3Bus-Ser1</t>
        </is>
      </c>
      <c r="E1191" s="2" t="inlineStr">
        <is>
          <t>2036977439367</t>
        </is>
      </c>
      <c r="F1191" s="2">
        <v>0</v>
      </c>
      <c r="G1191" s="2">
        <v>0</v>
      </c>
      <c r="H1191" s="2">
        <v>0</v>
      </c>
      <c r="I1191" s="2" t="inlineStr">
        <is>
          <t>488</t>
        </is>
      </c>
      <c r="J1191" s="4"/>
      <c r="K1191" s="2">
        <v>0</v>
      </c>
      <c r="L1191" s="6"/>
      <c r="M1191" s="2" t="str">
        <f>IF(J1191="",ROUND(I1191*(1-IF(ISBLANK(L1191),K1191,L1191)/100),2),ROUND(J1191*(1-IF(ISBLANK(L1191),K1191,L1191)/100),2))</f>
      </c>
      <c r="N1191" s="7" t="str">
        <f>IF(NOT(AND(J1191="",L1191="")),IF(OR(AND(L1191&lt;&gt;"",NOT(ISNUMBER(L1191))),IFERROR(MOD(L1191,1),1)&gt;0,AND(ISNUMBER(L1191),OR(L1191&lt;0,L1191&gt;95))),"Введите целое число от 0 до 95",IF(OR(AND(J1191&lt;&gt;"",NOT(ISNUMBER(J1191))),IFERROR(MOD(J1191,1),1)&gt;0,AND(ISNUMBER(J1191),OR(J1191&lt;50,J1191&gt;20000000))),"Введите целое число от 50 до 20000000",IF(NOT(ABS(IFERROR(VALUE(LEFT(M1191,FIND("-",M1191)-1)),M1191)*100-(5000+2000000000)/2)&lt;=ABS(5000-2000000000)/2),"Цена со скидкой должна быть от 50 до 20000000",IF(IFERROR(VALUE(LEFT(M1191,FIND("-",M1191)-1)),M1191)*190&lt;48800,"Вы уменьшили цену в несколько раз, товар попадет в карантин цен","")))),"")</f>
      </c>
    </row>
    <row r="1192">
      <c r="A1192" s="2" t="inlineStr">
        <is>
          <t>CuteShop</t>
        </is>
      </c>
      <c r="B1192" s="2" t="inlineStr">
        <is>
          <t>Держатели для пустышек</t>
        </is>
      </c>
      <c r="C1192" s="2">
        <v>228746285</v>
      </c>
      <c r="D1192" s="2" t="inlineStr">
        <is>
          <t>AmalTigr</t>
        </is>
      </c>
      <c r="E1192" s="2" t="inlineStr">
        <is>
          <t>2039924885576</t>
        </is>
      </c>
      <c r="F1192" s="2">
        <v>0</v>
      </c>
      <c r="G1192" s="2">
        <v>1</v>
      </c>
      <c r="H1192" s="2" t="inlineStr">
        <is>
          <t/>
        </is>
      </c>
      <c r="I1192" s="2" t="inlineStr">
        <is>
          <t>1030</t>
        </is>
      </c>
      <c r="J1192" s="4"/>
      <c r="K1192" s="2">
        <v>10</v>
      </c>
      <c r="L1192" s="6"/>
      <c r="M1192" s="2" t="str">
        <f>IF(J1192="",ROUND(I1192*(1-IF(ISBLANK(L1192),K1192,L1192)/100),2),ROUND(J1192*(1-IF(ISBLANK(L1192),K1192,L1192)/100),2))</f>
      </c>
      <c r="N1192" s="7" t="str">
        <f>IF(NOT(AND(J1192="",L1192="")),IF(OR(AND(L1192&lt;&gt;"",NOT(ISNUMBER(L1192))),IFERROR(MOD(L1192,1),1)&gt;0,AND(ISNUMBER(L1192),OR(L1192&lt;0,L1192&gt;95))),"Введите целое число от 0 до 95",IF(OR(AND(J1192&lt;&gt;"",NOT(ISNUMBER(J1192))),IFERROR(MOD(J1192,1),1)&gt;0,AND(ISNUMBER(J1192),OR(J1192&lt;50,J1192&gt;20000000))),"Введите целое число от 50 до 20000000",IF(NOT(ABS(IFERROR(VALUE(LEFT(M1192,FIND("-",M1192)-1)),M1192)*100-(5000+2000000000)/2)&lt;=ABS(5000-2000000000)/2),"Цена со скидкой должна быть от 50 до 20000000",IF(IFERROR(VALUE(LEFT(M1192,FIND("-",M1192)-1)),M1192)*229&lt;92700,"Вы уменьшили цену в несколько раз, товар попадет в карантин цен","")))),"")</f>
      </c>
    </row>
    <row r="1193">
      <c r="A1193" s="2" t="inlineStr">
        <is>
          <t/>
        </is>
      </c>
      <c r="B1193" s="2" t="inlineStr">
        <is>
          <t>Ткани для рукоделия</t>
        </is>
      </c>
      <c r="C1193" s="2">
        <v>190301169</v>
      </c>
      <c r="D1193" s="2" t="inlineStr">
        <is>
          <t>Fatin-Goroh15-Moloch-4</t>
        </is>
      </c>
      <c r="E1193" s="2" t="inlineStr">
        <is>
          <t>2039005512827</t>
        </is>
      </c>
      <c r="F1193" s="2">
        <v>0</v>
      </c>
      <c r="G1193" s="2">
        <v>0</v>
      </c>
      <c r="H1193" s="2" t="inlineStr">
        <is>
          <t/>
        </is>
      </c>
      <c r="I1193" s="2" t="inlineStr">
        <is>
          <t>360</t>
        </is>
      </c>
      <c r="J1193" s="4"/>
      <c r="K1193" s="2">
        <v>0</v>
      </c>
      <c r="L1193" s="6"/>
      <c r="M1193" s="2" t="str">
        <f>IF(J1193="",ROUND(I1193*(1-IF(ISBLANK(L1193),K1193,L1193)/100),2),ROUND(J1193*(1-IF(ISBLANK(L1193),K1193,L1193)/100),2))</f>
      </c>
      <c r="N1193" s="7" t="str">
        <f>IF(NOT(AND(J1193="",L1193="")),IF(OR(AND(L1193&lt;&gt;"",NOT(ISNUMBER(L1193))),IFERROR(MOD(L1193,1),1)&gt;0,AND(ISNUMBER(L1193),OR(L1193&lt;0,L1193&gt;95))),"Введите целое число от 0 до 95",IF(OR(AND(J1193&lt;&gt;"",NOT(ISNUMBER(J1193))),IFERROR(MOD(J1193,1),1)&gt;0,AND(ISNUMBER(J1193),OR(J1193&lt;50,J1193&gt;20000000))),"Введите целое число от 50 до 20000000",IF(NOT(ABS(IFERROR(VALUE(LEFT(M1193,FIND("-",M1193)-1)),M1193)*100-(5000+2000000000)/2)&lt;=ABS(5000-2000000000)/2),"Цена со скидкой должна быть от 50 до 20000000",IF(IFERROR(VALUE(LEFT(M1193,FIND("-",M1193)-1)),M1193)*190&lt;36000,"Вы уменьшили цену в несколько раз, товар попадет в карантин цен","")))),"")</f>
      </c>
    </row>
    <row r="1194">
      <c r="A1194" s="2" t="inlineStr">
        <is>
          <t>CuteShop</t>
        </is>
      </c>
      <c r="B1194" s="2" t="inlineStr">
        <is>
          <t>Аксессуары для рукоделия</t>
        </is>
      </c>
      <c r="C1194" s="2">
        <v>138944476</v>
      </c>
      <c r="D1194" s="2" t="inlineStr">
        <is>
          <t>Ser-Straz-MixBig4</t>
        </is>
      </c>
      <c r="E1194" s="2" t="inlineStr">
        <is>
          <t>2037255590886</t>
        </is>
      </c>
      <c r="F1194" s="2">
        <v>0</v>
      </c>
      <c r="G1194" s="2">
        <v>0</v>
      </c>
      <c r="H1194" s="2" t="inlineStr">
        <is>
          <t/>
        </is>
      </c>
      <c r="I1194" s="2" t="inlineStr">
        <is>
          <t>390</t>
        </is>
      </c>
      <c r="J1194" s="4"/>
      <c r="K1194" s="2">
        <v>0</v>
      </c>
      <c r="L1194" s="6"/>
      <c r="M1194" s="2" t="str">
        <f>IF(J1194="",ROUND(I1194*(1-IF(ISBLANK(L1194),K1194,L1194)/100),2),ROUND(J1194*(1-IF(ISBLANK(L1194),K1194,L1194)/100),2))</f>
      </c>
      <c r="N1194" s="7" t="str">
        <f>IF(NOT(AND(J1194="",L1194="")),IF(OR(AND(L1194&lt;&gt;"",NOT(ISNUMBER(L1194))),IFERROR(MOD(L1194,1),1)&gt;0,AND(ISNUMBER(L1194),OR(L1194&lt;0,L1194&gt;95))),"Введите целое число от 0 до 95",IF(OR(AND(J1194&lt;&gt;"",NOT(ISNUMBER(J1194))),IFERROR(MOD(J1194,1),1)&gt;0,AND(ISNUMBER(J1194),OR(J1194&lt;50,J1194&gt;20000000))),"Введите целое число от 50 до 20000000",IF(NOT(ABS(IFERROR(VALUE(LEFT(M1194,FIND("-",M1194)-1)),M1194)*100-(5000+2000000000)/2)&lt;=ABS(5000-2000000000)/2),"Цена со скидкой должна быть от 50 до 20000000",IF(IFERROR(VALUE(LEFT(M1194,FIND("-",M1194)-1)),M1194)*190&lt;39000,"Вы уменьшили цену в несколько раз, товар попадет в карантин цен","")))),"")</f>
      </c>
    </row>
    <row r="1195">
      <c r="A1195" s="2" t="inlineStr">
        <is>
          <t>CuteShop</t>
        </is>
      </c>
      <c r="B1195" s="2" t="inlineStr">
        <is>
          <t>Держатели для пустышек</t>
        </is>
      </c>
      <c r="C1195" s="2">
        <v>88831059</v>
      </c>
      <c r="D1195" s="2" t="inlineStr">
        <is>
          <t>MirochkaBel</t>
        </is>
      </c>
      <c r="E1195" s="2" t="inlineStr">
        <is>
          <t>2035427659621</t>
        </is>
      </c>
      <c r="F1195" s="2">
        <v>0</v>
      </c>
      <c r="G1195" s="2">
        <v>0</v>
      </c>
      <c r="H1195" s="2">
        <v>0</v>
      </c>
      <c r="I1195" s="2" t="inlineStr">
        <is>
          <t>1030</t>
        </is>
      </c>
      <c r="J1195" s="4"/>
      <c r="K1195" s="2">
        <v>10</v>
      </c>
      <c r="L1195" s="6"/>
      <c r="M1195" s="2" t="str">
        <f>IF(J1195="",ROUND(I1195*(1-IF(ISBLANK(L1195),K1195,L1195)/100),2),ROUND(J1195*(1-IF(ISBLANK(L1195),K1195,L1195)/100),2))</f>
      </c>
      <c r="N1195" s="7" t="str">
        <f>IF(NOT(AND(J1195="",L1195="")),IF(OR(AND(L1195&lt;&gt;"",NOT(ISNUMBER(L1195))),IFERROR(MOD(L1195,1),1)&gt;0,AND(ISNUMBER(L1195),OR(L1195&lt;0,L1195&gt;95))),"Введите целое число от 0 до 95",IF(OR(AND(J1195&lt;&gt;"",NOT(ISNUMBER(J1195))),IFERROR(MOD(J1195,1),1)&gt;0,AND(ISNUMBER(J1195),OR(J1195&lt;50,J1195&gt;20000000))),"Введите целое число от 50 до 20000000",IF(NOT(ABS(IFERROR(VALUE(LEFT(M1195,FIND("-",M1195)-1)),M1195)*100-(5000+2000000000)/2)&lt;=ABS(5000-2000000000)/2),"Цена со скидкой должна быть от 50 до 20000000",IF(IFERROR(VALUE(LEFT(M1195,FIND("-",M1195)-1)),M1195)*229&lt;92700,"Вы уменьшили цену в несколько раз, товар попадет в карантин цен","")))),"")</f>
      </c>
    </row>
    <row r="1196">
      <c r="A1196" s="2" t="inlineStr">
        <is>
          <t>CuteShop</t>
        </is>
      </c>
      <c r="B1196" s="2" t="inlineStr">
        <is>
          <t>Аксессуары для рукоделия</t>
        </is>
      </c>
      <c r="C1196" s="2">
        <v>138946001</v>
      </c>
      <c r="D1196" s="2" t="inlineStr">
        <is>
          <t>Ser-Straz-Azhurroz-2</t>
        </is>
      </c>
      <c r="E1196" s="2" t="inlineStr">
        <is>
          <t>2037255606211</t>
        </is>
      </c>
      <c r="F1196" s="2">
        <v>0</v>
      </c>
      <c r="G1196" s="2">
        <v>1</v>
      </c>
      <c r="H1196" s="2" t="inlineStr">
        <is>
          <t/>
        </is>
      </c>
      <c r="I1196" s="2" t="inlineStr">
        <is>
          <t>320</t>
        </is>
      </c>
      <c r="J1196" s="4"/>
      <c r="K1196" s="2">
        <v>10</v>
      </c>
      <c r="L1196" s="6"/>
      <c r="M1196" s="2" t="str">
        <f>IF(J1196="",ROUND(I1196*(1-IF(ISBLANK(L1196),K1196,L1196)/100),2),ROUND(J1196*(1-IF(ISBLANK(L1196),K1196,L1196)/100),2))</f>
      </c>
      <c r="N1196" s="7" t="str">
        <f>IF(NOT(AND(J1196="",L1196="")),IF(OR(AND(L1196&lt;&gt;"",NOT(ISNUMBER(L1196))),IFERROR(MOD(L1196,1),1)&gt;0,AND(ISNUMBER(L1196),OR(L1196&lt;0,L1196&gt;95))),"Введите целое число от 0 до 95",IF(OR(AND(J1196&lt;&gt;"",NOT(ISNUMBER(J1196))),IFERROR(MOD(J1196,1),1)&gt;0,AND(ISNUMBER(J1196),OR(J1196&lt;50,J1196&gt;20000000))),"Введите целое число от 50 до 20000000",IF(NOT(ABS(IFERROR(VALUE(LEFT(M1196,FIND("-",M1196)-1)),M1196)*100-(5000+2000000000)/2)&lt;=ABS(5000-2000000000)/2),"Цена со скидкой должна быть от 50 до 20000000",IF(IFERROR(VALUE(LEFT(M1196,FIND("-",M1196)-1)),M1196)*190&lt;28800,"Вы уменьшили цену в несколько раз, товар попадет в карантин цен","")))),"")</f>
      </c>
    </row>
    <row r="1197">
      <c r="A1197" s="2" t="inlineStr">
        <is>
          <t/>
        </is>
      </c>
      <c r="B1197" s="2" t="inlineStr">
        <is>
          <t>Ткани для рукоделия</t>
        </is>
      </c>
      <c r="C1197" s="2">
        <v>189529049</v>
      </c>
      <c r="D1197" s="2" t="inlineStr">
        <is>
          <t>Fatin-Zvezd15-Bel-4</t>
        </is>
      </c>
      <c r="E1197" s="2" t="inlineStr">
        <is>
          <t>2038978858031</t>
        </is>
      </c>
      <c r="F1197" s="2">
        <v>0</v>
      </c>
      <c r="G1197" s="2">
        <v>0</v>
      </c>
      <c r="H1197" s="2" t="inlineStr">
        <is>
          <t/>
        </is>
      </c>
      <c r="I1197" s="2" t="inlineStr">
        <is>
          <t>360</t>
        </is>
      </c>
      <c r="J1197" s="4"/>
      <c r="K1197" s="2">
        <v>0</v>
      </c>
      <c r="L1197" s="6"/>
      <c r="M1197" s="2" t="str">
        <f>IF(J1197="",ROUND(I1197*(1-IF(ISBLANK(L1197),K1197,L1197)/100),2),ROUND(J1197*(1-IF(ISBLANK(L1197),K1197,L1197)/100),2))</f>
      </c>
      <c r="N1197" s="7" t="str">
        <f>IF(NOT(AND(J1197="",L1197="")),IF(OR(AND(L1197&lt;&gt;"",NOT(ISNUMBER(L1197))),IFERROR(MOD(L1197,1),1)&gt;0,AND(ISNUMBER(L1197),OR(L1197&lt;0,L1197&gt;95))),"Введите целое число от 0 до 95",IF(OR(AND(J1197&lt;&gt;"",NOT(ISNUMBER(J1197))),IFERROR(MOD(J1197,1),1)&gt;0,AND(ISNUMBER(J1197),OR(J1197&lt;50,J1197&gt;20000000))),"Введите целое число от 50 до 20000000",IF(NOT(ABS(IFERROR(VALUE(LEFT(M1197,FIND("-",M1197)-1)),M1197)*100-(5000+2000000000)/2)&lt;=ABS(5000-2000000000)/2),"Цена со скидкой должна быть от 50 до 20000000",IF(IFERROR(VALUE(LEFT(M1197,FIND("-",M1197)-1)),M1197)*190&lt;36000,"Вы уменьшили цену в несколько раз, товар попадет в карантин цен","")))),"")</f>
      </c>
    </row>
    <row r="1198">
      <c r="A1198" s="2" t="inlineStr">
        <is>
          <t/>
        </is>
      </c>
      <c r="B1198" s="2" t="inlineStr">
        <is>
          <t>Ткани для рукоделия</t>
        </is>
      </c>
      <c r="C1198" s="2">
        <v>189529054</v>
      </c>
      <c r="D1198" s="2" t="inlineStr">
        <is>
          <t>Fatin-Zvezd15-Zel-4.6</t>
        </is>
      </c>
      <c r="E1198" s="2" t="inlineStr">
        <is>
          <t>2038979056788</t>
        </is>
      </c>
      <c r="F1198" s="2">
        <v>0</v>
      </c>
      <c r="G1198" s="2">
        <v>0</v>
      </c>
      <c r="H1198" s="2" t="inlineStr">
        <is>
          <t/>
        </is>
      </c>
      <c r="I1198" s="2" t="inlineStr">
        <is>
          <t>380</t>
        </is>
      </c>
      <c r="J1198" s="4"/>
      <c r="K1198" s="2">
        <v>0</v>
      </c>
      <c r="L1198" s="6"/>
      <c r="M1198" s="2" t="str">
        <f>IF(J1198="",ROUND(I1198*(1-IF(ISBLANK(L1198),K1198,L1198)/100),2),ROUND(J1198*(1-IF(ISBLANK(L1198),K1198,L1198)/100),2))</f>
      </c>
      <c r="N1198" s="7" t="str">
        <f>IF(NOT(AND(J1198="",L1198="")),IF(OR(AND(L1198&lt;&gt;"",NOT(ISNUMBER(L1198))),IFERROR(MOD(L1198,1),1)&gt;0,AND(ISNUMBER(L1198),OR(L1198&lt;0,L1198&gt;95))),"Введите целое число от 0 до 95",IF(OR(AND(J1198&lt;&gt;"",NOT(ISNUMBER(J1198))),IFERROR(MOD(J1198,1),1)&gt;0,AND(ISNUMBER(J1198),OR(J1198&lt;50,J1198&gt;20000000))),"Введите целое число от 50 до 20000000",IF(NOT(ABS(IFERROR(VALUE(LEFT(M1198,FIND("-",M1198)-1)),M1198)*100-(5000+2000000000)/2)&lt;=ABS(5000-2000000000)/2),"Цена со скидкой должна быть от 50 до 20000000",IF(IFERROR(VALUE(LEFT(M1198,FIND("-",M1198)-1)),M1198)*190&lt;38000,"Вы уменьшили цену в несколько раз, товар попадет в карантин цен","")))),"")</f>
      </c>
    </row>
    <row r="1199">
      <c r="A1199" s="2" t="inlineStr">
        <is>
          <t>CuteShop</t>
        </is>
      </c>
      <c r="B1199" s="2" t="inlineStr">
        <is>
          <t>Бусины</t>
        </is>
      </c>
      <c r="C1199" s="2">
        <v>151575809</v>
      </c>
      <c r="D1199" s="2" t="inlineStr">
        <is>
          <t>Bus-akril-8mm-persik-100</t>
        </is>
      </c>
      <c r="E1199" s="2" t="inlineStr">
        <is>
          <t>2037600549903</t>
        </is>
      </c>
      <c r="F1199" s="2">
        <v>0</v>
      </c>
      <c r="G1199" s="2">
        <v>0</v>
      </c>
      <c r="H1199" s="2" t="inlineStr">
        <is>
          <t/>
        </is>
      </c>
      <c r="I1199" s="2" t="inlineStr">
        <is>
          <t>260</t>
        </is>
      </c>
      <c r="J1199" s="4"/>
      <c r="K1199" s="2">
        <v>0</v>
      </c>
      <c r="L1199" s="6"/>
      <c r="M1199" s="2" t="str">
        <f>IF(J1199="",ROUND(I1199*(1-IF(ISBLANK(L1199),K1199,L1199)/100),2),ROUND(J1199*(1-IF(ISBLANK(L1199),K1199,L1199)/100),2))</f>
      </c>
      <c r="N1199" s="7" t="str">
        <f>IF(NOT(AND(J1199="",L1199="")),IF(OR(AND(L1199&lt;&gt;"",NOT(ISNUMBER(L1199))),IFERROR(MOD(L1199,1),1)&gt;0,AND(ISNUMBER(L1199),OR(L1199&lt;0,L1199&gt;95))),"Введите целое число от 0 до 95",IF(OR(AND(J1199&lt;&gt;"",NOT(ISNUMBER(J1199))),IFERROR(MOD(J1199,1),1)&gt;0,AND(ISNUMBER(J1199),OR(J1199&lt;50,J1199&gt;20000000))),"Введите целое число от 50 до 20000000",IF(NOT(ABS(IFERROR(VALUE(LEFT(M1199,FIND("-",M1199)-1)),M1199)*100-(5000+2000000000)/2)&lt;=ABS(5000-2000000000)/2),"Цена со скидкой должна быть от 50 до 20000000",IF(IFERROR(VALUE(LEFT(M1199,FIND("-",M1199)-1)),M1199)*190&lt;26000,"Вы уменьшили цену в несколько раз, товар попадет в карантин цен","")))),"")</f>
      </c>
    </row>
    <row r="1200">
      <c r="A1200" s="2" t="inlineStr">
        <is>
          <t>CuteShop</t>
        </is>
      </c>
      <c r="B1200" s="2" t="inlineStr">
        <is>
          <t>Держатели для пустышек</t>
        </is>
      </c>
      <c r="C1200" s="2">
        <v>87670313</v>
      </c>
      <c r="D1200" s="2" t="inlineStr">
        <is>
          <t>TaisiyaSlon</t>
        </is>
      </c>
      <c r="E1200" s="2" t="inlineStr">
        <is>
          <t>2034874785624</t>
        </is>
      </c>
      <c r="F1200" s="2">
        <v>0</v>
      </c>
      <c r="G1200" s="2">
        <v>1</v>
      </c>
      <c r="H1200" s="2" t="inlineStr">
        <is>
          <t/>
        </is>
      </c>
      <c r="I1200" s="2" t="inlineStr">
        <is>
          <t>1030</t>
        </is>
      </c>
      <c r="J1200" s="4"/>
      <c r="K1200" s="2">
        <v>10</v>
      </c>
      <c r="L1200" s="6"/>
      <c r="M1200" s="2" t="str">
        <f>IF(J1200="",ROUND(I1200*(1-IF(ISBLANK(L1200),K1200,L1200)/100),2),ROUND(J1200*(1-IF(ISBLANK(L1200),K1200,L1200)/100),2))</f>
      </c>
      <c r="N1200" s="7" t="str">
        <f>IF(NOT(AND(J1200="",L1200="")),IF(OR(AND(L1200&lt;&gt;"",NOT(ISNUMBER(L1200))),IFERROR(MOD(L1200,1),1)&gt;0,AND(ISNUMBER(L1200),OR(L1200&lt;0,L1200&gt;95))),"Введите целое число от 0 до 95",IF(OR(AND(J1200&lt;&gt;"",NOT(ISNUMBER(J1200))),IFERROR(MOD(J1200,1),1)&gt;0,AND(ISNUMBER(J1200),OR(J1200&lt;50,J1200&gt;20000000))),"Введите целое число от 50 до 20000000",IF(NOT(ABS(IFERROR(VALUE(LEFT(M1200,FIND("-",M1200)-1)),M1200)*100-(5000+2000000000)/2)&lt;=ABS(5000-2000000000)/2),"Цена со скидкой должна быть от 50 до 20000000",IF(IFERROR(VALUE(LEFT(M1200,FIND("-",M1200)-1)),M1200)*229&lt;92700,"Вы уменьшили цену в несколько раз, товар попадет в карантин цен","")))),"")</f>
      </c>
    </row>
    <row r="1201">
      <c r="A1201" s="2" t="inlineStr">
        <is>
          <t>CuteShop</t>
        </is>
      </c>
      <c r="B1201" s="2" t="inlineStr">
        <is>
          <t>Держатели для пустышек</t>
        </is>
      </c>
      <c r="C1201" s="2">
        <v>87686348</v>
      </c>
      <c r="D1201" s="2" t="inlineStr">
        <is>
          <t>MilanaMish</t>
        </is>
      </c>
      <c r="E1201" s="2" t="inlineStr">
        <is>
          <t>2034882548624</t>
        </is>
      </c>
      <c r="F1201" s="2">
        <v>0</v>
      </c>
      <c r="G1201" s="2">
        <v>0</v>
      </c>
      <c r="H1201" s="2">
        <v>0</v>
      </c>
      <c r="I1201" s="2" t="inlineStr">
        <is>
          <t>1030</t>
        </is>
      </c>
      <c r="J1201" s="4"/>
      <c r="K1201" s="2">
        <v>10</v>
      </c>
      <c r="L1201" s="6"/>
      <c r="M1201" s="2" t="str">
        <f>IF(J1201="",ROUND(I1201*(1-IF(ISBLANK(L1201),K1201,L1201)/100),2),ROUND(J1201*(1-IF(ISBLANK(L1201),K1201,L1201)/100),2))</f>
      </c>
      <c r="N1201" s="7" t="str">
        <f>IF(NOT(AND(J1201="",L1201="")),IF(OR(AND(L1201&lt;&gt;"",NOT(ISNUMBER(L1201))),IFERROR(MOD(L1201,1),1)&gt;0,AND(ISNUMBER(L1201),OR(L1201&lt;0,L1201&gt;95))),"Введите целое число от 0 до 95",IF(OR(AND(J1201&lt;&gt;"",NOT(ISNUMBER(J1201))),IFERROR(MOD(J1201,1),1)&gt;0,AND(ISNUMBER(J1201),OR(J1201&lt;50,J1201&gt;20000000))),"Введите целое число от 50 до 20000000",IF(NOT(ABS(IFERROR(VALUE(LEFT(M1201,FIND("-",M1201)-1)),M1201)*100-(5000+2000000000)/2)&lt;=ABS(5000-2000000000)/2),"Цена со скидкой должна быть от 50 до 20000000",IF(IFERROR(VALUE(LEFT(M1201,FIND("-",M1201)-1)),M1201)*229&lt;92700,"Вы уменьшили цену в несколько раз, товар попадет в карантин цен","")))),"")</f>
      </c>
    </row>
    <row r="1202">
      <c r="A1202" s="2" t="inlineStr">
        <is>
          <t>CuteShop</t>
        </is>
      </c>
      <c r="B1202" s="2" t="inlineStr">
        <is>
          <t>Бусины</t>
        </is>
      </c>
      <c r="C1202" s="2">
        <v>151583797</v>
      </c>
      <c r="D1202" s="2" t="inlineStr">
        <is>
          <t>Bus-akril-8mm-nebgol-500</t>
        </is>
      </c>
      <c r="E1202" s="2" t="inlineStr">
        <is>
          <t>2037600727158</t>
        </is>
      </c>
      <c r="F1202" s="2">
        <v>0</v>
      </c>
      <c r="G1202" s="2">
        <v>0</v>
      </c>
      <c r="H1202" s="2" t="inlineStr">
        <is>
          <t/>
        </is>
      </c>
      <c r="I1202" s="2" t="inlineStr">
        <is>
          <t>620</t>
        </is>
      </c>
      <c r="J1202" s="4"/>
      <c r="K1202" s="2">
        <v>0</v>
      </c>
      <c r="L1202" s="6"/>
      <c r="M1202" s="2" t="str">
        <f>IF(J1202="",ROUND(I1202*(1-IF(ISBLANK(L1202),K1202,L1202)/100),2),ROUND(J1202*(1-IF(ISBLANK(L1202),K1202,L1202)/100),2))</f>
      </c>
      <c r="N1202" s="7" t="str">
        <f>IF(NOT(AND(J1202="",L1202="")),IF(OR(AND(L1202&lt;&gt;"",NOT(ISNUMBER(L1202))),IFERROR(MOD(L1202,1),1)&gt;0,AND(ISNUMBER(L1202),OR(L1202&lt;0,L1202&gt;95))),"Введите целое число от 0 до 95",IF(OR(AND(J1202&lt;&gt;"",NOT(ISNUMBER(J1202))),IFERROR(MOD(J1202,1),1)&gt;0,AND(ISNUMBER(J1202),OR(J1202&lt;50,J1202&gt;20000000))),"Введите целое число от 50 до 20000000",IF(NOT(ABS(IFERROR(VALUE(LEFT(M1202,FIND("-",M1202)-1)),M1202)*100-(5000+2000000000)/2)&lt;=ABS(5000-2000000000)/2),"Цена со скидкой должна быть от 50 до 20000000",IF(IFERROR(VALUE(LEFT(M1202,FIND("-",M1202)-1)),M1202)*190&lt;62000,"Вы уменьшили цену в несколько раз, товар попадет в карантин цен","")))),"")</f>
      </c>
    </row>
    <row r="1203">
      <c r="A1203" s="2" t="inlineStr">
        <is>
          <t>CuteShop</t>
        </is>
      </c>
      <c r="B1203" s="2" t="inlineStr">
        <is>
          <t>Держатели для пустышек</t>
        </is>
      </c>
      <c r="C1203" s="2">
        <v>87670304</v>
      </c>
      <c r="D1203" s="2" t="inlineStr">
        <is>
          <t>TaisiyaBel</t>
        </is>
      </c>
      <c r="E1203" s="2" t="inlineStr">
        <is>
          <t>2034873730625</t>
        </is>
      </c>
      <c r="F1203" s="2">
        <v>0</v>
      </c>
      <c r="G1203" s="2">
        <v>1</v>
      </c>
      <c r="H1203" s="2">
        <v>0</v>
      </c>
      <c r="I1203" s="2" t="inlineStr">
        <is>
          <t>1030</t>
        </is>
      </c>
      <c r="J1203" s="4"/>
      <c r="K1203" s="2">
        <v>10</v>
      </c>
      <c r="L1203" s="6"/>
      <c r="M1203" s="2" t="str">
        <f>IF(J1203="",ROUND(I1203*(1-IF(ISBLANK(L1203),K1203,L1203)/100),2),ROUND(J1203*(1-IF(ISBLANK(L1203),K1203,L1203)/100),2))</f>
      </c>
      <c r="N1203" s="7" t="str">
        <f>IF(NOT(AND(J1203="",L1203="")),IF(OR(AND(L1203&lt;&gt;"",NOT(ISNUMBER(L1203))),IFERROR(MOD(L1203,1),1)&gt;0,AND(ISNUMBER(L1203),OR(L1203&lt;0,L1203&gt;95))),"Введите целое число от 0 до 95",IF(OR(AND(J1203&lt;&gt;"",NOT(ISNUMBER(J1203))),IFERROR(MOD(J1203,1),1)&gt;0,AND(ISNUMBER(J1203),OR(J1203&lt;50,J1203&gt;20000000))),"Введите целое число от 50 до 20000000",IF(NOT(ABS(IFERROR(VALUE(LEFT(M1203,FIND("-",M1203)-1)),M1203)*100-(5000+2000000000)/2)&lt;=ABS(5000-2000000000)/2),"Цена со скидкой должна быть от 50 до 20000000",IF(IFERROR(VALUE(LEFT(M1203,FIND("-",M1203)-1)),M1203)*229&lt;92700,"Вы уменьшили цену в несколько раз, товар попадет в карантин цен","")))),"")</f>
      </c>
    </row>
    <row r="1204">
      <c r="A1204" s="2" t="inlineStr">
        <is>
          <t>CuteShop</t>
        </is>
      </c>
      <c r="B1204" s="2" t="inlineStr">
        <is>
          <t>Держатели для пустышек</t>
        </is>
      </c>
      <c r="C1204" s="2">
        <v>87670310</v>
      </c>
      <c r="D1204" s="2" t="inlineStr">
        <is>
          <t>TaisiyaMishRoz3</t>
        </is>
      </c>
      <c r="E1204" s="2" t="inlineStr">
        <is>
          <t>2034874284622</t>
        </is>
      </c>
      <c r="F1204" s="2">
        <v>0</v>
      </c>
      <c r="G1204" s="2">
        <v>1</v>
      </c>
      <c r="H1204" s="2">
        <v>0</v>
      </c>
      <c r="I1204" s="2" t="inlineStr">
        <is>
          <t>1030</t>
        </is>
      </c>
      <c r="J1204" s="4"/>
      <c r="K1204" s="2">
        <v>10</v>
      </c>
      <c r="L1204" s="6"/>
      <c r="M1204" s="2" t="str">
        <f>IF(J1204="",ROUND(I1204*(1-IF(ISBLANK(L1204),K1204,L1204)/100),2),ROUND(J1204*(1-IF(ISBLANK(L1204),K1204,L1204)/100),2))</f>
      </c>
      <c r="N1204" s="7" t="str">
        <f>IF(NOT(AND(J1204="",L1204="")),IF(OR(AND(L1204&lt;&gt;"",NOT(ISNUMBER(L1204))),IFERROR(MOD(L1204,1),1)&gt;0,AND(ISNUMBER(L1204),OR(L1204&lt;0,L1204&gt;95))),"Введите целое число от 0 до 95",IF(OR(AND(J1204&lt;&gt;"",NOT(ISNUMBER(J1204))),IFERROR(MOD(J1204,1),1)&gt;0,AND(ISNUMBER(J1204),OR(J1204&lt;50,J1204&gt;20000000))),"Введите целое число от 50 до 20000000",IF(NOT(ABS(IFERROR(VALUE(LEFT(M1204,FIND("-",M1204)-1)),M1204)*100-(5000+2000000000)/2)&lt;=ABS(5000-2000000000)/2),"Цена со скидкой должна быть от 50 до 20000000",IF(IFERROR(VALUE(LEFT(M1204,FIND("-",M1204)-1)),M1204)*229&lt;92700,"Вы уменьшили цену в несколько раз, товар попадет в карантин цен","")))),"")</f>
      </c>
    </row>
    <row r="1205">
      <c r="A1205" s="2" t="inlineStr">
        <is>
          <t>CuteShop</t>
        </is>
      </c>
      <c r="B1205" s="2" t="inlineStr">
        <is>
          <t>Аксессуары для рукоделия</t>
        </is>
      </c>
      <c r="C1205" s="2">
        <v>195365687</v>
      </c>
      <c r="D1205" s="2" t="inlineStr">
        <is>
          <t>LentaKab-Nabor-Zim6</t>
        </is>
      </c>
      <c r="E1205" s="2" t="inlineStr">
        <is>
          <t>2039141970918</t>
        </is>
      </c>
      <c r="F1205" s="2">
        <v>0</v>
      </c>
      <c r="G1205" s="2">
        <v>0</v>
      </c>
      <c r="H1205" s="2" t="inlineStr">
        <is>
          <t/>
        </is>
      </c>
      <c r="I1205" s="2" t="inlineStr">
        <is>
          <t>600</t>
        </is>
      </c>
      <c r="J1205" s="4"/>
      <c r="K1205" s="2">
        <v>0</v>
      </c>
      <c r="L1205" s="6"/>
      <c r="M1205" s="2" t="str">
        <f>IF(J1205="",ROUND(I1205*(1-IF(ISBLANK(L1205),K1205,L1205)/100),2),ROUND(J1205*(1-IF(ISBLANK(L1205),K1205,L1205)/100),2))</f>
      </c>
      <c r="N1205" s="7" t="str">
        <f>IF(NOT(AND(J1205="",L1205="")),IF(OR(AND(L1205&lt;&gt;"",NOT(ISNUMBER(L1205))),IFERROR(MOD(L1205,1),1)&gt;0,AND(ISNUMBER(L1205),OR(L1205&lt;0,L1205&gt;95))),"Введите целое число от 0 до 95",IF(OR(AND(J1205&lt;&gt;"",NOT(ISNUMBER(J1205))),IFERROR(MOD(J1205,1),1)&gt;0,AND(ISNUMBER(J1205),OR(J1205&lt;50,J1205&gt;20000000))),"Введите целое число от 50 до 20000000",IF(NOT(ABS(IFERROR(VALUE(LEFT(M1205,FIND("-",M1205)-1)),M1205)*100-(5000+2000000000)/2)&lt;=ABS(5000-2000000000)/2),"Цена со скидкой должна быть от 50 до 20000000",IF(IFERROR(VALUE(LEFT(M1205,FIND("-",M1205)-1)),M1205)*190&lt;60000,"Вы уменьшили цену в несколько раз, товар попадет в карантин цен","")))),"")</f>
      </c>
    </row>
    <row r="1206">
      <c r="A1206" s="2" t="inlineStr">
        <is>
          <t>CuteShop</t>
        </is>
      </c>
      <c r="B1206" s="2" t="inlineStr">
        <is>
          <t>Держатели для пустышек</t>
        </is>
      </c>
      <c r="C1206" s="2">
        <v>99808219</v>
      </c>
      <c r="D1206" s="2" t="inlineStr">
        <is>
          <t>MaratPanda</t>
        </is>
      </c>
      <c r="E1206" s="2" t="inlineStr">
        <is>
          <t>2036804116591</t>
        </is>
      </c>
      <c r="F1206" s="2">
        <v>0</v>
      </c>
      <c r="G1206" s="2">
        <v>1</v>
      </c>
      <c r="H1206" s="2">
        <v>0</v>
      </c>
      <c r="I1206" s="2" t="inlineStr">
        <is>
          <t>1030</t>
        </is>
      </c>
      <c r="J1206" s="4"/>
      <c r="K1206" s="2">
        <v>10</v>
      </c>
      <c r="L1206" s="6"/>
      <c r="M1206" s="2" t="str">
        <f>IF(J1206="",ROUND(I1206*(1-IF(ISBLANK(L1206),K1206,L1206)/100),2),ROUND(J1206*(1-IF(ISBLANK(L1206),K1206,L1206)/100),2))</f>
      </c>
      <c r="N1206" s="7" t="str">
        <f>IF(NOT(AND(J1206="",L1206="")),IF(OR(AND(L1206&lt;&gt;"",NOT(ISNUMBER(L1206))),IFERROR(MOD(L1206,1),1)&gt;0,AND(ISNUMBER(L1206),OR(L1206&lt;0,L1206&gt;95))),"Введите целое число от 0 до 95",IF(OR(AND(J1206&lt;&gt;"",NOT(ISNUMBER(J1206))),IFERROR(MOD(J1206,1),1)&gt;0,AND(ISNUMBER(J1206),OR(J1206&lt;50,J1206&gt;20000000))),"Введите целое число от 50 до 20000000",IF(NOT(ABS(IFERROR(VALUE(LEFT(M1206,FIND("-",M1206)-1)),M1206)*100-(5000+2000000000)/2)&lt;=ABS(5000-2000000000)/2),"Цена со скидкой должна быть от 50 до 20000000",IF(IFERROR(VALUE(LEFT(M1206,FIND("-",M1206)-1)),M1206)*229&lt;92700,"Вы уменьшили цену в несколько раз, товар попадет в карантин цен","")))),"")</f>
      </c>
    </row>
    <row r="1207">
      <c r="A1207" s="2" t="inlineStr">
        <is>
          <t>CuteShop</t>
        </is>
      </c>
      <c r="B1207" s="2" t="inlineStr">
        <is>
          <t>Держатели для пустышек</t>
        </is>
      </c>
      <c r="C1207" s="2">
        <v>100701477</v>
      </c>
      <c r="D1207" s="2" t="inlineStr">
        <is>
          <t>FedyaPanda</t>
        </is>
      </c>
      <c r="E1207" s="2" t="inlineStr">
        <is>
          <t>2036814629920</t>
        </is>
      </c>
      <c r="F1207" s="2">
        <v>0</v>
      </c>
      <c r="G1207" s="2">
        <v>0</v>
      </c>
      <c r="H1207" s="2">
        <v>0</v>
      </c>
      <c r="I1207" s="2" t="inlineStr">
        <is>
          <t>1030</t>
        </is>
      </c>
      <c r="J1207" s="4"/>
      <c r="K1207" s="2">
        <v>10</v>
      </c>
      <c r="L1207" s="6"/>
      <c r="M1207" s="2" t="str">
        <f>IF(J1207="",ROUND(I1207*(1-IF(ISBLANK(L1207),K1207,L1207)/100),2),ROUND(J1207*(1-IF(ISBLANK(L1207),K1207,L1207)/100),2))</f>
      </c>
      <c r="N1207" s="7" t="str">
        <f>IF(NOT(AND(J1207="",L1207="")),IF(OR(AND(L1207&lt;&gt;"",NOT(ISNUMBER(L1207))),IFERROR(MOD(L1207,1),1)&gt;0,AND(ISNUMBER(L1207),OR(L1207&lt;0,L1207&gt;95))),"Введите целое число от 0 до 95",IF(OR(AND(J1207&lt;&gt;"",NOT(ISNUMBER(J1207))),IFERROR(MOD(J1207,1),1)&gt;0,AND(ISNUMBER(J1207),OR(J1207&lt;50,J1207&gt;20000000))),"Введите целое число от 50 до 20000000",IF(NOT(ABS(IFERROR(VALUE(LEFT(M1207,FIND("-",M1207)-1)),M1207)*100-(5000+2000000000)/2)&lt;=ABS(5000-2000000000)/2),"Цена со скидкой должна быть от 50 до 20000000",IF(IFERROR(VALUE(LEFT(M1207,FIND("-",M1207)-1)),M1207)*229&lt;92700,"Вы уменьшили цену в несколько раз, товар попадет в карантин цен","")))),"")</f>
      </c>
    </row>
    <row r="1208">
      <c r="A1208" s="2" t="inlineStr">
        <is>
          <t>CuteShop</t>
        </is>
      </c>
      <c r="B1208" s="2" t="inlineStr">
        <is>
          <t>Бусины</t>
        </is>
      </c>
      <c r="C1208" s="2">
        <v>151573891</v>
      </c>
      <c r="D1208" s="2" t="inlineStr">
        <is>
          <t>Bus-akril-mix3-170</t>
        </is>
      </c>
      <c r="E1208" s="2" t="inlineStr">
        <is>
          <t>2037600522401</t>
        </is>
      </c>
      <c r="F1208" s="2">
        <v>0</v>
      </c>
      <c r="G1208" s="2">
        <v>0</v>
      </c>
      <c r="H1208" s="2" t="inlineStr">
        <is>
          <t/>
        </is>
      </c>
      <c r="I1208" s="2" t="inlineStr">
        <is>
          <t>330</t>
        </is>
      </c>
      <c r="J1208" s="4"/>
      <c r="K1208" s="2">
        <v>5</v>
      </c>
      <c r="L1208" s="6"/>
      <c r="M1208" s="2" t="str">
        <f>IF(J1208="",ROUND(I1208*(1-IF(ISBLANK(L1208),K1208,L1208)/100),2),ROUND(J1208*(1-IF(ISBLANK(L1208),K1208,L1208)/100),2))</f>
      </c>
      <c r="N1208" s="7" t="str">
        <f>IF(NOT(AND(J1208="",L1208="")),IF(OR(AND(L1208&lt;&gt;"",NOT(ISNUMBER(L1208))),IFERROR(MOD(L1208,1),1)&gt;0,AND(ISNUMBER(L1208),OR(L1208&lt;0,L1208&gt;95))),"Введите целое число от 0 до 95",IF(OR(AND(J1208&lt;&gt;"",NOT(ISNUMBER(J1208))),IFERROR(MOD(J1208,1),1)&gt;0,AND(ISNUMBER(J1208),OR(J1208&lt;50,J1208&gt;20000000))),"Введите целое число от 50 до 20000000",IF(NOT(ABS(IFERROR(VALUE(LEFT(M1208,FIND("-",M1208)-1)),M1208)*100-(5000+2000000000)/2)&lt;=ABS(5000-2000000000)/2),"Цена со скидкой должна быть от 50 до 20000000",IF(IFERROR(VALUE(LEFT(M1208,FIND("-",M1208)-1)),M1208)*190&lt;31350,"Вы уменьшили цену в несколько раз, товар попадет в карантин цен","")))),"")</f>
      </c>
    </row>
    <row r="1209">
      <c r="A1209" s="2" t="inlineStr">
        <is>
          <t>CuteShop</t>
        </is>
      </c>
      <c r="B1209" s="2" t="inlineStr">
        <is>
          <t>Бусины</t>
        </is>
      </c>
      <c r="C1209" s="2">
        <v>151583800</v>
      </c>
      <c r="D1209" s="2" t="inlineStr">
        <is>
          <t>Bus-akril-8mm-sir-500</t>
        </is>
      </c>
      <c r="E1209" s="2" t="inlineStr">
        <is>
          <t>2037600729220</t>
        </is>
      </c>
      <c r="F1209" s="2">
        <v>0</v>
      </c>
      <c r="G1209" s="2">
        <v>0</v>
      </c>
      <c r="H1209" s="2" t="inlineStr">
        <is>
          <t/>
        </is>
      </c>
      <c r="I1209" s="2" t="inlineStr">
        <is>
          <t>620</t>
        </is>
      </c>
      <c r="J1209" s="4"/>
      <c r="K1209" s="2">
        <v>0</v>
      </c>
      <c r="L1209" s="6"/>
      <c r="M1209" s="2" t="str">
        <f>IF(J1209="",ROUND(I1209*(1-IF(ISBLANK(L1209),K1209,L1209)/100),2),ROUND(J1209*(1-IF(ISBLANK(L1209),K1209,L1209)/100),2))</f>
      </c>
      <c r="N1209" s="7" t="str">
        <f>IF(NOT(AND(J1209="",L1209="")),IF(OR(AND(L1209&lt;&gt;"",NOT(ISNUMBER(L1209))),IFERROR(MOD(L1209,1),1)&gt;0,AND(ISNUMBER(L1209),OR(L1209&lt;0,L1209&gt;95))),"Введите целое число от 0 до 95",IF(OR(AND(J1209&lt;&gt;"",NOT(ISNUMBER(J1209))),IFERROR(MOD(J1209,1),1)&gt;0,AND(ISNUMBER(J1209),OR(J1209&lt;50,J1209&gt;20000000))),"Введите целое число от 50 до 20000000",IF(NOT(ABS(IFERROR(VALUE(LEFT(M1209,FIND("-",M1209)-1)),M1209)*100-(5000+2000000000)/2)&lt;=ABS(5000-2000000000)/2),"Цена со скидкой должна быть от 50 до 20000000",IF(IFERROR(VALUE(LEFT(M1209,FIND("-",M1209)-1)),M1209)*190&lt;62000,"Вы уменьшили цену в несколько раз, товар попадет в карантин цен","")))),"")</f>
      </c>
    </row>
    <row r="1210">
      <c r="A1210" s="2" t="inlineStr">
        <is>
          <t/>
        </is>
      </c>
      <c r="B1210" s="2" t="inlineStr">
        <is>
          <t>Ткани для рукоделия</t>
        </is>
      </c>
      <c r="C1210" s="2">
        <v>292118429</v>
      </c>
      <c r="D1210" s="2" t="inlineStr">
        <is>
          <t>Fatin-15-Bel-BlestRaznoc-11</t>
        </is>
      </c>
      <c r="E1210" s="2" t="inlineStr">
        <is>
          <t>2042036823060</t>
        </is>
      </c>
      <c r="F1210" s="2">
        <v>0</v>
      </c>
      <c r="G1210" s="2">
        <v>0</v>
      </c>
      <c r="H1210" s="2" t="inlineStr">
        <is>
          <t/>
        </is>
      </c>
      <c r="I1210" s="2" t="inlineStr">
        <is>
          <t>440</t>
        </is>
      </c>
      <c r="J1210" s="4"/>
      <c r="K1210" s="2">
        <v>0</v>
      </c>
      <c r="L1210" s="6"/>
      <c r="M1210" s="2" t="str">
        <f>IF(J1210="",ROUND(I1210*(1-IF(ISBLANK(L1210),K1210,L1210)/100),2),ROUND(J1210*(1-IF(ISBLANK(L1210),K1210,L1210)/100),2))</f>
      </c>
      <c r="N1210" s="7" t="str">
        <f>IF(NOT(AND(J1210="",L1210="")),IF(OR(AND(L1210&lt;&gt;"",NOT(ISNUMBER(L1210))),IFERROR(MOD(L1210,1),1)&gt;0,AND(ISNUMBER(L1210),OR(L1210&lt;0,L1210&gt;95))),"Введите целое число от 0 до 95",IF(OR(AND(J1210&lt;&gt;"",NOT(ISNUMBER(J1210))),IFERROR(MOD(J1210,1),1)&gt;0,AND(ISNUMBER(J1210),OR(J1210&lt;50,J1210&gt;20000000))),"Введите целое число от 50 до 20000000",IF(NOT(ABS(IFERROR(VALUE(LEFT(M1210,FIND("-",M1210)-1)),M1210)*100-(5000+2000000000)/2)&lt;=ABS(5000-2000000000)/2),"Цена со скидкой должна быть от 50 до 20000000",IF(IFERROR(VALUE(LEFT(M1210,FIND("-",M1210)-1)),M1210)*190&lt;44000,"Вы уменьшили цену в несколько раз, товар попадет в карантин цен","")))),"")</f>
      </c>
    </row>
    <row r="1211">
      <c r="A1211" s="2" t="inlineStr">
        <is>
          <t/>
        </is>
      </c>
      <c r="B1211" s="2" t="inlineStr">
        <is>
          <t>Ткани для рукоделия</t>
        </is>
      </c>
      <c r="C1211" s="2">
        <v>292118430</v>
      </c>
      <c r="D1211" s="2" t="inlineStr">
        <is>
          <t>Fatin-15-Bel-Glitter-9</t>
        </is>
      </c>
      <c r="E1211" s="2" t="inlineStr">
        <is>
          <t>2042036826962</t>
        </is>
      </c>
      <c r="F1211" s="2">
        <v>0</v>
      </c>
      <c r="G1211" s="2">
        <v>0</v>
      </c>
      <c r="H1211" s="2" t="inlineStr">
        <is>
          <t/>
        </is>
      </c>
      <c r="I1211" s="2" t="inlineStr">
        <is>
          <t>430</t>
        </is>
      </c>
      <c r="J1211" s="4"/>
      <c r="K1211" s="2">
        <v>0</v>
      </c>
      <c r="L1211" s="6"/>
      <c r="M1211" s="2" t="str">
        <f>IF(J1211="",ROUND(I1211*(1-IF(ISBLANK(L1211),K1211,L1211)/100),2),ROUND(J1211*(1-IF(ISBLANK(L1211),K1211,L1211)/100),2))</f>
      </c>
      <c r="N1211" s="7" t="str">
        <f>IF(NOT(AND(J1211="",L1211="")),IF(OR(AND(L1211&lt;&gt;"",NOT(ISNUMBER(L1211))),IFERROR(MOD(L1211,1),1)&gt;0,AND(ISNUMBER(L1211),OR(L1211&lt;0,L1211&gt;95))),"Введите целое число от 0 до 95",IF(OR(AND(J1211&lt;&gt;"",NOT(ISNUMBER(J1211))),IFERROR(MOD(J1211,1),1)&gt;0,AND(ISNUMBER(J1211),OR(J1211&lt;50,J1211&gt;20000000))),"Введите целое число от 50 до 20000000",IF(NOT(ABS(IFERROR(VALUE(LEFT(M1211,FIND("-",M1211)-1)),M1211)*100-(5000+2000000000)/2)&lt;=ABS(5000-2000000000)/2),"Цена со скидкой должна быть от 50 до 20000000",IF(IFERROR(VALUE(LEFT(M1211,FIND("-",M1211)-1)),M1211)*190&lt;43000,"Вы уменьшили цену в несколько раз, товар попадет в карантин цен","")))),"")</f>
      </c>
    </row>
    <row r="1212">
      <c r="A1212" s="2" t="inlineStr">
        <is>
          <t>CuteShop</t>
        </is>
      </c>
      <c r="B1212" s="2" t="inlineStr">
        <is>
          <t>Держатели для пустышек</t>
        </is>
      </c>
      <c r="C1212" s="2">
        <v>86249346</v>
      </c>
      <c r="D1212" s="2" t="inlineStr">
        <is>
          <t>DarinaMish</t>
        </is>
      </c>
      <c r="E1212" s="2" t="inlineStr">
        <is>
          <t>2033905379627</t>
        </is>
      </c>
      <c r="F1212" s="2">
        <v>0</v>
      </c>
      <c r="G1212" s="2">
        <v>1</v>
      </c>
      <c r="H1212" s="2">
        <v>0</v>
      </c>
      <c r="I1212" s="2" t="inlineStr">
        <is>
          <t>1030</t>
        </is>
      </c>
      <c r="J1212" s="4"/>
      <c r="K1212" s="2">
        <v>10</v>
      </c>
      <c r="L1212" s="6"/>
      <c r="M1212" s="2" t="str">
        <f>IF(J1212="",ROUND(I1212*(1-IF(ISBLANK(L1212),K1212,L1212)/100),2),ROUND(J1212*(1-IF(ISBLANK(L1212),K1212,L1212)/100),2))</f>
      </c>
      <c r="N1212" s="7" t="str">
        <f>IF(NOT(AND(J1212="",L1212="")),IF(OR(AND(L1212&lt;&gt;"",NOT(ISNUMBER(L1212))),IFERROR(MOD(L1212,1),1)&gt;0,AND(ISNUMBER(L1212),OR(L1212&lt;0,L1212&gt;95))),"Введите целое число от 0 до 95",IF(OR(AND(J1212&lt;&gt;"",NOT(ISNUMBER(J1212))),IFERROR(MOD(J1212,1),1)&gt;0,AND(ISNUMBER(J1212),OR(J1212&lt;50,J1212&gt;20000000))),"Введите целое число от 50 до 20000000",IF(NOT(ABS(IFERROR(VALUE(LEFT(M1212,FIND("-",M1212)-1)),M1212)*100-(5000+2000000000)/2)&lt;=ABS(5000-2000000000)/2),"Цена со скидкой должна быть от 50 до 20000000",IF(IFERROR(VALUE(LEFT(M1212,FIND("-",M1212)-1)),M1212)*229&lt;92700,"Вы уменьшили цену в несколько раз, товар попадет в карантин цен","")))),"")</f>
      </c>
    </row>
    <row r="1213">
      <c r="A1213" s="2" t="inlineStr">
        <is>
          <t>CuteShop</t>
        </is>
      </c>
      <c r="B1213" s="2" t="inlineStr">
        <is>
          <t>Ленты для рукоделия</t>
        </is>
      </c>
      <c r="C1213" s="2">
        <v>292121730</v>
      </c>
      <c r="D1213" s="2" t="inlineStr">
        <is>
          <t>Kruzhevo-Bel-3-9</t>
        </is>
      </c>
      <c r="E1213" s="2" t="inlineStr">
        <is>
          <t>2042036867682</t>
        </is>
      </c>
      <c r="F1213" s="2">
        <v>0</v>
      </c>
      <c r="G1213" s="2">
        <v>0</v>
      </c>
      <c r="H1213" s="2" t="inlineStr">
        <is>
          <t/>
        </is>
      </c>
      <c r="I1213" s="2" t="inlineStr">
        <is>
          <t>301</t>
        </is>
      </c>
      <c r="J1213" s="4"/>
      <c r="K1213" s="2">
        <v>0</v>
      </c>
      <c r="L1213" s="6"/>
      <c r="M1213" s="2" t="str">
        <f>IF(J1213="",ROUND(I1213*(1-IF(ISBLANK(L1213),K1213,L1213)/100),2),ROUND(J1213*(1-IF(ISBLANK(L1213),K1213,L1213)/100),2))</f>
      </c>
      <c r="N1213" s="7" t="str">
        <f>IF(NOT(AND(J1213="",L1213="")),IF(OR(AND(L1213&lt;&gt;"",NOT(ISNUMBER(L1213))),IFERROR(MOD(L1213,1),1)&gt;0,AND(ISNUMBER(L1213),OR(L1213&lt;0,L1213&gt;95))),"Введите целое число от 0 до 95",IF(OR(AND(J1213&lt;&gt;"",NOT(ISNUMBER(J1213))),IFERROR(MOD(J1213,1),1)&gt;0,AND(ISNUMBER(J1213),OR(J1213&lt;50,J1213&gt;20000000))),"Введите целое число от 50 до 20000000",IF(NOT(ABS(IFERROR(VALUE(LEFT(M1213,FIND("-",M1213)-1)),M1213)*100-(5000+2000000000)/2)&lt;=ABS(5000-2000000000)/2),"Цена со скидкой должна быть от 50 до 20000000",IF(IFERROR(VALUE(LEFT(M1213,FIND("-",M1213)-1)),M1213)*190&lt;30100,"Вы уменьшили цену в несколько раз, товар попадет в карантин цен","")))),"")</f>
      </c>
    </row>
    <row r="1214">
      <c r="A1214" s="2" t="inlineStr">
        <is>
          <t/>
        </is>
      </c>
      <c r="B1214" s="2" t="inlineStr">
        <is>
          <t>Ткани для рукоделия</t>
        </is>
      </c>
      <c r="C1214" s="2">
        <v>190301166</v>
      </c>
      <c r="D1214" s="2" t="inlineStr">
        <is>
          <t>Fatin-Snezh-Bel15-4</t>
        </is>
      </c>
      <c r="E1214" s="2" t="inlineStr">
        <is>
          <t>2039005476433</t>
        </is>
      </c>
      <c r="F1214" s="2">
        <v>0</v>
      </c>
      <c r="G1214" s="2">
        <v>0</v>
      </c>
      <c r="H1214" s="2" t="inlineStr">
        <is>
          <t/>
        </is>
      </c>
      <c r="I1214" s="2" t="inlineStr">
        <is>
          <t>380</t>
        </is>
      </c>
      <c r="J1214" s="4"/>
      <c r="K1214" s="2">
        <v>0</v>
      </c>
      <c r="L1214" s="6"/>
      <c r="M1214" s="2" t="str">
        <f>IF(J1214="",ROUND(I1214*(1-IF(ISBLANK(L1214),K1214,L1214)/100),2),ROUND(J1214*(1-IF(ISBLANK(L1214),K1214,L1214)/100),2))</f>
      </c>
      <c r="N1214" s="7" t="str">
        <f>IF(NOT(AND(J1214="",L1214="")),IF(OR(AND(L1214&lt;&gt;"",NOT(ISNUMBER(L1214))),IFERROR(MOD(L1214,1),1)&gt;0,AND(ISNUMBER(L1214),OR(L1214&lt;0,L1214&gt;95))),"Введите целое число от 0 до 95",IF(OR(AND(J1214&lt;&gt;"",NOT(ISNUMBER(J1214))),IFERROR(MOD(J1214,1),1)&gt;0,AND(ISNUMBER(J1214),OR(J1214&lt;50,J1214&gt;20000000))),"Введите целое число от 50 до 20000000",IF(NOT(ABS(IFERROR(VALUE(LEFT(M1214,FIND("-",M1214)-1)),M1214)*100-(5000+2000000000)/2)&lt;=ABS(5000-2000000000)/2),"Цена со скидкой должна быть от 50 до 20000000",IF(IFERROR(VALUE(LEFT(M1214,FIND("-",M1214)-1)),M1214)*190&lt;38000,"Вы уменьшили цену в несколько раз, товар попадет в карантин цен","")))),"")</f>
      </c>
    </row>
    <row r="1215">
      <c r="A1215" s="2" t="inlineStr">
        <is>
          <t/>
        </is>
      </c>
      <c r="B1215" s="2" t="inlineStr">
        <is>
          <t>Ткани для рукоделия</t>
        </is>
      </c>
      <c r="C1215" s="2">
        <v>190301167</v>
      </c>
      <c r="D1215" s="2" t="inlineStr">
        <is>
          <t>Fatin-Snezh-BelSer15-4</t>
        </is>
      </c>
      <c r="E1215" s="2" t="inlineStr">
        <is>
          <t>2039005502422</t>
        </is>
      </c>
      <c r="F1215" s="2">
        <v>0</v>
      </c>
      <c r="G1215" s="2">
        <v>0</v>
      </c>
      <c r="H1215" s="2" t="inlineStr">
        <is>
          <t/>
        </is>
      </c>
      <c r="I1215" s="2" t="inlineStr">
        <is>
          <t>360</t>
        </is>
      </c>
      <c r="J1215" s="4"/>
      <c r="K1215" s="2">
        <v>0</v>
      </c>
      <c r="L1215" s="6"/>
      <c r="M1215" s="2" t="str">
        <f>IF(J1215="",ROUND(I1215*(1-IF(ISBLANK(L1215),K1215,L1215)/100),2),ROUND(J1215*(1-IF(ISBLANK(L1215),K1215,L1215)/100),2))</f>
      </c>
      <c r="N1215" s="7" t="str">
        <f>IF(NOT(AND(J1215="",L1215="")),IF(OR(AND(L1215&lt;&gt;"",NOT(ISNUMBER(L1215))),IFERROR(MOD(L1215,1),1)&gt;0,AND(ISNUMBER(L1215),OR(L1215&lt;0,L1215&gt;95))),"Введите целое число от 0 до 95",IF(OR(AND(J1215&lt;&gt;"",NOT(ISNUMBER(J1215))),IFERROR(MOD(J1215,1),1)&gt;0,AND(ISNUMBER(J1215),OR(J1215&lt;50,J1215&gt;20000000))),"Введите целое число от 50 до 20000000",IF(NOT(ABS(IFERROR(VALUE(LEFT(M1215,FIND("-",M1215)-1)),M1215)*100-(5000+2000000000)/2)&lt;=ABS(5000-2000000000)/2),"Цена со скидкой должна быть от 50 до 20000000",IF(IFERROR(VALUE(LEFT(M1215,FIND("-",M1215)-1)),M1215)*190&lt;36000,"Вы уменьшили цену в несколько раз, товар попадет в карантин цен","")))),"")</f>
      </c>
    </row>
    <row r="1216">
      <c r="A1216" s="2" t="inlineStr">
        <is>
          <t>CuteShop</t>
        </is>
      </c>
      <c r="B1216" s="2" t="inlineStr">
        <is>
          <t>Держатели для пустышек</t>
        </is>
      </c>
      <c r="C1216" s="2">
        <v>86249345</v>
      </c>
      <c r="D1216" s="2" t="inlineStr">
        <is>
          <t>DarinaEdin</t>
        </is>
      </c>
      <c r="E1216" s="2" t="inlineStr">
        <is>
          <t>2033904144622</t>
        </is>
      </c>
      <c r="F1216" s="2">
        <v>0</v>
      </c>
      <c r="G1216" s="2">
        <v>0</v>
      </c>
      <c r="H1216" s="2">
        <v>0</v>
      </c>
      <c r="I1216" s="2" t="inlineStr">
        <is>
          <t>1030</t>
        </is>
      </c>
      <c r="J1216" s="4"/>
      <c r="K1216" s="2">
        <v>10</v>
      </c>
      <c r="L1216" s="6"/>
      <c r="M1216" s="2" t="str">
        <f>IF(J1216="",ROUND(I1216*(1-IF(ISBLANK(L1216),K1216,L1216)/100),2),ROUND(J1216*(1-IF(ISBLANK(L1216),K1216,L1216)/100),2))</f>
      </c>
      <c r="N1216" s="7" t="str">
        <f>IF(NOT(AND(J1216="",L1216="")),IF(OR(AND(L1216&lt;&gt;"",NOT(ISNUMBER(L1216))),IFERROR(MOD(L1216,1),1)&gt;0,AND(ISNUMBER(L1216),OR(L1216&lt;0,L1216&gt;95))),"Введите целое число от 0 до 95",IF(OR(AND(J1216&lt;&gt;"",NOT(ISNUMBER(J1216))),IFERROR(MOD(J1216,1),1)&gt;0,AND(ISNUMBER(J1216),OR(J1216&lt;50,J1216&gt;20000000))),"Введите целое число от 50 до 20000000",IF(NOT(ABS(IFERROR(VALUE(LEFT(M1216,FIND("-",M1216)-1)),M1216)*100-(5000+2000000000)/2)&lt;=ABS(5000-2000000000)/2),"Цена со скидкой должна быть от 50 до 20000000",IF(IFERROR(VALUE(LEFT(M1216,FIND("-",M1216)-1)),M1216)*229&lt;92700,"Вы уменьшили цену в несколько раз, товар попадет в карантин цен","")))),"")</f>
      </c>
    </row>
    <row r="1217">
      <c r="A1217" s="2" t="inlineStr">
        <is>
          <t>CuteShop</t>
        </is>
      </c>
      <c r="B1217" s="2" t="inlineStr">
        <is>
          <t>Ленты для рукоделия</t>
        </is>
      </c>
      <c r="C1217" s="2">
        <v>282383755</v>
      </c>
      <c r="D1217" s="2" t="inlineStr">
        <is>
          <t>Lenta-Rep-Snezh-GolSer-7.7</t>
        </is>
      </c>
      <c r="E1217" s="2" t="inlineStr">
        <is>
          <t>2041811596892</t>
        </is>
      </c>
      <c r="F1217" s="2">
        <v>0</v>
      </c>
      <c r="G1217" s="2">
        <v>0</v>
      </c>
      <c r="H1217" s="2" t="inlineStr">
        <is>
          <t/>
        </is>
      </c>
      <c r="I1217" s="2" t="inlineStr">
        <is>
          <t>330</t>
        </is>
      </c>
      <c r="J1217" s="4"/>
      <c r="K1217" s="2">
        <v>0</v>
      </c>
      <c r="L1217" s="6"/>
      <c r="M1217" s="2" t="str">
        <f>IF(J1217="",ROUND(I1217*(1-IF(ISBLANK(L1217),K1217,L1217)/100),2),ROUND(J1217*(1-IF(ISBLANK(L1217),K1217,L1217)/100),2))</f>
      </c>
      <c r="N1217" s="7" t="str">
        <f>IF(NOT(AND(J1217="",L1217="")),IF(OR(AND(L1217&lt;&gt;"",NOT(ISNUMBER(L1217))),IFERROR(MOD(L1217,1),1)&gt;0,AND(ISNUMBER(L1217),OR(L1217&lt;0,L1217&gt;95))),"Введите целое число от 0 до 95",IF(OR(AND(J1217&lt;&gt;"",NOT(ISNUMBER(J1217))),IFERROR(MOD(J1217,1),1)&gt;0,AND(ISNUMBER(J1217),OR(J1217&lt;50,J1217&gt;20000000))),"Введите целое число от 50 до 20000000",IF(NOT(ABS(IFERROR(VALUE(LEFT(M1217,FIND("-",M1217)-1)),M1217)*100-(5000+2000000000)/2)&lt;=ABS(5000-2000000000)/2),"Цена со скидкой должна быть от 50 до 20000000",IF(IFERROR(VALUE(LEFT(M1217,FIND("-",M1217)-1)),M1217)*190&lt;33000,"Вы уменьшили цену в несколько раз, товар попадет в карантин цен","")))),"")</f>
      </c>
    </row>
    <row r="1218">
      <c r="A1218" s="2" t="inlineStr">
        <is>
          <t>CuteShop</t>
        </is>
      </c>
      <c r="B1218" s="2" t="inlineStr">
        <is>
          <t>Держатели для пустышек</t>
        </is>
      </c>
      <c r="C1218" s="2">
        <v>87252077</v>
      </c>
      <c r="D1218" s="2" t="inlineStr">
        <is>
          <t>FilippBG</t>
        </is>
      </c>
      <c r="E1218" s="2" t="inlineStr">
        <is>
          <t>2034677240627</t>
        </is>
      </c>
      <c r="F1218" s="2">
        <v>0</v>
      </c>
      <c r="G1218" s="2">
        <v>1</v>
      </c>
      <c r="H1218" s="2">
        <v>0</v>
      </c>
      <c r="I1218" s="2" t="inlineStr">
        <is>
          <t>790</t>
        </is>
      </c>
      <c r="J1218" s="4"/>
      <c r="K1218" s="2">
        <v>10</v>
      </c>
      <c r="L1218" s="6"/>
      <c r="M1218" s="2" t="str">
        <f>IF(J1218="",ROUND(I1218*(1-IF(ISBLANK(L1218),K1218,L1218)/100),2),ROUND(J1218*(1-IF(ISBLANK(L1218),K1218,L1218)/100),2))</f>
      </c>
      <c r="N1218" s="7" t="str">
        <f>IF(NOT(AND(J1218="",L1218="")),IF(OR(AND(L1218&lt;&gt;"",NOT(ISNUMBER(L1218))),IFERROR(MOD(L1218,1),1)&gt;0,AND(ISNUMBER(L1218),OR(L1218&lt;0,L1218&gt;95))),"Введите целое число от 0 до 95",IF(OR(AND(J1218&lt;&gt;"",NOT(ISNUMBER(J1218))),IFERROR(MOD(J1218,1),1)&gt;0,AND(ISNUMBER(J1218),OR(J1218&lt;50,J1218&gt;20000000))),"Введите целое число от 50 до 20000000",IF(NOT(ABS(IFERROR(VALUE(LEFT(M1218,FIND("-",M1218)-1)),M1218)*100-(5000+2000000000)/2)&lt;=ABS(5000-2000000000)/2),"Цена со скидкой должна быть от 50 до 20000000",IF(IFERROR(VALUE(LEFT(M1218,FIND("-",M1218)-1)),M1218)*229&lt;71100,"Вы уменьшили цену в несколько раз, товар попадет в карантин цен","")))),"")</f>
      </c>
    </row>
    <row r="1219">
      <c r="A1219" s="2" t="inlineStr">
        <is>
          <t/>
        </is>
      </c>
      <c r="B1219" s="2" t="inlineStr">
        <is>
          <t>Ткани для рукоделия</t>
        </is>
      </c>
      <c r="C1219" s="2">
        <v>196651839</v>
      </c>
      <c r="D1219" s="2" t="inlineStr">
        <is>
          <t>Fatin-Serd-Roz-13</t>
        </is>
      </c>
      <c r="E1219" s="2" t="inlineStr">
        <is>
          <t>2039183911443</t>
        </is>
      </c>
      <c r="F1219" s="2">
        <v>0</v>
      </c>
      <c r="G1219" s="2">
        <v>0</v>
      </c>
      <c r="H1219" s="2" t="inlineStr">
        <is>
          <t/>
        </is>
      </c>
      <c r="I1219" s="2" t="inlineStr">
        <is>
          <t>380</t>
        </is>
      </c>
      <c r="J1219" s="4"/>
      <c r="K1219" s="2">
        <v>0</v>
      </c>
      <c r="L1219" s="6"/>
      <c r="M1219" s="2" t="str">
        <f>IF(J1219="",ROUND(I1219*(1-IF(ISBLANK(L1219),K1219,L1219)/100),2),ROUND(J1219*(1-IF(ISBLANK(L1219),K1219,L1219)/100),2))</f>
      </c>
      <c r="N1219" s="7" t="str">
        <f>IF(NOT(AND(J1219="",L1219="")),IF(OR(AND(L1219&lt;&gt;"",NOT(ISNUMBER(L1219))),IFERROR(MOD(L1219,1),1)&gt;0,AND(ISNUMBER(L1219),OR(L1219&lt;0,L1219&gt;95))),"Введите целое число от 0 до 95",IF(OR(AND(J1219&lt;&gt;"",NOT(ISNUMBER(J1219))),IFERROR(MOD(J1219,1),1)&gt;0,AND(ISNUMBER(J1219),OR(J1219&lt;50,J1219&gt;20000000))),"Введите целое число от 50 до 20000000",IF(NOT(ABS(IFERROR(VALUE(LEFT(M1219,FIND("-",M1219)-1)),M1219)*100-(5000+2000000000)/2)&lt;=ABS(5000-2000000000)/2),"Цена со скидкой должна быть от 50 до 20000000",IF(IFERROR(VALUE(LEFT(M1219,FIND("-",M1219)-1)),M1219)*190&lt;38000,"Вы уменьшили цену в несколько раз, товар попадет в карантин цен","")))),"")</f>
      </c>
    </row>
    <row r="1220">
      <c r="A1220" s="2" t="inlineStr">
        <is>
          <t>CuteShop</t>
        </is>
      </c>
      <c r="B1220" s="2" t="inlineStr">
        <is>
          <t>Держатели для пустышек</t>
        </is>
      </c>
      <c r="C1220" s="2">
        <v>87359534</v>
      </c>
      <c r="D1220" s="2" t="inlineStr">
        <is>
          <t>KiraLama</t>
        </is>
      </c>
      <c r="E1220" s="2" t="inlineStr">
        <is>
          <t>2034751637626</t>
        </is>
      </c>
      <c r="F1220" s="2">
        <v>0</v>
      </c>
      <c r="G1220" s="2">
        <v>1</v>
      </c>
      <c r="H1220" s="2">
        <v>0</v>
      </c>
      <c r="I1220" s="2" t="inlineStr">
        <is>
          <t>1030</t>
        </is>
      </c>
      <c r="J1220" s="4"/>
      <c r="K1220" s="2">
        <v>10</v>
      </c>
      <c r="L1220" s="6"/>
      <c r="M1220" s="2" t="str">
        <f>IF(J1220="",ROUND(I1220*(1-IF(ISBLANK(L1220),K1220,L1220)/100),2),ROUND(J1220*(1-IF(ISBLANK(L1220),K1220,L1220)/100),2))</f>
      </c>
      <c r="N1220" s="7" t="str">
        <f>IF(NOT(AND(J1220="",L1220="")),IF(OR(AND(L1220&lt;&gt;"",NOT(ISNUMBER(L1220))),IFERROR(MOD(L1220,1),1)&gt;0,AND(ISNUMBER(L1220),OR(L1220&lt;0,L1220&gt;95))),"Введите целое число от 0 до 95",IF(OR(AND(J1220&lt;&gt;"",NOT(ISNUMBER(J1220))),IFERROR(MOD(J1220,1),1)&gt;0,AND(ISNUMBER(J1220),OR(J1220&lt;50,J1220&gt;20000000))),"Введите целое число от 50 до 20000000",IF(NOT(ABS(IFERROR(VALUE(LEFT(M1220,FIND("-",M1220)-1)),M1220)*100-(5000+2000000000)/2)&lt;=ABS(5000-2000000000)/2),"Цена со скидкой должна быть от 50 до 20000000",IF(IFERROR(VALUE(LEFT(M1220,FIND("-",M1220)-1)),M1220)*229&lt;92700,"Вы уменьшили цену в несколько раз, товар попадет в карантин цен","")))),"")</f>
      </c>
    </row>
    <row r="1221">
      <c r="A1221" s="2" t="inlineStr">
        <is>
          <t>CuteShop</t>
        </is>
      </c>
      <c r="B1221" s="2" t="inlineStr">
        <is>
          <t>Ленты для рукоделия</t>
        </is>
      </c>
      <c r="C1221" s="2">
        <v>209925669</v>
      </c>
      <c r="D1221" s="2" t="inlineStr">
        <is>
          <t>Lenta-Rep-nabor1-39</t>
        </is>
      </c>
      <c r="E1221" s="2" t="inlineStr">
        <is>
          <t>2039503114486</t>
        </is>
      </c>
      <c r="F1221" s="2">
        <v>0</v>
      </c>
      <c r="G1221" s="2">
        <v>0</v>
      </c>
      <c r="H1221" s="2" t="inlineStr">
        <is>
          <t/>
        </is>
      </c>
      <c r="I1221" s="2" t="inlineStr">
        <is>
          <t>540</t>
        </is>
      </c>
      <c r="J1221" s="4"/>
      <c r="K1221" s="2">
        <v>0</v>
      </c>
      <c r="L1221" s="6"/>
      <c r="M1221" s="2" t="str">
        <f>IF(J1221="",ROUND(I1221*(1-IF(ISBLANK(L1221),K1221,L1221)/100),2),ROUND(J1221*(1-IF(ISBLANK(L1221),K1221,L1221)/100),2))</f>
      </c>
      <c r="N1221" s="7" t="str">
        <f>IF(NOT(AND(J1221="",L1221="")),IF(OR(AND(L1221&lt;&gt;"",NOT(ISNUMBER(L1221))),IFERROR(MOD(L1221,1),1)&gt;0,AND(ISNUMBER(L1221),OR(L1221&lt;0,L1221&gt;95))),"Введите целое число от 0 до 95",IF(OR(AND(J1221&lt;&gt;"",NOT(ISNUMBER(J1221))),IFERROR(MOD(J1221,1),1)&gt;0,AND(ISNUMBER(J1221),OR(J1221&lt;50,J1221&gt;20000000))),"Введите целое число от 50 до 20000000",IF(NOT(ABS(IFERROR(VALUE(LEFT(M1221,FIND("-",M1221)-1)),M1221)*100-(5000+2000000000)/2)&lt;=ABS(5000-2000000000)/2),"Цена со скидкой должна быть от 50 до 20000000",IF(IFERROR(VALUE(LEFT(M1221,FIND("-",M1221)-1)),M1221)*190&lt;54000,"Вы уменьшили цену в несколько раз, товар попадет в карантин цен","")))),"")</f>
      </c>
    </row>
    <row r="1222">
      <c r="A1222" s="2" t="inlineStr">
        <is>
          <t>CuteShop</t>
        </is>
      </c>
      <c r="B1222" s="2" t="inlineStr">
        <is>
          <t>Ленты для рукоделия</t>
        </is>
      </c>
      <c r="C1222" s="2">
        <v>393590709</v>
      </c>
      <c r="D1222" s="2" t="inlineStr">
        <is>
          <t>Lenta-Rep-9May-Mix14</t>
        </is>
      </c>
      <c r="E1222" s="2" t="inlineStr">
        <is>
          <t>2043710662982</t>
        </is>
      </c>
      <c r="F1222" s="2">
        <v>0</v>
      </c>
      <c r="G1222" s="2">
        <v>0</v>
      </c>
      <c r="H1222" s="2" t="inlineStr">
        <is>
          <t/>
        </is>
      </c>
      <c r="I1222" s="2" t="inlineStr">
        <is>
          <t>430</t>
        </is>
      </c>
      <c r="J1222" s="4"/>
      <c r="K1222" s="2">
        <v>5</v>
      </c>
      <c r="L1222" s="6"/>
      <c r="M1222" s="2" t="str">
        <f>IF(J1222="",ROUND(I1222*(1-IF(ISBLANK(L1222),K1222,L1222)/100),2),ROUND(J1222*(1-IF(ISBLANK(L1222),K1222,L1222)/100),2))</f>
      </c>
      <c r="N1222" s="7" t="str">
        <f>IF(NOT(AND(J1222="",L1222="")),IF(OR(AND(L1222&lt;&gt;"",NOT(ISNUMBER(L1222))),IFERROR(MOD(L1222,1),1)&gt;0,AND(ISNUMBER(L1222),OR(L1222&lt;0,L1222&gt;95))),"Введите целое число от 0 до 95",IF(OR(AND(J1222&lt;&gt;"",NOT(ISNUMBER(J1222))),IFERROR(MOD(J1222,1),1)&gt;0,AND(ISNUMBER(J1222),OR(J1222&lt;50,J1222&gt;20000000))),"Введите целое число от 50 до 20000000",IF(NOT(ABS(IFERROR(VALUE(LEFT(M1222,FIND("-",M1222)-1)),M1222)*100-(5000+2000000000)/2)&lt;=ABS(5000-2000000000)/2),"Цена со скидкой должна быть от 50 до 20000000",IF(IFERROR(VALUE(LEFT(M1222,FIND("-",M1222)-1)),M1222)*190&lt;40850,"Вы уменьшили цену в несколько раз, товар попадет в карантин цен","")))),"")</f>
      </c>
    </row>
    <row r="1223">
      <c r="A1223" s="2" t="inlineStr">
        <is>
          <t>CuteShop</t>
        </is>
      </c>
      <c r="B1223" s="2" t="inlineStr">
        <is>
          <t>Держатели для пустышек</t>
        </is>
      </c>
      <c r="C1223" s="2">
        <v>87685584</v>
      </c>
      <c r="D1223" s="2" t="inlineStr">
        <is>
          <t>MilanaEdin</t>
        </is>
      </c>
      <c r="E1223" s="2" t="inlineStr">
        <is>
          <t>2034881619622</t>
        </is>
      </c>
      <c r="F1223" s="2">
        <v>0</v>
      </c>
      <c r="G1223" s="2">
        <v>0</v>
      </c>
      <c r="H1223" s="2">
        <v>1</v>
      </c>
      <c r="I1223" s="2" t="inlineStr">
        <is>
          <t>1030</t>
        </is>
      </c>
      <c r="J1223" s="4"/>
      <c r="K1223" s="2">
        <v>10</v>
      </c>
      <c r="L1223" s="6"/>
      <c r="M1223" s="2" t="str">
        <f>IF(J1223="",ROUND(I1223*(1-IF(ISBLANK(L1223),K1223,L1223)/100),2),ROUND(J1223*(1-IF(ISBLANK(L1223),K1223,L1223)/100),2))</f>
      </c>
      <c r="N1223" s="7" t="str">
        <f>IF(NOT(AND(J1223="",L1223="")),IF(OR(AND(L1223&lt;&gt;"",NOT(ISNUMBER(L1223))),IFERROR(MOD(L1223,1),1)&gt;0,AND(ISNUMBER(L1223),OR(L1223&lt;0,L1223&gt;95))),"Введите целое число от 0 до 95",IF(OR(AND(J1223&lt;&gt;"",NOT(ISNUMBER(J1223))),IFERROR(MOD(J1223,1),1)&gt;0,AND(ISNUMBER(J1223),OR(J1223&lt;50,J1223&gt;20000000))),"Введите целое число от 50 до 20000000",IF(NOT(ABS(IFERROR(VALUE(LEFT(M1223,FIND("-",M1223)-1)),M1223)*100-(5000+2000000000)/2)&lt;=ABS(5000-2000000000)/2),"Цена со скидкой должна быть от 50 до 20000000",IF(IFERROR(VALUE(LEFT(M1223,FIND("-",M1223)-1)),M1223)*229&lt;92700,"Вы уменьшили цену в несколько раз, товар попадет в карантин цен","")))),"")</f>
      </c>
    </row>
    <row r="1224">
      <c r="A1224" s="2" t="inlineStr">
        <is>
          <t>CuteShop</t>
        </is>
      </c>
      <c r="B1224" s="2" t="inlineStr">
        <is>
          <t>Бусины</t>
        </is>
      </c>
      <c r="C1224" s="2">
        <v>222801177</v>
      </c>
      <c r="D1224" s="2" t="inlineStr">
        <is>
          <t>Rond-Gol-6-100</t>
        </is>
      </c>
      <c r="E1224" s="2" t="inlineStr">
        <is>
          <t>2039800758666</t>
        </is>
      </c>
      <c r="F1224" s="2">
        <v>0</v>
      </c>
      <c r="G1224" s="2">
        <v>0</v>
      </c>
      <c r="H1224" s="2" t="inlineStr">
        <is>
          <t/>
        </is>
      </c>
      <c r="I1224" s="2" t="inlineStr">
        <is>
          <t>420</t>
        </is>
      </c>
      <c r="J1224" s="4"/>
      <c r="K1224" s="2">
        <v>0</v>
      </c>
      <c r="L1224" s="6"/>
      <c r="M1224" s="2" t="str">
        <f>IF(J1224="",ROUND(I1224*(1-IF(ISBLANK(L1224),K1224,L1224)/100),2),ROUND(J1224*(1-IF(ISBLANK(L1224),K1224,L1224)/100),2))</f>
      </c>
      <c r="N1224" s="7" t="str">
        <f>IF(NOT(AND(J1224="",L1224="")),IF(OR(AND(L1224&lt;&gt;"",NOT(ISNUMBER(L1224))),IFERROR(MOD(L1224,1),1)&gt;0,AND(ISNUMBER(L1224),OR(L1224&lt;0,L1224&gt;95))),"Введите целое число от 0 до 95",IF(OR(AND(J1224&lt;&gt;"",NOT(ISNUMBER(J1224))),IFERROR(MOD(J1224,1),1)&gt;0,AND(ISNUMBER(J1224),OR(J1224&lt;50,J1224&gt;20000000))),"Введите целое число от 50 до 20000000",IF(NOT(ABS(IFERROR(VALUE(LEFT(M1224,FIND("-",M1224)-1)),M1224)*100-(5000+2000000000)/2)&lt;=ABS(5000-2000000000)/2),"Цена со скидкой должна быть от 50 до 20000000",IF(IFERROR(VALUE(LEFT(M1224,FIND("-",M1224)-1)),M1224)*190&lt;42000,"Вы уменьшили цену в несколько раз, товар попадет в карантин цен","")))),"")</f>
      </c>
    </row>
    <row r="1225">
      <c r="A1225" s="2" t="inlineStr">
        <is>
          <t>CuteShop</t>
        </is>
      </c>
      <c r="B1225" s="2" t="inlineStr">
        <is>
          <t>Держатели для пустышек</t>
        </is>
      </c>
      <c r="C1225" s="2">
        <v>103977999</v>
      </c>
      <c r="D1225" s="2" t="inlineStr">
        <is>
          <t>VikaBG2</t>
        </is>
      </c>
      <c r="E1225" s="2" t="inlineStr">
        <is>
          <t>2036864208588</t>
        </is>
      </c>
      <c r="F1225" s="2">
        <v>0</v>
      </c>
      <c r="G1225" s="2">
        <v>1</v>
      </c>
      <c r="H1225" s="2" t="inlineStr">
        <is>
          <t/>
        </is>
      </c>
      <c r="I1225" s="2" t="inlineStr">
        <is>
          <t>790</t>
        </is>
      </c>
      <c r="J1225" s="4"/>
      <c r="K1225" s="2">
        <v>10</v>
      </c>
      <c r="L1225" s="6"/>
      <c r="M1225" s="2" t="str">
        <f>IF(J1225="",ROUND(I1225*(1-IF(ISBLANK(L1225),K1225,L1225)/100),2),ROUND(J1225*(1-IF(ISBLANK(L1225),K1225,L1225)/100),2))</f>
      </c>
      <c r="N1225" s="7" t="str">
        <f>IF(NOT(AND(J1225="",L1225="")),IF(OR(AND(L1225&lt;&gt;"",NOT(ISNUMBER(L1225))),IFERROR(MOD(L1225,1),1)&gt;0,AND(ISNUMBER(L1225),OR(L1225&lt;0,L1225&gt;95))),"Введите целое число от 0 до 95",IF(OR(AND(J1225&lt;&gt;"",NOT(ISNUMBER(J1225))),IFERROR(MOD(J1225,1),1)&gt;0,AND(ISNUMBER(J1225),OR(J1225&lt;50,J1225&gt;20000000))),"Введите целое число от 50 до 20000000",IF(NOT(ABS(IFERROR(VALUE(LEFT(M1225,FIND("-",M1225)-1)),M1225)*100-(5000+2000000000)/2)&lt;=ABS(5000-2000000000)/2),"Цена со скидкой должна быть от 50 до 20000000",IF(IFERROR(VALUE(LEFT(M1225,FIND("-",M1225)-1)),M1225)*229&lt;71100,"Вы уменьшили цену в несколько раз, товар попадет в карантин цен","")))),"")</f>
      </c>
    </row>
    <row r="1226">
      <c r="A1226" s="2" t="inlineStr">
        <is>
          <t>CuteShop</t>
        </is>
      </c>
      <c r="B1226" s="2" t="inlineStr">
        <is>
          <t>Держатели для пустышек</t>
        </is>
      </c>
      <c r="C1226" s="2">
        <v>103978002</v>
      </c>
      <c r="D1226" s="2" t="inlineStr">
        <is>
          <t>VikaSlon1</t>
        </is>
      </c>
      <c r="E1226" s="2" t="inlineStr">
        <is>
          <t>2036864208892</t>
        </is>
      </c>
      <c r="F1226" s="2">
        <v>0</v>
      </c>
      <c r="G1226" s="2">
        <v>1</v>
      </c>
      <c r="H1226" s="2">
        <v>0</v>
      </c>
      <c r="I1226" s="2" t="inlineStr">
        <is>
          <t>1030</t>
        </is>
      </c>
      <c r="J1226" s="4"/>
      <c r="K1226" s="2">
        <v>10</v>
      </c>
      <c r="L1226" s="6"/>
      <c r="M1226" s="2" t="str">
        <f>IF(J1226="",ROUND(I1226*(1-IF(ISBLANK(L1226),K1226,L1226)/100),2),ROUND(J1226*(1-IF(ISBLANK(L1226),K1226,L1226)/100),2))</f>
      </c>
      <c r="N1226" s="7" t="str">
        <f>IF(NOT(AND(J1226="",L1226="")),IF(OR(AND(L1226&lt;&gt;"",NOT(ISNUMBER(L1226))),IFERROR(MOD(L1226,1),1)&gt;0,AND(ISNUMBER(L1226),OR(L1226&lt;0,L1226&gt;95))),"Введите целое число от 0 до 95",IF(OR(AND(J1226&lt;&gt;"",NOT(ISNUMBER(J1226))),IFERROR(MOD(J1226,1),1)&gt;0,AND(ISNUMBER(J1226),OR(J1226&lt;50,J1226&gt;20000000))),"Введите целое число от 50 до 20000000",IF(NOT(ABS(IFERROR(VALUE(LEFT(M1226,FIND("-",M1226)-1)),M1226)*100-(5000+2000000000)/2)&lt;=ABS(5000-2000000000)/2),"Цена со скидкой должна быть от 50 до 20000000",IF(IFERROR(VALUE(LEFT(M1226,FIND("-",M1226)-1)),M1226)*229&lt;92700,"Вы уменьшили цену в несколько раз, товар попадет в карантин цен","")))),"")</f>
      </c>
    </row>
    <row r="1227">
      <c r="A1227" s="2" t="inlineStr">
        <is>
          <t>CuteShop</t>
        </is>
      </c>
      <c r="B1227" s="2" t="inlineStr">
        <is>
          <t>Бусины</t>
        </is>
      </c>
      <c r="C1227" s="2">
        <v>151977826</v>
      </c>
      <c r="D1227" s="2" t="inlineStr">
        <is>
          <t>Bus-akril-8mm-krasn-500</t>
        </is>
      </c>
      <c r="E1227" s="2" t="inlineStr">
        <is>
          <t>2037608065337</t>
        </is>
      </c>
      <c r="F1227" s="2">
        <v>0</v>
      </c>
      <c r="G1227" s="2">
        <v>0</v>
      </c>
      <c r="H1227" s="2" t="inlineStr">
        <is>
          <t/>
        </is>
      </c>
      <c r="I1227" s="2" t="inlineStr">
        <is>
          <t>620</t>
        </is>
      </c>
      <c r="J1227" s="4"/>
      <c r="K1227" s="2">
        <v>0</v>
      </c>
      <c r="L1227" s="6"/>
      <c r="M1227" s="2" t="str">
        <f>IF(J1227="",ROUND(I1227*(1-IF(ISBLANK(L1227),K1227,L1227)/100),2),ROUND(J1227*(1-IF(ISBLANK(L1227),K1227,L1227)/100),2))</f>
      </c>
      <c r="N1227" s="7" t="str">
        <f>IF(NOT(AND(J1227="",L1227="")),IF(OR(AND(L1227&lt;&gt;"",NOT(ISNUMBER(L1227))),IFERROR(MOD(L1227,1),1)&gt;0,AND(ISNUMBER(L1227),OR(L1227&lt;0,L1227&gt;95))),"Введите целое число от 0 до 95",IF(OR(AND(J1227&lt;&gt;"",NOT(ISNUMBER(J1227))),IFERROR(MOD(J1227,1),1)&gt;0,AND(ISNUMBER(J1227),OR(J1227&lt;50,J1227&gt;20000000))),"Введите целое число от 50 до 20000000",IF(NOT(ABS(IFERROR(VALUE(LEFT(M1227,FIND("-",M1227)-1)),M1227)*100-(5000+2000000000)/2)&lt;=ABS(5000-2000000000)/2),"Цена со скидкой должна быть от 50 до 20000000",IF(IFERROR(VALUE(LEFT(M1227,FIND("-",M1227)-1)),M1227)*190&lt;62000,"Вы уменьшили цену в несколько раз, товар попадет в карантин цен","")))),"")</f>
      </c>
    </row>
    <row r="1228">
      <c r="A1228" s="2" t="inlineStr">
        <is>
          <t>CuteShop</t>
        </is>
      </c>
      <c r="B1228" s="2" t="inlineStr">
        <is>
          <t>Держатели для пустышек</t>
        </is>
      </c>
      <c r="C1228" s="2">
        <v>87458138</v>
      </c>
      <c r="D1228" s="2" t="inlineStr">
        <is>
          <t>LizaMish2</t>
        </is>
      </c>
      <c r="E1228" s="2" t="inlineStr">
        <is>
          <t>2034789558627</t>
        </is>
      </c>
      <c r="F1228" s="2">
        <v>0</v>
      </c>
      <c r="G1228" s="2">
        <v>0</v>
      </c>
      <c r="H1228" s="2">
        <v>0</v>
      </c>
      <c r="I1228" s="2" t="inlineStr">
        <is>
          <t>1030</t>
        </is>
      </c>
      <c r="J1228" s="4"/>
      <c r="K1228" s="2">
        <v>10</v>
      </c>
      <c r="L1228" s="6"/>
      <c r="M1228" s="2" t="str">
        <f>IF(J1228="",ROUND(I1228*(1-IF(ISBLANK(L1228),K1228,L1228)/100),2),ROUND(J1228*(1-IF(ISBLANK(L1228),K1228,L1228)/100),2))</f>
      </c>
      <c r="N1228" s="7" t="str">
        <f>IF(NOT(AND(J1228="",L1228="")),IF(OR(AND(L1228&lt;&gt;"",NOT(ISNUMBER(L1228))),IFERROR(MOD(L1228,1),1)&gt;0,AND(ISNUMBER(L1228),OR(L1228&lt;0,L1228&gt;95))),"Введите целое число от 0 до 95",IF(OR(AND(J1228&lt;&gt;"",NOT(ISNUMBER(J1228))),IFERROR(MOD(J1228,1),1)&gt;0,AND(ISNUMBER(J1228),OR(J1228&lt;50,J1228&gt;20000000))),"Введите целое число от 50 до 20000000",IF(NOT(ABS(IFERROR(VALUE(LEFT(M1228,FIND("-",M1228)-1)),M1228)*100-(5000+2000000000)/2)&lt;=ABS(5000-2000000000)/2),"Цена со скидкой должна быть от 50 до 20000000",IF(IFERROR(VALUE(LEFT(M1228,FIND("-",M1228)-1)),M1228)*229&lt;92700,"Вы уменьшили цену в несколько раз, товар попадет в карантин цен","")))),"")</f>
      </c>
    </row>
    <row r="1229">
      <c r="A1229" s="2" t="inlineStr">
        <is>
          <t>CuteShop</t>
        </is>
      </c>
      <c r="B1229" s="2" t="inlineStr">
        <is>
          <t>Бусины</t>
        </is>
      </c>
      <c r="C1229" s="2">
        <v>222442846</v>
      </c>
      <c r="D1229" s="2" t="inlineStr">
        <is>
          <t>Rond-Raduzh-8-50</t>
        </is>
      </c>
      <c r="E1229" s="2" t="inlineStr">
        <is>
          <t>2039791526930</t>
        </is>
      </c>
      <c r="F1229" s="2">
        <v>0</v>
      </c>
      <c r="G1229" s="2">
        <v>0</v>
      </c>
      <c r="H1229" s="2" t="inlineStr">
        <is>
          <t/>
        </is>
      </c>
      <c r="I1229" s="2" t="inlineStr">
        <is>
          <t>300</t>
        </is>
      </c>
      <c r="J1229" s="4"/>
      <c r="K1229" s="2">
        <v>0</v>
      </c>
      <c r="L1229" s="6"/>
      <c r="M1229" s="2" t="str">
        <f>IF(J1229="",ROUND(I1229*(1-IF(ISBLANK(L1229),K1229,L1229)/100),2),ROUND(J1229*(1-IF(ISBLANK(L1229),K1229,L1229)/100),2))</f>
      </c>
      <c r="N1229" s="7" t="str">
        <f>IF(NOT(AND(J1229="",L1229="")),IF(OR(AND(L1229&lt;&gt;"",NOT(ISNUMBER(L1229))),IFERROR(MOD(L1229,1),1)&gt;0,AND(ISNUMBER(L1229),OR(L1229&lt;0,L1229&gt;95))),"Введите целое число от 0 до 95",IF(OR(AND(J1229&lt;&gt;"",NOT(ISNUMBER(J1229))),IFERROR(MOD(J1229,1),1)&gt;0,AND(ISNUMBER(J1229),OR(J1229&lt;50,J1229&gt;20000000))),"Введите целое число от 50 до 20000000",IF(NOT(ABS(IFERROR(VALUE(LEFT(M1229,FIND("-",M1229)-1)),M1229)*100-(5000+2000000000)/2)&lt;=ABS(5000-2000000000)/2),"Цена со скидкой должна быть от 50 до 20000000",IF(IFERROR(VALUE(LEFT(M1229,FIND("-",M1229)-1)),M1229)*190&lt;30000,"Вы уменьшили цену в несколько раз, товар попадет в карантин цен","")))),"")</f>
      </c>
    </row>
    <row r="1230">
      <c r="A1230" s="2" t="inlineStr">
        <is>
          <t>CuteShop</t>
        </is>
      </c>
      <c r="B1230" s="2" t="inlineStr">
        <is>
          <t>Держатели для пустышек</t>
        </is>
      </c>
      <c r="C1230" s="2">
        <v>87712327</v>
      </c>
      <c r="D1230" s="2" t="inlineStr">
        <is>
          <t>MakarBG</t>
        </is>
      </c>
      <c r="E1230" s="2" t="inlineStr">
        <is>
          <t>2034890617626</t>
        </is>
      </c>
      <c r="F1230" s="2">
        <v>0</v>
      </c>
      <c r="G1230" s="2">
        <v>1</v>
      </c>
      <c r="H1230" s="2">
        <v>1</v>
      </c>
      <c r="I1230" s="2" t="inlineStr">
        <is>
          <t>790</t>
        </is>
      </c>
      <c r="J1230" s="4"/>
      <c r="K1230" s="2">
        <v>10</v>
      </c>
      <c r="L1230" s="6"/>
      <c r="M1230" s="2" t="str">
        <f>IF(J1230="",ROUND(I1230*(1-IF(ISBLANK(L1230),K1230,L1230)/100),2),ROUND(J1230*(1-IF(ISBLANK(L1230),K1230,L1230)/100),2))</f>
      </c>
      <c r="N1230" s="7" t="str">
        <f>IF(NOT(AND(J1230="",L1230="")),IF(OR(AND(L1230&lt;&gt;"",NOT(ISNUMBER(L1230))),IFERROR(MOD(L1230,1),1)&gt;0,AND(ISNUMBER(L1230),OR(L1230&lt;0,L1230&gt;95))),"Введите целое число от 0 до 95",IF(OR(AND(J1230&lt;&gt;"",NOT(ISNUMBER(J1230))),IFERROR(MOD(J1230,1),1)&gt;0,AND(ISNUMBER(J1230),OR(J1230&lt;50,J1230&gt;20000000))),"Введите целое число от 50 до 20000000",IF(NOT(ABS(IFERROR(VALUE(LEFT(M1230,FIND("-",M1230)-1)),M1230)*100-(5000+2000000000)/2)&lt;=ABS(5000-2000000000)/2),"Цена со скидкой должна быть от 50 до 20000000",IF(IFERROR(VALUE(LEFT(M1230,FIND("-",M1230)-1)),M1230)*229&lt;71100,"Вы уменьшили цену в несколько раз, товар попадет в карантин цен","")))),"")</f>
      </c>
    </row>
    <row r="1231">
      <c r="A1231" s="2" t="inlineStr">
        <is>
          <t>CuteShop</t>
        </is>
      </c>
      <c r="B1231" s="2" t="inlineStr">
        <is>
          <t>Бусины</t>
        </is>
      </c>
      <c r="C1231" s="2">
        <v>222442847</v>
      </c>
      <c r="D1231" s="2" t="inlineStr">
        <is>
          <t>Rond-Prozr-8-50</t>
        </is>
      </c>
      <c r="E1231" s="2" t="inlineStr">
        <is>
          <t>2039791530364</t>
        </is>
      </c>
      <c r="F1231" s="2">
        <v>0</v>
      </c>
      <c r="G1231" s="2">
        <v>0</v>
      </c>
      <c r="H1231" s="2" t="inlineStr">
        <is>
          <t/>
        </is>
      </c>
      <c r="I1231" s="2" t="inlineStr">
        <is>
          <t>300</t>
        </is>
      </c>
      <c r="J1231" s="4"/>
      <c r="K1231" s="2">
        <v>0</v>
      </c>
      <c r="L1231" s="6"/>
      <c r="M1231" s="2" t="str">
        <f>IF(J1231="",ROUND(I1231*(1-IF(ISBLANK(L1231),K1231,L1231)/100),2),ROUND(J1231*(1-IF(ISBLANK(L1231),K1231,L1231)/100),2))</f>
      </c>
      <c r="N1231" s="7" t="str">
        <f>IF(NOT(AND(J1231="",L1231="")),IF(OR(AND(L1231&lt;&gt;"",NOT(ISNUMBER(L1231))),IFERROR(MOD(L1231,1),1)&gt;0,AND(ISNUMBER(L1231),OR(L1231&lt;0,L1231&gt;95))),"Введите целое число от 0 до 95",IF(OR(AND(J1231&lt;&gt;"",NOT(ISNUMBER(J1231))),IFERROR(MOD(J1231,1),1)&gt;0,AND(ISNUMBER(J1231),OR(J1231&lt;50,J1231&gt;20000000))),"Введите целое число от 50 до 20000000",IF(NOT(ABS(IFERROR(VALUE(LEFT(M1231,FIND("-",M1231)-1)),M1231)*100-(5000+2000000000)/2)&lt;=ABS(5000-2000000000)/2),"Цена со скидкой должна быть от 50 до 20000000",IF(IFERROR(VALUE(LEFT(M1231,FIND("-",M1231)-1)),M1231)*190&lt;30000,"Вы уменьшили цену в несколько раз, товар попадет в карантин цен","")))),"")</f>
      </c>
    </row>
    <row r="1232">
      <c r="A1232" s="2" t="inlineStr">
        <is>
          <t>CuteShop</t>
        </is>
      </c>
      <c r="B1232" s="2" t="inlineStr">
        <is>
          <t>Бусины</t>
        </is>
      </c>
      <c r="C1232" s="2">
        <v>222443216</v>
      </c>
      <c r="D1232" s="2" t="inlineStr">
        <is>
          <t>Rond-Izumrud-8-40</t>
        </is>
      </c>
      <c r="E1232" s="2" t="inlineStr">
        <is>
          <t>2039791541445</t>
        </is>
      </c>
      <c r="F1232" s="2">
        <v>0</v>
      </c>
      <c r="G1232" s="2">
        <v>0</v>
      </c>
      <c r="H1232" s="2" t="inlineStr">
        <is>
          <t/>
        </is>
      </c>
      <c r="I1232" s="2" t="inlineStr">
        <is>
          <t>300</t>
        </is>
      </c>
      <c r="J1232" s="4"/>
      <c r="K1232" s="2">
        <v>0</v>
      </c>
      <c r="L1232" s="6"/>
      <c r="M1232" s="2" t="str">
        <f>IF(J1232="",ROUND(I1232*(1-IF(ISBLANK(L1232),K1232,L1232)/100),2),ROUND(J1232*(1-IF(ISBLANK(L1232),K1232,L1232)/100),2))</f>
      </c>
      <c r="N1232" s="7" t="str">
        <f>IF(NOT(AND(J1232="",L1232="")),IF(OR(AND(L1232&lt;&gt;"",NOT(ISNUMBER(L1232))),IFERROR(MOD(L1232,1),1)&gt;0,AND(ISNUMBER(L1232),OR(L1232&lt;0,L1232&gt;95))),"Введите целое число от 0 до 95",IF(OR(AND(J1232&lt;&gt;"",NOT(ISNUMBER(J1232))),IFERROR(MOD(J1232,1),1)&gt;0,AND(ISNUMBER(J1232),OR(J1232&lt;50,J1232&gt;20000000))),"Введите целое число от 50 до 20000000",IF(NOT(ABS(IFERROR(VALUE(LEFT(M1232,FIND("-",M1232)-1)),M1232)*100-(5000+2000000000)/2)&lt;=ABS(5000-2000000000)/2),"Цена со скидкой должна быть от 50 до 20000000",IF(IFERROR(VALUE(LEFT(M1232,FIND("-",M1232)-1)),M1232)*190&lt;30000,"Вы уменьшили цену в несколько раз, товар попадет в карантин цен","")))),"")</f>
      </c>
    </row>
    <row r="1233">
      <c r="A1233" s="2" t="inlineStr">
        <is>
          <t>CuteShop</t>
        </is>
      </c>
      <c r="B1233" s="2" t="inlineStr">
        <is>
          <t>Держатели для пустышек</t>
        </is>
      </c>
      <c r="C1233" s="2">
        <v>87688468</v>
      </c>
      <c r="D1233" s="2" t="inlineStr">
        <is>
          <t>MilanaOlen</t>
        </is>
      </c>
      <c r="E1233" s="2" t="inlineStr">
        <is>
          <t>2034883635620</t>
        </is>
      </c>
      <c r="F1233" s="2">
        <v>0</v>
      </c>
      <c r="G1233" s="2">
        <v>0</v>
      </c>
      <c r="H1233" s="2">
        <v>0</v>
      </c>
      <c r="I1233" s="2" t="inlineStr">
        <is>
          <t>1030</t>
        </is>
      </c>
      <c r="J1233" s="4"/>
      <c r="K1233" s="2">
        <v>10</v>
      </c>
      <c r="L1233" s="6"/>
      <c r="M1233" s="2" t="str">
        <f>IF(J1233="",ROUND(I1233*(1-IF(ISBLANK(L1233),K1233,L1233)/100),2),ROUND(J1233*(1-IF(ISBLANK(L1233),K1233,L1233)/100),2))</f>
      </c>
      <c r="N1233" s="7" t="str">
        <f>IF(NOT(AND(J1233="",L1233="")),IF(OR(AND(L1233&lt;&gt;"",NOT(ISNUMBER(L1233))),IFERROR(MOD(L1233,1),1)&gt;0,AND(ISNUMBER(L1233),OR(L1233&lt;0,L1233&gt;95))),"Введите целое число от 0 до 95",IF(OR(AND(J1233&lt;&gt;"",NOT(ISNUMBER(J1233))),IFERROR(MOD(J1233,1),1)&gt;0,AND(ISNUMBER(J1233),OR(J1233&lt;50,J1233&gt;20000000))),"Введите целое число от 50 до 20000000",IF(NOT(ABS(IFERROR(VALUE(LEFT(M1233,FIND("-",M1233)-1)),M1233)*100-(5000+2000000000)/2)&lt;=ABS(5000-2000000000)/2),"Цена со скидкой должна быть от 50 до 20000000",IF(IFERROR(VALUE(LEFT(M1233,FIND("-",M1233)-1)),M1233)*229&lt;92700,"Вы уменьшили цену в несколько раз, товар попадет в карантин цен","")))),"")</f>
      </c>
    </row>
    <row r="1234">
      <c r="A1234" s="2" t="inlineStr">
        <is>
          <t>CuteShop</t>
        </is>
      </c>
      <c r="B1234" s="2" t="inlineStr">
        <is>
          <t>Бусины</t>
        </is>
      </c>
      <c r="C1234" s="2">
        <v>222441719</v>
      </c>
      <c r="D1234" s="2" t="inlineStr">
        <is>
          <t>Rond-Gol-8-50</t>
        </is>
      </c>
      <c r="E1234" s="2" t="inlineStr">
        <is>
          <t>2039791497322</t>
        </is>
      </c>
      <c r="F1234" s="2">
        <v>0</v>
      </c>
      <c r="G1234" s="2">
        <v>0</v>
      </c>
      <c r="H1234" s="2" t="inlineStr">
        <is>
          <t/>
        </is>
      </c>
      <c r="I1234" s="2" t="inlineStr">
        <is>
          <t>300</t>
        </is>
      </c>
      <c r="J1234" s="4"/>
      <c r="K1234" s="2">
        <v>0</v>
      </c>
      <c r="L1234" s="6"/>
      <c r="M1234" s="2" t="str">
        <f>IF(J1234="",ROUND(I1234*(1-IF(ISBLANK(L1234),K1234,L1234)/100),2),ROUND(J1234*(1-IF(ISBLANK(L1234),K1234,L1234)/100),2))</f>
      </c>
      <c r="N1234" s="7" t="str">
        <f>IF(NOT(AND(J1234="",L1234="")),IF(OR(AND(L1234&lt;&gt;"",NOT(ISNUMBER(L1234))),IFERROR(MOD(L1234,1),1)&gt;0,AND(ISNUMBER(L1234),OR(L1234&lt;0,L1234&gt;95))),"Введите целое число от 0 до 95",IF(OR(AND(J1234&lt;&gt;"",NOT(ISNUMBER(J1234))),IFERROR(MOD(J1234,1),1)&gt;0,AND(ISNUMBER(J1234),OR(J1234&lt;50,J1234&gt;20000000))),"Введите целое число от 50 до 20000000",IF(NOT(ABS(IFERROR(VALUE(LEFT(M1234,FIND("-",M1234)-1)),M1234)*100-(5000+2000000000)/2)&lt;=ABS(5000-2000000000)/2),"Цена со скидкой должна быть от 50 до 20000000",IF(IFERROR(VALUE(LEFT(M1234,FIND("-",M1234)-1)),M1234)*190&lt;30000,"Вы уменьшили цену в несколько раз, товар попадет в карантин цен","")))),"")</f>
      </c>
    </row>
    <row r="1235">
      <c r="A1235" s="2" t="inlineStr">
        <is>
          <t>CuteShop</t>
        </is>
      </c>
      <c r="B1235" s="2" t="inlineStr">
        <is>
          <t>Бусины</t>
        </is>
      </c>
      <c r="C1235" s="2">
        <v>226580401</v>
      </c>
      <c r="D1235" s="2" t="inlineStr">
        <is>
          <t>Rond-Raduzh-8-45</t>
        </is>
      </c>
      <c r="E1235" s="2" t="inlineStr">
        <is>
          <t>2039885141049</t>
        </is>
      </c>
      <c r="F1235" s="2">
        <v>0</v>
      </c>
      <c r="G1235" s="2">
        <v>0</v>
      </c>
      <c r="H1235" s="2" t="inlineStr">
        <is>
          <t/>
        </is>
      </c>
      <c r="I1235" s="2" t="inlineStr">
        <is>
          <t>300</t>
        </is>
      </c>
      <c r="J1235" s="4"/>
      <c r="K1235" s="2">
        <v>0</v>
      </c>
      <c r="L1235" s="6"/>
      <c r="M1235" s="2" t="str">
        <f>IF(J1235="",ROUND(I1235*(1-IF(ISBLANK(L1235),K1235,L1235)/100),2),ROUND(J1235*(1-IF(ISBLANK(L1235),K1235,L1235)/100),2))</f>
      </c>
      <c r="N1235" s="7" t="str">
        <f>IF(NOT(AND(J1235="",L1235="")),IF(OR(AND(L1235&lt;&gt;"",NOT(ISNUMBER(L1235))),IFERROR(MOD(L1235,1),1)&gt;0,AND(ISNUMBER(L1235),OR(L1235&lt;0,L1235&gt;95))),"Введите целое число от 0 до 95",IF(OR(AND(J1235&lt;&gt;"",NOT(ISNUMBER(J1235))),IFERROR(MOD(J1235,1),1)&gt;0,AND(ISNUMBER(J1235),OR(J1235&lt;50,J1235&gt;20000000))),"Введите целое число от 50 до 20000000",IF(NOT(ABS(IFERROR(VALUE(LEFT(M1235,FIND("-",M1235)-1)),M1235)*100-(5000+2000000000)/2)&lt;=ABS(5000-2000000000)/2),"Цена со скидкой должна быть от 50 до 20000000",IF(IFERROR(VALUE(LEFT(M1235,FIND("-",M1235)-1)),M1235)*190&lt;30000,"Вы уменьшили цену в несколько раз, товар попадет в карантин цен","")))),"")</f>
      </c>
    </row>
    <row r="1236">
      <c r="A1236" s="2" t="inlineStr">
        <is>
          <t>CuteShop</t>
        </is>
      </c>
      <c r="B1236" s="2" t="inlineStr">
        <is>
          <t>Аксессуары для рукоделия</t>
        </is>
      </c>
      <c r="C1236" s="2">
        <v>136525559</v>
      </c>
      <c r="D1236" s="2" t="inlineStr">
        <is>
          <t>Kab-Mix7</t>
        </is>
      </c>
      <c r="E1236" s="2" t="inlineStr">
        <is>
          <t>2037188096448</t>
        </is>
      </c>
      <c r="F1236" s="2">
        <v>0</v>
      </c>
      <c r="G1236" s="2">
        <v>0</v>
      </c>
      <c r="H1236" s="2" t="inlineStr">
        <is>
          <t/>
        </is>
      </c>
      <c r="I1236" s="2" t="inlineStr">
        <is>
          <t>380</t>
        </is>
      </c>
      <c r="J1236" s="4"/>
      <c r="K1236" s="2">
        <v>5</v>
      </c>
      <c r="L1236" s="6"/>
      <c r="M1236" s="2" t="str">
        <f>IF(J1236="",ROUND(I1236*(1-IF(ISBLANK(L1236),K1236,L1236)/100),2),ROUND(J1236*(1-IF(ISBLANK(L1236),K1236,L1236)/100),2))</f>
      </c>
      <c r="N1236" s="7" t="str">
        <f>IF(NOT(AND(J1236="",L1236="")),IF(OR(AND(L1236&lt;&gt;"",NOT(ISNUMBER(L1236))),IFERROR(MOD(L1236,1),1)&gt;0,AND(ISNUMBER(L1236),OR(L1236&lt;0,L1236&gt;95))),"Введите целое число от 0 до 95",IF(OR(AND(J1236&lt;&gt;"",NOT(ISNUMBER(J1236))),IFERROR(MOD(J1236,1),1)&gt;0,AND(ISNUMBER(J1236),OR(J1236&lt;50,J1236&gt;20000000))),"Введите целое число от 50 до 20000000",IF(NOT(ABS(IFERROR(VALUE(LEFT(M1236,FIND("-",M1236)-1)),M1236)*100-(5000+2000000000)/2)&lt;=ABS(5000-2000000000)/2),"Цена со скидкой должна быть от 50 до 20000000",IF(IFERROR(VALUE(LEFT(M1236,FIND("-",M1236)-1)),M1236)*190&lt;36100,"Вы уменьшили цену в несколько раз, товар попадет в карантин цен","")))),"")</f>
      </c>
    </row>
    <row r="1237">
      <c r="A1237" s="2" t="inlineStr">
        <is>
          <t/>
        </is>
      </c>
      <c r="B1237" s="2" t="inlineStr">
        <is>
          <t>Ленты для рукоделия</t>
        </is>
      </c>
      <c r="C1237" s="2">
        <v>218280444</v>
      </c>
      <c r="D1237" s="2" t="inlineStr">
        <is>
          <t>Lenta-Rep4-nabor4-32,25</t>
        </is>
      </c>
      <c r="E1237" s="2" t="inlineStr">
        <is>
          <t>2039684092115</t>
        </is>
      </c>
      <c r="F1237" s="2">
        <v>0</v>
      </c>
      <c r="G1237" s="2">
        <v>0</v>
      </c>
      <c r="H1237" s="2" t="inlineStr">
        <is>
          <t/>
        </is>
      </c>
      <c r="I1237" s="2" t="inlineStr">
        <is>
          <t>600</t>
        </is>
      </c>
      <c r="J1237" s="4"/>
      <c r="K1237" s="2">
        <v>0</v>
      </c>
      <c r="L1237" s="6"/>
      <c r="M1237" s="2" t="str">
        <f>IF(J1237="",ROUND(I1237*(1-IF(ISBLANK(L1237),K1237,L1237)/100),2),ROUND(J1237*(1-IF(ISBLANK(L1237),K1237,L1237)/100),2))</f>
      </c>
      <c r="N1237" s="7" t="str">
        <f>IF(NOT(AND(J1237="",L1237="")),IF(OR(AND(L1237&lt;&gt;"",NOT(ISNUMBER(L1237))),IFERROR(MOD(L1237,1),1)&gt;0,AND(ISNUMBER(L1237),OR(L1237&lt;0,L1237&gt;95))),"Введите целое число от 0 до 95",IF(OR(AND(J1237&lt;&gt;"",NOT(ISNUMBER(J1237))),IFERROR(MOD(J1237,1),1)&gt;0,AND(ISNUMBER(J1237),OR(J1237&lt;50,J1237&gt;20000000))),"Введите целое число от 50 до 20000000",IF(NOT(ABS(IFERROR(VALUE(LEFT(M1237,FIND("-",M1237)-1)),M1237)*100-(5000+2000000000)/2)&lt;=ABS(5000-2000000000)/2),"Цена со скидкой должна быть от 50 до 20000000",IF(IFERROR(VALUE(LEFT(M1237,FIND("-",M1237)-1)),M1237)*190&lt;60000,"Вы уменьшили цену в несколько раз, товар попадет в карантин цен","")))),"")</f>
      </c>
    </row>
    <row r="1238">
      <c r="A1238" s="2" t="inlineStr">
        <is>
          <t>CuteShop</t>
        </is>
      </c>
      <c r="B1238" s="2" t="inlineStr">
        <is>
          <t>Ленты для рукоделия</t>
        </is>
      </c>
      <c r="C1238" s="2">
        <v>225412622</v>
      </c>
      <c r="D1238" s="2" t="inlineStr">
        <is>
          <t>Lenta-Georg-10</t>
        </is>
      </c>
      <c r="E1238" s="2" t="inlineStr">
        <is>
          <t>2039858983577</t>
        </is>
      </c>
      <c r="F1238" s="2">
        <v>0</v>
      </c>
      <c r="G1238" s="2">
        <v>0</v>
      </c>
      <c r="H1238" s="2" t="inlineStr">
        <is>
          <t/>
        </is>
      </c>
      <c r="I1238" s="2" t="inlineStr">
        <is>
          <t>430</t>
        </is>
      </c>
      <c r="J1238" s="4"/>
      <c r="K1238" s="2">
        <v>10</v>
      </c>
      <c r="L1238" s="6"/>
      <c r="M1238" s="2" t="str">
        <f>IF(J1238="",ROUND(I1238*(1-IF(ISBLANK(L1238),K1238,L1238)/100),2),ROUND(J1238*(1-IF(ISBLANK(L1238),K1238,L1238)/100),2))</f>
      </c>
      <c r="N1238" s="7" t="str">
        <f>IF(NOT(AND(J1238="",L1238="")),IF(OR(AND(L1238&lt;&gt;"",NOT(ISNUMBER(L1238))),IFERROR(MOD(L1238,1),1)&gt;0,AND(ISNUMBER(L1238),OR(L1238&lt;0,L1238&gt;95))),"Введите целое число от 0 до 95",IF(OR(AND(J1238&lt;&gt;"",NOT(ISNUMBER(J1238))),IFERROR(MOD(J1238,1),1)&gt;0,AND(ISNUMBER(J1238),OR(J1238&lt;50,J1238&gt;20000000))),"Введите целое число от 50 до 20000000",IF(NOT(ABS(IFERROR(VALUE(LEFT(M1238,FIND("-",M1238)-1)),M1238)*100-(5000+2000000000)/2)&lt;=ABS(5000-2000000000)/2),"Цена со скидкой должна быть от 50 до 20000000",IF(IFERROR(VALUE(LEFT(M1238,FIND("-",M1238)-1)),M1238)*190&lt;38700,"Вы уменьшили цену в несколько раз, товар попадет в карантин цен","")))),"")</f>
      </c>
    </row>
    <row r="1239">
      <c r="A1239" s="2" t="inlineStr">
        <is>
          <t>CuteShop</t>
        </is>
      </c>
      <c r="B1239" s="2" t="inlineStr">
        <is>
          <t>Ленты для рукоделия</t>
        </is>
      </c>
      <c r="C1239" s="2">
        <v>282384366</v>
      </c>
      <c r="D1239" s="2" t="inlineStr">
        <is>
          <t>Lenta-Rep-Snezh-Gol2-4.9</t>
        </is>
      </c>
      <c r="E1239" s="2" t="inlineStr">
        <is>
          <t>2041811674958</t>
        </is>
      </c>
      <c r="F1239" s="2">
        <v>0</v>
      </c>
      <c r="G1239" s="2">
        <v>0</v>
      </c>
      <c r="H1239" s="2" t="inlineStr">
        <is>
          <t/>
        </is>
      </c>
      <c r="I1239" s="2" t="inlineStr">
        <is>
          <t>310</t>
        </is>
      </c>
      <c r="J1239" s="4"/>
      <c r="K1239" s="2">
        <v>0</v>
      </c>
      <c r="L1239" s="6"/>
      <c r="M1239" s="2" t="str">
        <f>IF(J1239="",ROUND(I1239*(1-IF(ISBLANK(L1239),K1239,L1239)/100),2),ROUND(J1239*(1-IF(ISBLANK(L1239),K1239,L1239)/100),2))</f>
      </c>
      <c r="N1239" s="7" t="str">
        <f>IF(NOT(AND(J1239="",L1239="")),IF(OR(AND(L1239&lt;&gt;"",NOT(ISNUMBER(L1239))),IFERROR(MOD(L1239,1),1)&gt;0,AND(ISNUMBER(L1239),OR(L1239&lt;0,L1239&gt;95))),"Введите целое число от 0 до 95",IF(OR(AND(J1239&lt;&gt;"",NOT(ISNUMBER(J1239))),IFERROR(MOD(J1239,1),1)&gt;0,AND(ISNUMBER(J1239),OR(J1239&lt;50,J1239&gt;20000000))),"Введите целое число от 50 до 20000000",IF(NOT(ABS(IFERROR(VALUE(LEFT(M1239,FIND("-",M1239)-1)),M1239)*100-(5000+2000000000)/2)&lt;=ABS(5000-2000000000)/2),"Цена со скидкой должна быть от 50 до 20000000",IF(IFERROR(VALUE(LEFT(M1239,FIND("-",M1239)-1)),M1239)*190&lt;31000,"Вы уменьшили цену в несколько раз, товар попадет в карантин цен","")))),"")</f>
      </c>
    </row>
    <row r="1240">
      <c r="A1240" s="2" t="inlineStr">
        <is>
          <t>CuteShop</t>
        </is>
      </c>
      <c r="B1240" s="2" t="inlineStr">
        <is>
          <t>Ленты для рукоделия</t>
        </is>
      </c>
      <c r="C1240" s="2">
        <v>292121731</v>
      </c>
      <c r="D1240" s="2" t="inlineStr">
        <is>
          <t>Kruzhevo-Bel-4,5-9</t>
        </is>
      </c>
      <c r="E1240" s="2" t="inlineStr">
        <is>
          <t>2042036934285</t>
        </is>
      </c>
      <c r="F1240" s="2">
        <v>0</v>
      </c>
      <c r="G1240" s="2">
        <v>1</v>
      </c>
      <c r="H1240" s="2" t="inlineStr">
        <is>
          <t/>
        </is>
      </c>
      <c r="I1240" s="2" t="inlineStr">
        <is>
          <t>301</t>
        </is>
      </c>
      <c r="J1240" s="4"/>
      <c r="K1240" s="2">
        <v>10</v>
      </c>
      <c r="L1240" s="6"/>
      <c r="M1240" s="2" t="str">
        <f>IF(J1240="",ROUND(I1240*(1-IF(ISBLANK(L1240),K1240,L1240)/100),2),ROUND(J1240*(1-IF(ISBLANK(L1240),K1240,L1240)/100),2))</f>
      </c>
      <c r="N1240" s="7" t="str">
        <f>IF(NOT(AND(J1240="",L1240="")),IF(OR(AND(L1240&lt;&gt;"",NOT(ISNUMBER(L1240))),IFERROR(MOD(L1240,1),1)&gt;0,AND(ISNUMBER(L1240),OR(L1240&lt;0,L1240&gt;95))),"Введите целое число от 0 до 95",IF(OR(AND(J1240&lt;&gt;"",NOT(ISNUMBER(J1240))),IFERROR(MOD(J1240,1),1)&gt;0,AND(ISNUMBER(J1240),OR(J1240&lt;50,J1240&gt;20000000))),"Введите целое число от 50 до 20000000",IF(NOT(ABS(IFERROR(VALUE(LEFT(M1240,FIND("-",M1240)-1)),M1240)*100-(5000+2000000000)/2)&lt;=ABS(5000-2000000000)/2),"Цена со скидкой должна быть от 50 до 20000000",IF(IFERROR(VALUE(LEFT(M1240,FIND("-",M1240)-1)),M1240)*190&lt;27090,"Вы уменьшили цену в несколько раз, товар попадет в карантин цен","")))),"")</f>
      </c>
    </row>
    <row r="1241">
      <c r="A1241" s="2" t="inlineStr">
        <is>
          <t>CuteShop</t>
        </is>
      </c>
      <c r="B1241" s="2" t="inlineStr">
        <is>
          <t>Ленты для рукоделия</t>
        </is>
      </c>
      <c r="C1241" s="2">
        <v>292121732</v>
      </c>
      <c r="D1241" s="2" t="inlineStr">
        <is>
          <t>Kruzhevo-Bel-3,5-9</t>
        </is>
      </c>
      <c r="E1241" s="2" t="inlineStr">
        <is>
          <t>2042036934438</t>
        </is>
      </c>
      <c r="F1241" s="2">
        <v>0</v>
      </c>
      <c r="G1241" s="2">
        <v>0</v>
      </c>
      <c r="H1241" s="2" t="inlineStr">
        <is>
          <t/>
        </is>
      </c>
      <c r="I1241" s="2" t="inlineStr">
        <is>
          <t>301</t>
        </is>
      </c>
      <c r="J1241" s="4"/>
      <c r="K1241" s="2">
        <v>0</v>
      </c>
      <c r="L1241" s="6"/>
      <c r="M1241" s="2" t="str">
        <f>IF(J1241="",ROUND(I1241*(1-IF(ISBLANK(L1241),K1241,L1241)/100),2),ROUND(J1241*(1-IF(ISBLANK(L1241),K1241,L1241)/100),2))</f>
      </c>
      <c r="N1241" s="7" t="str">
        <f>IF(NOT(AND(J1241="",L1241="")),IF(OR(AND(L1241&lt;&gt;"",NOT(ISNUMBER(L1241))),IFERROR(MOD(L1241,1),1)&gt;0,AND(ISNUMBER(L1241),OR(L1241&lt;0,L1241&gt;95))),"Введите целое число от 0 до 95",IF(OR(AND(J1241&lt;&gt;"",NOT(ISNUMBER(J1241))),IFERROR(MOD(J1241,1),1)&gt;0,AND(ISNUMBER(J1241),OR(J1241&lt;50,J1241&gt;20000000))),"Введите целое число от 50 до 20000000",IF(NOT(ABS(IFERROR(VALUE(LEFT(M1241,FIND("-",M1241)-1)),M1241)*100-(5000+2000000000)/2)&lt;=ABS(5000-2000000000)/2),"Цена со скидкой должна быть от 50 до 20000000",IF(IFERROR(VALUE(LEFT(M1241,FIND("-",M1241)-1)),M1241)*190&lt;30100,"Вы уменьшили цену в несколько раз, товар попадет в карантин цен","")))),"")</f>
      </c>
    </row>
    <row r="1242">
      <c r="A1242" s="2" t="inlineStr">
        <is>
          <t>CuteShop</t>
        </is>
      </c>
      <c r="B1242" s="2" t="inlineStr">
        <is>
          <t>Ленты для рукоделия</t>
        </is>
      </c>
      <c r="C1242" s="2">
        <v>292121733</v>
      </c>
      <c r="D1242" s="2" t="inlineStr">
        <is>
          <t>Kruzhevo-Bel-2,3-9</t>
        </is>
      </c>
      <c r="E1242" s="2" t="inlineStr">
        <is>
          <t>2042036942457</t>
        </is>
      </c>
      <c r="F1242" s="2">
        <v>0</v>
      </c>
      <c r="G1242" s="2">
        <v>1</v>
      </c>
      <c r="H1242" s="2" t="inlineStr">
        <is>
          <t/>
        </is>
      </c>
      <c r="I1242" s="2" t="inlineStr">
        <is>
          <t>301</t>
        </is>
      </c>
      <c r="J1242" s="4"/>
      <c r="K1242" s="2">
        <v>10</v>
      </c>
      <c r="L1242" s="6"/>
      <c r="M1242" s="2" t="str">
        <f>IF(J1242="",ROUND(I1242*(1-IF(ISBLANK(L1242),K1242,L1242)/100),2),ROUND(J1242*(1-IF(ISBLANK(L1242),K1242,L1242)/100),2))</f>
      </c>
      <c r="N1242" s="7" t="str">
        <f>IF(NOT(AND(J1242="",L1242="")),IF(OR(AND(L1242&lt;&gt;"",NOT(ISNUMBER(L1242))),IFERROR(MOD(L1242,1),1)&gt;0,AND(ISNUMBER(L1242),OR(L1242&lt;0,L1242&gt;95))),"Введите целое число от 0 до 95",IF(OR(AND(J1242&lt;&gt;"",NOT(ISNUMBER(J1242))),IFERROR(MOD(J1242,1),1)&gt;0,AND(ISNUMBER(J1242),OR(J1242&lt;50,J1242&gt;20000000))),"Введите целое число от 50 до 20000000",IF(NOT(ABS(IFERROR(VALUE(LEFT(M1242,FIND("-",M1242)-1)),M1242)*100-(5000+2000000000)/2)&lt;=ABS(5000-2000000000)/2),"Цена со скидкой должна быть от 50 до 20000000",IF(IFERROR(VALUE(LEFT(M1242,FIND("-",M1242)-1)),M1242)*190&lt;27090,"Вы уменьшили цену в несколько раз, товар попадет в карантин цен","")))),"")</f>
      </c>
    </row>
    <row r="1243">
      <c r="A1243" s="2" t="inlineStr">
        <is>
          <t>CuteShop</t>
        </is>
      </c>
      <c r="B1243" s="2" t="inlineStr">
        <is>
          <t>Бусины</t>
        </is>
      </c>
      <c r="C1243" s="2">
        <v>151583799</v>
      </c>
      <c r="D1243" s="2" t="inlineStr">
        <is>
          <t>Bus-akril-8mm-bel-500</t>
        </is>
      </c>
      <c r="E1243" s="2" t="inlineStr">
        <is>
          <t>2037600728797</t>
        </is>
      </c>
      <c r="F1243" s="2">
        <v>0</v>
      </c>
      <c r="G1243" s="2">
        <v>0</v>
      </c>
      <c r="H1243" s="2" t="inlineStr">
        <is>
          <t/>
        </is>
      </c>
      <c r="I1243" s="2" t="inlineStr">
        <is>
          <t>620</t>
        </is>
      </c>
      <c r="J1243" s="4"/>
      <c r="K1243" s="2">
        <v>0</v>
      </c>
      <c r="L1243" s="6"/>
      <c r="M1243" s="2" t="str">
        <f>IF(J1243="",ROUND(I1243*(1-IF(ISBLANK(L1243),K1243,L1243)/100),2),ROUND(J1243*(1-IF(ISBLANK(L1243),K1243,L1243)/100),2))</f>
      </c>
      <c r="N1243" s="7" t="str">
        <f>IF(NOT(AND(J1243="",L1243="")),IF(OR(AND(L1243&lt;&gt;"",NOT(ISNUMBER(L1243))),IFERROR(MOD(L1243,1),1)&gt;0,AND(ISNUMBER(L1243),OR(L1243&lt;0,L1243&gt;95))),"Введите целое число от 0 до 95",IF(OR(AND(J1243&lt;&gt;"",NOT(ISNUMBER(J1243))),IFERROR(MOD(J1243,1),1)&gt;0,AND(ISNUMBER(J1243),OR(J1243&lt;50,J1243&gt;20000000))),"Введите целое число от 50 до 20000000",IF(NOT(ABS(IFERROR(VALUE(LEFT(M1243,FIND("-",M1243)-1)),M1243)*100-(5000+2000000000)/2)&lt;=ABS(5000-2000000000)/2),"Цена со скидкой должна быть от 50 до 20000000",IF(IFERROR(VALUE(LEFT(M1243,FIND("-",M1243)-1)),M1243)*190&lt;62000,"Вы уменьшили цену в несколько раз, товар попадет в карантин цен","")))),"")</f>
      </c>
    </row>
    <row r="1244">
      <c r="A1244" s="2" t="inlineStr">
        <is>
          <t>CuteShop</t>
        </is>
      </c>
      <c r="B1244" s="2" t="inlineStr">
        <is>
          <t>Бусины</t>
        </is>
      </c>
      <c r="C1244" s="2">
        <v>153291343</v>
      </c>
      <c r="D1244" s="2" t="inlineStr">
        <is>
          <t>Bus-raduzh-8mm-roz-200</t>
        </is>
      </c>
      <c r="E1244" s="2" t="inlineStr">
        <is>
          <t>2037631372648</t>
        </is>
      </c>
      <c r="F1244" s="2">
        <v>0</v>
      </c>
      <c r="G1244" s="2">
        <v>0</v>
      </c>
      <c r="H1244" s="2" t="inlineStr">
        <is>
          <t/>
        </is>
      </c>
      <c r="I1244" s="2" t="inlineStr">
        <is>
          <t>320</t>
        </is>
      </c>
      <c r="J1244" s="4"/>
      <c r="K1244" s="2">
        <v>0</v>
      </c>
      <c r="L1244" s="6"/>
      <c r="M1244" s="2" t="str">
        <f>IF(J1244="",ROUND(I1244*(1-IF(ISBLANK(L1244),K1244,L1244)/100),2),ROUND(J1244*(1-IF(ISBLANK(L1244),K1244,L1244)/100),2))</f>
      </c>
      <c r="N1244" s="7" t="str">
        <f>IF(NOT(AND(J1244="",L1244="")),IF(OR(AND(L1244&lt;&gt;"",NOT(ISNUMBER(L1244))),IFERROR(MOD(L1244,1),1)&gt;0,AND(ISNUMBER(L1244),OR(L1244&lt;0,L1244&gt;95))),"Введите целое число от 0 до 95",IF(OR(AND(J1244&lt;&gt;"",NOT(ISNUMBER(J1244))),IFERROR(MOD(J1244,1),1)&gt;0,AND(ISNUMBER(J1244),OR(J1244&lt;50,J1244&gt;20000000))),"Введите целое число от 50 до 20000000",IF(NOT(ABS(IFERROR(VALUE(LEFT(M1244,FIND("-",M1244)-1)),M1244)*100-(5000+2000000000)/2)&lt;=ABS(5000-2000000000)/2),"Цена со скидкой должна быть от 50 до 20000000",IF(IFERROR(VALUE(LEFT(M1244,FIND("-",M1244)-1)),M1244)*190&lt;32000,"Вы уменьшили цену в несколько раз, товар попадет в карантин цен","")))),"")</f>
      </c>
    </row>
    <row r="1245">
      <c r="A1245" s="2" t="inlineStr">
        <is>
          <t>CuteShop</t>
        </is>
      </c>
      <c r="B1245" s="2" t="inlineStr">
        <is>
          <t>Бусины</t>
        </is>
      </c>
      <c r="C1245" s="2">
        <v>153292136</v>
      </c>
      <c r="D1245" s="2" t="inlineStr">
        <is>
          <t>Bus-raduzh-8mm-mix-500</t>
        </is>
      </c>
      <c r="E1245" s="2" t="inlineStr">
        <is>
          <t>2037631385709</t>
        </is>
      </c>
      <c r="F1245" s="2">
        <v>0</v>
      </c>
      <c r="G1245" s="2">
        <v>0</v>
      </c>
      <c r="H1245" s="2" t="inlineStr">
        <is>
          <t/>
        </is>
      </c>
      <c r="I1245" s="2" t="inlineStr">
        <is>
          <t>620</t>
        </is>
      </c>
      <c r="J1245" s="4"/>
      <c r="K1245" s="2">
        <v>0</v>
      </c>
      <c r="L1245" s="6"/>
      <c r="M1245" s="2" t="str">
        <f>IF(J1245="",ROUND(I1245*(1-IF(ISBLANK(L1245),K1245,L1245)/100),2),ROUND(J1245*(1-IF(ISBLANK(L1245),K1245,L1245)/100),2))</f>
      </c>
      <c r="N1245" s="7" t="str">
        <f>IF(NOT(AND(J1245="",L1245="")),IF(OR(AND(L1245&lt;&gt;"",NOT(ISNUMBER(L1245))),IFERROR(MOD(L1245,1),1)&gt;0,AND(ISNUMBER(L1245),OR(L1245&lt;0,L1245&gt;95))),"Введите целое число от 0 до 95",IF(OR(AND(J1245&lt;&gt;"",NOT(ISNUMBER(J1245))),IFERROR(MOD(J1245,1),1)&gt;0,AND(ISNUMBER(J1245),OR(J1245&lt;50,J1245&gt;20000000))),"Введите целое число от 50 до 20000000",IF(NOT(ABS(IFERROR(VALUE(LEFT(M1245,FIND("-",M1245)-1)),M1245)*100-(5000+2000000000)/2)&lt;=ABS(5000-2000000000)/2),"Цена со скидкой должна быть от 50 до 20000000",IF(IFERROR(VALUE(LEFT(M1245,FIND("-",M1245)-1)),M1245)*190&lt;62000,"Вы уменьшили цену в несколько раз, товар попадет в карантин цен","")))),"")</f>
      </c>
    </row>
    <row r="1246">
      <c r="A1246" s="2" t="inlineStr">
        <is>
          <t>CuteShop</t>
        </is>
      </c>
      <c r="B1246" s="2" t="inlineStr">
        <is>
          <t>Держатели для пустышек</t>
        </is>
      </c>
      <c r="C1246" s="2">
        <v>87721387</v>
      </c>
      <c r="D1246" s="2" t="inlineStr">
        <is>
          <t>TimKoala</t>
        </is>
      </c>
      <c r="E1246" s="2" t="inlineStr">
        <is>
          <t>2034891911624</t>
        </is>
      </c>
      <c r="F1246" s="2">
        <v>0</v>
      </c>
      <c r="G1246" s="2">
        <v>1</v>
      </c>
      <c r="H1246" s="2">
        <v>0</v>
      </c>
      <c r="I1246" s="2" t="inlineStr">
        <is>
          <t>1030</t>
        </is>
      </c>
      <c r="J1246" s="4"/>
      <c r="K1246" s="2">
        <v>10</v>
      </c>
      <c r="L1246" s="6"/>
      <c r="M1246" s="2" t="str">
        <f>IF(J1246="",ROUND(I1246*(1-IF(ISBLANK(L1246),K1246,L1246)/100),2),ROUND(J1246*(1-IF(ISBLANK(L1246),K1246,L1246)/100),2))</f>
      </c>
      <c r="N1246" s="7" t="str">
        <f>IF(NOT(AND(J1246="",L1246="")),IF(OR(AND(L1246&lt;&gt;"",NOT(ISNUMBER(L1246))),IFERROR(MOD(L1246,1),1)&gt;0,AND(ISNUMBER(L1246),OR(L1246&lt;0,L1246&gt;95))),"Введите целое число от 0 до 95",IF(OR(AND(J1246&lt;&gt;"",NOT(ISNUMBER(J1246))),IFERROR(MOD(J1246,1),1)&gt;0,AND(ISNUMBER(J1246),OR(J1246&lt;50,J1246&gt;20000000))),"Введите целое число от 50 до 20000000",IF(NOT(ABS(IFERROR(VALUE(LEFT(M1246,FIND("-",M1246)-1)),M1246)*100-(5000+2000000000)/2)&lt;=ABS(5000-2000000000)/2),"Цена со скидкой должна быть от 50 до 20000000",IF(IFERROR(VALUE(LEFT(M1246,FIND("-",M1246)-1)),M1246)*229&lt;92700,"Вы уменьшили цену в несколько раз, товар попадет в карантин цен","")))),"")</f>
      </c>
    </row>
    <row r="1247">
      <c r="A1247" s="2" t="inlineStr">
        <is>
          <t>CuteShop</t>
        </is>
      </c>
      <c r="B1247" s="2" t="inlineStr">
        <is>
          <t>Ленты для рукоделия</t>
        </is>
      </c>
      <c r="C1247" s="2">
        <v>215885578</v>
      </c>
      <c r="D1247" s="2" t="inlineStr">
        <is>
          <t>Lenta-Rep-Straz-Gol</t>
        </is>
      </c>
      <c r="E1247" s="2" t="inlineStr">
        <is>
          <t>2039629656518</t>
        </is>
      </c>
      <c r="F1247" s="2">
        <v>0</v>
      </c>
      <c r="G1247" s="2">
        <v>0</v>
      </c>
      <c r="H1247" s="2" t="inlineStr">
        <is>
          <t/>
        </is>
      </c>
      <c r="I1247" s="2" t="inlineStr">
        <is>
          <t>440</t>
        </is>
      </c>
      <c r="J1247" s="4"/>
      <c r="K1247" s="2">
        <v>0</v>
      </c>
      <c r="L1247" s="6"/>
      <c r="M1247" s="2" t="str">
        <f>IF(J1247="",ROUND(I1247*(1-IF(ISBLANK(L1247),K1247,L1247)/100),2),ROUND(J1247*(1-IF(ISBLANK(L1247),K1247,L1247)/100),2))</f>
      </c>
      <c r="N1247" s="7" t="str">
        <f>IF(NOT(AND(J1247="",L1247="")),IF(OR(AND(L1247&lt;&gt;"",NOT(ISNUMBER(L1247))),IFERROR(MOD(L1247,1),1)&gt;0,AND(ISNUMBER(L1247),OR(L1247&lt;0,L1247&gt;95))),"Введите целое число от 0 до 95",IF(OR(AND(J1247&lt;&gt;"",NOT(ISNUMBER(J1247))),IFERROR(MOD(J1247,1),1)&gt;0,AND(ISNUMBER(J1247),OR(J1247&lt;50,J1247&gt;20000000))),"Введите целое число от 50 до 20000000",IF(NOT(ABS(IFERROR(VALUE(LEFT(M1247,FIND("-",M1247)-1)),M1247)*100-(5000+2000000000)/2)&lt;=ABS(5000-2000000000)/2),"Цена со скидкой должна быть от 50 до 20000000",IF(IFERROR(VALUE(LEFT(M1247,FIND("-",M1247)-1)),M1247)*190&lt;44000,"Вы уменьшили цену в несколько раз, товар попадет в карантин цен","")))),"")</f>
      </c>
    </row>
    <row r="1248">
      <c r="A1248" s="2" t="inlineStr">
        <is>
          <t>CuteShop</t>
        </is>
      </c>
      <c r="B1248" s="2" t="inlineStr">
        <is>
          <t>Ленты для рукоделия</t>
        </is>
      </c>
      <c r="C1248" s="2">
        <v>215901975</v>
      </c>
      <c r="D1248" s="2" t="inlineStr">
        <is>
          <t>Lenta-Rep-Serdechki-Bord-2,2</t>
        </is>
      </c>
      <c r="E1248" s="2" t="inlineStr">
        <is>
          <t>2039629861639</t>
        </is>
      </c>
      <c r="F1248" s="2">
        <v>0</v>
      </c>
      <c r="G1248" s="2">
        <v>0</v>
      </c>
      <c r="H1248" s="2" t="inlineStr">
        <is>
          <t/>
        </is>
      </c>
      <c r="I1248" s="2" t="inlineStr">
        <is>
          <t>490</t>
        </is>
      </c>
      <c r="J1248" s="4"/>
      <c r="K1248" s="2">
        <v>0</v>
      </c>
      <c r="L1248" s="6"/>
      <c r="M1248" s="2" t="str">
        <f>IF(J1248="",ROUND(I1248*(1-IF(ISBLANK(L1248),K1248,L1248)/100),2),ROUND(J1248*(1-IF(ISBLANK(L1248),K1248,L1248)/100),2))</f>
      </c>
      <c r="N1248" s="7" t="str">
        <f>IF(NOT(AND(J1248="",L1248="")),IF(OR(AND(L1248&lt;&gt;"",NOT(ISNUMBER(L1248))),IFERROR(MOD(L1248,1),1)&gt;0,AND(ISNUMBER(L1248),OR(L1248&lt;0,L1248&gt;95))),"Введите целое число от 0 до 95",IF(OR(AND(J1248&lt;&gt;"",NOT(ISNUMBER(J1248))),IFERROR(MOD(J1248,1),1)&gt;0,AND(ISNUMBER(J1248),OR(J1248&lt;50,J1248&gt;20000000))),"Введите целое число от 50 до 20000000",IF(NOT(ABS(IFERROR(VALUE(LEFT(M1248,FIND("-",M1248)-1)),M1248)*100-(5000+2000000000)/2)&lt;=ABS(5000-2000000000)/2),"Цена со скидкой должна быть от 50 до 20000000",IF(IFERROR(VALUE(LEFT(M1248,FIND("-",M1248)-1)),M1248)*190&lt;49000,"Вы уменьшили цену в несколько раз, товар попадет в карантин цен","")))),"")</f>
      </c>
    </row>
    <row r="1249">
      <c r="A1249" s="2" t="inlineStr">
        <is>
          <t>CuteShop</t>
        </is>
      </c>
      <c r="B1249" s="2" t="inlineStr">
        <is>
          <t>Держатели для пустышек</t>
        </is>
      </c>
      <c r="C1249" s="2">
        <v>88997967</v>
      </c>
      <c r="D1249" s="2" t="inlineStr">
        <is>
          <t>YanaEdin</t>
        </is>
      </c>
      <c r="E1249" s="2" t="inlineStr">
        <is>
          <t>2035643912623</t>
        </is>
      </c>
      <c r="F1249" s="2">
        <v>0</v>
      </c>
      <c r="G1249" s="2">
        <v>0</v>
      </c>
      <c r="H1249" s="2">
        <v>1</v>
      </c>
      <c r="I1249" s="2" t="inlineStr">
        <is>
          <t>1030</t>
        </is>
      </c>
      <c r="J1249" s="4"/>
      <c r="K1249" s="2">
        <v>10</v>
      </c>
      <c r="L1249" s="6"/>
      <c r="M1249" s="2" t="str">
        <f>IF(J1249="",ROUND(I1249*(1-IF(ISBLANK(L1249),K1249,L1249)/100),2),ROUND(J1249*(1-IF(ISBLANK(L1249),K1249,L1249)/100),2))</f>
      </c>
      <c r="N1249" s="7" t="str">
        <f>IF(NOT(AND(J1249="",L1249="")),IF(OR(AND(L1249&lt;&gt;"",NOT(ISNUMBER(L1249))),IFERROR(MOD(L1249,1),1)&gt;0,AND(ISNUMBER(L1249),OR(L1249&lt;0,L1249&gt;95))),"Введите целое число от 0 до 95",IF(OR(AND(J1249&lt;&gt;"",NOT(ISNUMBER(J1249))),IFERROR(MOD(J1249,1),1)&gt;0,AND(ISNUMBER(J1249),OR(J1249&lt;50,J1249&gt;20000000))),"Введите целое число от 50 до 20000000",IF(NOT(ABS(IFERROR(VALUE(LEFT(M1249,FIND("-",M1249)-1)),M1249)*100-(5000+2000000000)/2)&lt;=ABS(5000-2000000000)/2),"Цена со скидкой должна быть от 50 до 20000000",IF(IFERROR(VALUE(LEFT(M1249,FIND("-",M1249)-1)),M1249)*229&lt;92700,"Вы уменьшили цену в несколько раз, товар попадет в карантин цен","")))),"")</f>
      </c>
    </row>
    <row r="1250">
      <c r="A1250" s="2" t="inlineStr">
        <is>
          <t>CuteShop</t>
        </is>
      </c>
      <c r="B1250" s="2" t="inlineStr">
        <is>
          <t>Держатели для пустышек</t>
        </is>
      </c>
      <c r="C1250" s="2">
        <v>99297675</v>
      </c>
      <c r="D1250" s="2" t="inlineStr">
        <is>
          <t>AnyutaBG</t>
        </is>
      </c>
      <c r="E1250" s="2" t="inlineStr">
        <is>
          <t>2036797038085</t>
        </is>
      </c>
      <c r="F1250" s="2">
        <v>0</v>
      </c>
      <c r="G1250" s="2">
        <v>1</v>
      </c>
      <c r="H1250" s="2" t="inlineStr">
        <is>
          <t/>
        </is>
      </c>
      <c r="I1250" s="2" t="inlineStr">
        <is>
          <t>790</t>
        </is>
      </c>
      <c r="J1250" s="4"/>
      <c r="K1250" s="2">
        <v>10</v>
      </c>
      <c r="L1250" s="6"/>
      <c r="M1250" s="2" t="str">
        <f>IF(J1250="",ROUND(I1250*(1-IF(ISBLANK(L1250),K1250,L1250)/100),2),ROUND(J1250*(1-IF(ISBLANK(L1250),K1250,L1250)/100),2))</f>
      </c>
      <c r="N1250" s="7" t="str">
        <f>IF(NOT(AND(J1250="",L1250="")),IF(OR(AND(L1250&lt;&gt;"",NOT(ISNUMBER(L1250))),IFERROR(MOD(L1250,1),1)&gt;0,AND(ISNUMBER(L1250),OR(L1250&lt;0,L1250&gt;95))),"Введите целое число от 0 до 95",IF(OR(AND(J1250&lt;&gt;"",NOT(ISNUMBER(J1250))),IFERROR(MOD(J1250,1),1)&gt;0,AND(ISNUMBER(J1250),OR(J1250&lt;50,J1250&gt;20000000))),"Введите целое число от 50 до 20000000",IF(NOT(ABS(IFERROR(VALUE(LEFT(M1250,FIND("-",M1250)-1)),M1250)*100-(5000+2000000000)/2)&lt;=ABS(5000-2000000000)/2),"Цена со скидкой должна быть от 50 до 20000000",IF(IFERROR(VALUE(LEFT(M1250,FIND("-",M1250)-1)),M1250)*229&lt;71100,"Вы уменьшили цену в несколько раз, товар попадет в карантин цен","")))),"")</f>
      </c>
    </row>
    <row r="1251">
      <c r="A1251" s="2" t="inlineStr">
        <is>
          <t>CuteShop</t>
        </is>
      </c>
      <c r="B1251" s="2" t="inlineStr">
        <is>
          <t>Ленты для рукоделия</t>
        </is>
      </c>
      <c r="C1251" s="2">
        <v>192225857</v>
      </c>
      <c r="D1251" s="2" t="inlineStr">
        <is>
          <t>Lenta-Rep-Snegur-5</t>
        </is>
      </c>
      <c r="E1251" s="2" t="inlineStr">
        <is>
          <t>2039068862587</t>
        </is>
      </c>
      <c r="F1251" s="2">
        <v>0</v>
      </c>
      <c r="G1251" s="2">
        <v>0</v>
      </c>
      <c r="H1251" s="2" t="inlineStr">
        <is>
          <t/>
        </is>
      </c>
      <c r="I1251" s="2" t="inlineStr">
        <is>
          <t>320</t>
        </is>
      </c>
      <c r="J1251" s="4"/>
      <c r="K1251" s="2">
        <v>0</v>
      </c>
      <c r="L1251" s="6"/>
      <c r="M1251" s="2" t="str">
        <f>IF(J1251="",ROUND(I1251*(1-IF(ISBLANK(L1251),K1251,L1251)/100),2),ROUND(J1251*(1-IF(ISBLANK(L1251),K1251,L1251)/100),2))</f>
      </c>
      <c r="N1251" s="7" t="str">
        <f>IF(NOT(AND(J1251="",L1251="")),IF(OR(AND(L1251&lt;&gt;"",NOT(ISNUMBER(L1251))),IFERROR(MOD(L1251,1),1)&gt;0,AND(ISNUMBER(L1251),OR(L1251&lt;0,L1251&gt;95))),"Введите целое число от 0 до 95",IF(OR(AND(J1251&lt;&gt;"",NOT(ISNUMBER(J1251))),IFERROR(MOD(J1251,1),1)&gt;0,AND(ISNUMBER(J1251),OR(J1251&lt;50,J1251&gt;20000000))),"Введите целое число от 50 до 20000000",IF(NOT(ABS(IFERROR(VALUE(LEFT(M1251,FIND("-",M1251)-1)),M1251)*100-(5000+2000000000)/2)&lt;=ABS(5000-2000000000)/2),"Цена со скидкой должна быть от 50 до 20000000",IF(IFERROR(VALUE(LEFT(M1251,FIND("-",M1251)-1)),M1251)*190&lt;32000,"Вы уменьшили цену в несколько раз, товар попадет в карантин цен","")))),"")</f>
      </c>
    </row>
    <row r="1252">
      <c r="A1252" s="2" t="inlineStr">
        <is>
          <t/>
        </is>
      </c>
      <c r="B1252" s="2" t="inlineStr">
        <is>
          <t>Ткани для рукоделия</t>
        </is>
      </c>
      <c r="C1252" s="2">
        <v>195316899</v>
      </c>
      <c r="D1252" s="2" t="inlineStr">
        <is>
          <t>Fatin-Goroh15-Bel-4,5</t>
        </is>
      </c>
      <c r="E1252" s="2" t="inlineStr">
        <is>
          <t>2039140808700</t>
        </is>
      </c>
      <c r="F1252" s="2">
        <v>0</v>
      </c>
      <c r="G1252" s="2">
        <v>0</v>
      </c>
      <c r="H1252" s="2">
        <v>9</v>
      </c>
      <c r="I1252" s="2" t="inlineStr">
        <is>
          <t>370</t>
        </is>
      </c>
      <c r="J1252" s="4"/>
      <c r="K1252" s="2">
        <v>0</v>
      </c>
      <c r="L1252" s="6"/>
      <c r="M1252" s="2" t="str">
        <f>IF(J1252="",ROUND(I1252*(1-IF(ISBLANK(L1252),K1252,L1252)/100),2),ROUND(J1252*(1-IF(ISBLANK(L1252),K1252,L1252)/100),2))</f>
      </c>
      <c r="N1252" s="7" t="str">
        <f>IF(NOT(AND(J1252="",L1252="")),IF(OR(AND(L1252&lt;&gt;"",NOT(ISNUMBER(L1252))),IFERROR(MOD(L1252,1),1)&gt;0,AND(ISNUMBER(L1252),OR(L1252&lt;0,L1252&gt;95))),"Введите целое число от 0 до 95",IF(OR(AND(J1252&lt;&gt;"",NOT(ISNUMBER(J1252))),IFERROR(MOD(J1252,1),1)&gt;0,AND(ISNUMBER(J1252),OR(J1252&lt;50,J1252&gt;20000000))),"Введите целое число от 50 до 20000000",IF(NOT(ABS(IFERROR(VALUE(LEFT(M1252,FIND("-",M1252)-1)),M1252)*100-(5000+2000000000)/2)&lt;=ABS(5000-2000000000)/2),"Цена со скидкой должна быть от 50 до 20000000",IF(IFERROR(VALUE(LEFT(M1252,FIND("-",M1252)-1)),M1252)*190&lt;37000,"Вы уменьшили цену в несколько раз, товар попадет в карантин цен","")))),"")</f>
      </c>
    </row>
    <row r="1253">
      <c r="A1253" s="2" t="inlineStr">
        <is>
          <t>CuteShop</t>
        </is>
      </c>
      <c r="B1253" s="2" t="inlineStr">
        <is>
          <t>Держатели для пустышек</t>
        </is>
      </c>
      <c r="C1253" s="2">
        <v>99297677</v>
      </c>
      <c r="D1253" s="2" t="inlineStr">
        <is>
          <t>AnyutaBG2</t>
        </is>
      </c>
      <c r="E1253" s="2" t="inlineStr">
        <is>
          <t>2036797038917</t>
        </is>
      </c>
      <c r="F1253" s="2">
        <v>0</v>
      </c>
      <c r="G1253" s="2">
        <v>1</v>
      </c>
      <c r="H1253" s="2">
        <v>0</v>
      </c>
      <c r="I1253" s="2" t="inlineStr">
        <is>
          <t>790</t>
        </is>
      </c>
      <c r="J1253" s="4"/>
      <c r="K1253" s="2">
        <v>10</v>
      </c>
      <c r="L1253" s="6"/>
      <c r="M1253" s="2" t="str">
        <f>IF(J1253="",ROUND(I1253*(1-IF(ISBLANK(L1253),K1253,L1253)/100),2),ROUND(J1253*(1-IF(ISBLANK(L1253),K1253,L1253)/100),2))</f>
      </c>
      <c r="N1253" s="7" t="str">
        <f>IF(NOT(AND(J1253="",L1253="")),IF(OR(AND(L1253&lt;&gt;"",NOT(ISNUMBER(L1253))),IFERROR(MOD(L1253,1),1)&gt;0,AND(ISNUMBER(L1253),OR(L1253&lt;0,L1253&gt;95))),"Введите целое число от 0 до 95",IF(OR(AND(J1253&lt;&gt;"",NOT(ISNUMBER(J1253))),IFERROR(MOD(J1253,1),1)&gt;0,AND(ISNUMBER(J1253),OR(J1253&lt;50,J1253&gt;20000000))),"Введите целое число от 50 до 20000000",IF(NOT(ABS(IFERROR(VALUE(LEFT(M1253,FIND("-",M1253)-1)),M1253)*100-(5000+2000000000)/2)&lt;=ABS(5000-2000000000)/2),"Цена со скидкой должна быть от 50 до 20000000",IF(IFERROR(VALUE(LEFT(M1253,FIND("-",M1253)-1)),M1253)*229&lt;71100,"Вы уменьшили цену в несколько раз, товар попадет в карантин цен","")))),"")</f>
      </c>
    </row>
    <row r="1254">
      <c r="A1254" s="2" t="inlineStr">
        <is>
          <t>CuteShop</t>
        </is>
      </c>
      <c r="B1254" s="2" t="inlineStr">
        <is>
          <t>Держатели для пустышек</t>
        </is>
      </c>
      <c r="C1254" s="2">
        <v>99966938</v>
      </c>
      <c r="D1254" s="2" t="inlineStr">
        <is>
          <t>AgataSlon</t>
        </is>
      </c>
      <c r="E1254" s="2" t="inlineStr">
        <is>
          <t>2036806374241</t>
        </is>
      </c>
      <c r="F1254" s="2">
        <v>0</v>
      </c>
      <c r="G1254" s="2">
        <v>1</v>
      </c>
      <c r="H1254" s="2" t="inlineStr">
        <is>
          <t/>
        </is>
      </c>
      <c r="I1254" s="2" t="inlineStr">
        <is>
          <t>1030</t>
        </is>
      </c>
      <c r="J1254" s="4"/>
      <c r="K1254" s="2">
        <v>10</v>
      </c>
      <c r="L1254" s="6"/>
      <c r="M1254" s="2" t="str">
        <f>IF(J1254="",ROUND(I1254*(1-IF(ISBLANK(L1254),K1254,L1254)/100),2),ROUND(J1254*(1-IF(ISBLANK(L1254),K1254,L1254)/100),2))</f>
      </c>
      <c r="N1254" s="7" t="str">
        <f>IF(NOT(AND(J1254="",L1254="")),IF(OR(AND(L1254&lt;&gt;"",NOT(ISNUMBER(L1254))),IFERROR(MOD(L1254,1),1)&gt;0,AND(ISNUMBER(L1254),OR(L1254&lt;0,L1254&gt;95))),"Введите целое число от 0 до 95",IF(OR(AND(J1254&lt;&gt;"",NOT(ISNUMBER(J1254))),IFERROR(MOD(J1254,1),1)&gt;0,AND(ISNUMBER(J1254),OR(J1254&lt;50,J1254&gt;20000000))),"Введите целое число от 50 до 20000000",IF(NOT(ABS(IFERROR(VALUE(LEFT(M1254,FIND("-",M1254)-1)),M1254)*100-(5000+2000000000)/2)&lt;=ABS(5000-2000000000)/2),"Цена со скидкой должна быть от 50 до 20000000",IF(IFERROR(VALUE(LEFT(M1254,FIND("-",M1254)-1)),M1254)*229&lt;92700,"Вы уменьшили цену в несколько раз, товар попадет в карантин цен","")))),"")</f>
      </c>
    </row>
    <row r="1255">
      <c r="A1255" s="2" t="inlineStr">
        <is>
          <t>CuteShop</t>
        </is>
      </c>
      <c r="B1255" s="2" t="inlineStr">
        <is>
          <t>Аксессуары для рукоделия</t>
        </is>
      </c>
      <c r="C1255" s="2">
        <v>225097239</v>
      </c>
      <c r="D1255" s="2" t="inlineStr">
        <is>
          <t>Kab-9May-9</t>
        </is>
      </c>
      <c r="E1255" s="2" t="inlineStr">
        <is>
          <t>2039852078446</t>
        </is>
      </c>
      <c r="F1255" s="2">
        <v>0</v>
      </c>
      <c r="G1255" s="2">
        <v>0</v>
      </c>
      <c r="H1255" s="2" t="inlineStr">
        <is>
          <t/>
        </is>
      </c>
      <c r="I1255" s="2" t="inlineStr">
        <is>
          <t>370</t>
        </is>
      </c>
      <c r="J1255" s="4"/>
      <c r="K1255" s="2">
        <v>5</v>
      </c>
      <c r="L1255" s="6"/>
      <c r="M1255" s="2" t="str">
        <f>IF(J1255="",ROUND(I1255*(1-IF(ISBLANK(L1255),K1255,L1255)/100),2),ROUND(J1255*(1-IF(ISBLANK(L1255),K1255,L1255)/100),2))</f>
      </c>
      <c r="N1255" s="7" t="str">
        <f>IF(NOT(AND(J1255="",L1255="")),IF(OR(AND(L1255&lt;&gt;"",NOT(ISNUMBER(L1255))),IFERROR(MOD(L1255,1),1)&gt;0,AND(ISNUMBER(L1255),OR(L1255&lt;0,L1255&gt;95))),"Введите целое число от 0 до 95",IF(OR(AND(J1255&lt;&gt;"",NOT(ISNUMBER(J1255))),IFERROR(MOD(J1255,1),1)&gt;0,AND(ISNUMBER(J1255),OR(J1255&lt;50,J1255&gt;20000000))),"Введите целое число от 50 до 20000000",IF(NOT(ABS(IFERROR(VALUE(LEFT(M1255,FIND("-",M1255)-1)),M1255)*100-(5000+2000000000)/2)&lt;=ABS(5000-2000000000)/2),"Цена со скидкой должна быть от 50 до 20000000",IF(IFERROR(VALUE(LEFT(M1255,FIND("-",M1255)-1)),M1255)*190&lt;35150,"Вы уменьшили цену в несколько раз, товар попадет в карантин цен","")))),"")</f>
      </c>
    </row>
    <row r="1256">
      <c r="A1256" s="2" t="inlineStr">
        <is>
          <t>CuteShop</t>
        </is>
      </c>
      <c r="B1256" s="2" t="inlineStr">
        <is>
          <t>Аксессуары для рукоделия</t>
        </is>
      </c>
      <c r="C1256" s="2">
        <v>245094929</v>
      </c>
      <c r="D1256" s="2" t="inlineStr">
        <is>
          <t>Kab-Ledenec-18</t>
        </is>
      </c>
      <c r="E1256" s="2" t="inlineStr">
        <is>
          <t>2040697278564</t>
        </is>
      </c>
      <c r="F1256" s="2">
        <v>0</v>
      </c>
      <c r="G1256" s="2">
        <v>0</v>
      </c>
      <c r="H1256" s="2" t="inlineStr">
        <is>
          <t/>
        </is>
      </c>
      <c r="I1256" s="2" t="inlineStr">
        <is>
          <t>600</t>
        </is>
      </c>
      <c r="J1256" s="4"/>
      <c r="K1256" s="2">
        <v>0</v>
      </c>
      <c r="L1256" s="6"/>
      <c r="M1256" s="2" t="str">
        <f>IF(J1256="",ROUND(I1256*(1-IF(ISBLANK(L1256),K1256,L1256)/100),2),ROUND(J1256*(1-IF(ISBLANK(L1256),K1256,L1256)/100),2))</f>
      </c>
      <c r="N1256" s="7" t="str">
        <f>IF(NOT(AND(J1256="",L1256="")),IF(OR(AND(L1256&lt;&gt;"",NOT(ISNUMBER(L1256))),IFERROR(MOD(L1256,1),1)&gt;0,AND(ISNUMBER(L1256),OR(L1256&lt;0,L1256&gt;95))),"Введите целое число от 0 до 95",IF(OR(AND(J1256&lt;&gt;"",NOT(ISNUMBER(J1256))),IFERROR(MOD(J1256,1),1)&gt;0,AND(ISNUMBER(J1256),OR(J1256&lt;50,J1256&gt;20000000))),"Введите целое число от 50 до 20000000",IF(NOT(ABS(IFERROR(VALUE(LEFT(M1256,FIND("-",M1256)-1)),M1256)*100-(5000+2000000000)/2)&lt;=ABS(5000-2000000000)/2),"Цена со скидкой должна быть от 50 до 20000000",IF(IFERROR(VALUE(LEFT(M1256,FIND("-",M1256)-1)),M1256)*190&lt;60000,"Вы уменьшили цену в несколько раз, товар попадет в карантин цен","")))),"")</f>
      </c>
    </row>
    <row r="1257">
      <c r="A1257" s="2" t="inlineStr">
        <is>
          <t>CuteShop</t>
        </is>
      </c>
      <c r="B1257" s="2" t="inlineStr">
        <is>
          <t>Держатели для пустышек</t>
        </is>
      </c>
      <c r="C1257" s="2">
        <v>99967299</v>
      </c>
      <c r="D1257" s="2" t="inlineStr">
        <is>
          <t>AgataBel</t>
        </is>
      </c>
      <c r="E1257" s="2" t="inlineStr">
        <is>
          <t>2036806376108</t>
        </is>
      </c>
      <c r="F1257" s="2">
        <v>0</v>
      </c>
      <c r="G1257" s="2">
        <v>1</v>
      </c>
      <c r="H1257" s="2">
        <v>0</v>
      </c>
      <c r="I1257" s="2" t="inlineStr">
        <is>
          <t>1030</t>
        </is>
      </c>
      <c r="J1257" s="4"/>
      <c r="K1257" s="2">
        <v>10</v>
      </c>
      <c r="L1257" s="6"/>
      <c r="M1257" s="2" t="str">
        <f>IF(J1257="",ROUND(I1257*(1-IF(ISBLANK(L1257),K1257,L1257)/100),2),ROUND(J1257*(1-IF(ISBLANK(L1257),K1257,L1257)/100),2))</f>
      </c>
      <c r="N1257" s="7" t="str">
        <f>IF(NOT(AND(J1257="",L1257="")),IF(OR(AND(L1257&lt;&gt;"",NOT(ISNUMBER(L1257))),IFERROR(MOD(L1257,1),1)&gt;0,AND(ISNUMBER(L1257),OR(L1257&lt;0,L1257&gt;95))),"Введите целое число от 0 до 95",IF(OR(AND(J1257&lt;&gt;"",NOT(ISNUMBER(J1257))),IFERROR(MOD(J1257,1),1)&gt;0,AND(ISNUMBER(J1257),OR(J1257&lt;50,J1257&gt;20000000))),"Введите целое число от 50 до 20000000",IF(NOT(ABS(IFERROR(VALUE(LEFT(M1257,FIND("-",M1257)-1)),M1257)*100-(5000+2000000000)/2)&lt;=ABS(5000-2000000000)/2),"Цена со скидкой должна быть от 50 до 20000000",IF(IFERROR(VALUE(LEFT(M1257,FIND("-",M1257)-1)),M1257)*229&lt;92700,"Вы уменьшили цену в несколько раз, товар попадет в карантин цен","")))),"")</f>
      </c>
    </row>
    <row r="1258">
      <c r="A1258" s="2" t="inlineStr">
        <is>
          <t>CuteShop</t>
        </is>
      </c>
      <c r="B1258" s="2" t="inlineStr">
        <is>
          <t>Ленты для рукоделия</t>
        </is>
      </c>
      <c r="C1258" s="2">
        <v>282382784</v>
      </c>
      <c r="D1258" s="2" t="inlineStr">
        <is>
          <t>Lenta-Rep-Snezh-Gol-5</t>
        </is>
      </c>
      <c r="E1258" s="2" t="inlineStr">
        <is>
          <t>2041811567793</t>
        </is>
      </c>
      <c r="F1258" s="2">
        <v>0</v>
      </c>
      <c r="G1258" s="2">
        <v>0</v>
      </c>
      <c r="H1258" s="2" t="inlineStr">
        <is>
          <t/>
        </is>
      </c>
      <c r="I1258" s="2" t="inlineStr">
        <is>
          <t>302</t>
        </is>
      </c>
      <c r="J1258" s="4"/>
      <c r="K1258" s="2">
        <v>7</v>
      </c>
      <c r="L1258" s="6"/>
      <c r="M1258" s="2" t="str">
        <f>IF(J1258="",ROUND(I1258*(1-IF(ISBLANK(L1258),K1258,L1258)/100),2),ROUND(J1258*(1-IF(ISBLANK(L1258),K1258,L1258)/100),2))</f>
      </c>
      <c r="N1258" s="7" t="str">
        <f>IF(NOT(AND(J1258="",L1258="")),IF(OR(AND(L1258&lt;&gt;"",NOT(ISNUMBER(L1258))),IFERROR(MOD(L1258,1),1)&gt;0,AND(ISNUMBER(L1258),OR(L1258&lt;0,L1258&gt;95))),"Введите целое число от 0 до 95",IF(OR(AND(J1258&lt;&gt;"",NOT(ISNUMBER(J1258))),IFERROR(MOD(J1258,1),1)&gt;0,AND(ISNUMBER(J1258),OR(J1258&lt;50,J1258&gt;20000000))),"Введите целое число от 50 до 20000000",IF(NOT(ABS(IFERROR(VALUE(LEFT(M1258,FIND("-",M1258)-1)),M1258)*100-(5000+2000000000)/2)&lt;=ABS(5000-2000000000)/2),"Цена со скидкой должна быть от 50 до 20000000",IF(IFERROR(VALUE(LEFT(M1258,FIND("-",M1258)-1)),M1258)*190&lt;28085,"Вы уменьшили цену в несколько раз, товар попадет в карантин цен","")))),"")</f>
      </c>
    </row>
    <row r="1259">
      <c r="A1259" s="2" t="inlineStr">
        <is>
          <t>CuteShop</t>
        </is>
      </c>
      <c r="B1259" s="2" t="inlineStr">
        <is>
          <t>Держатели для пустышек</t>
        </is>
      </c>
      <c r="C1259" s="2">
        <v>100701478</v>
      </c>
      <c r="D1259" s="2" t="inlineStr">
        <is>
          <t>FedyaBG</t>
        </is>
      </c>
      <c r="E1259" s="2" t="inlineStr">
        <is>
          <t>2036814629517</t>
        </is>
      </c>
      <c r="F1259" s="2">
        <v>0</v>
      </c>
      <c r="G1259" s="2">
        <v>0</v>
      </c>
      <c r="H1259" s="2" t="inlineStr">
        <is>
          <t/>
        </is>
      </c>
      <c r="I1259" s="2" t="inlineStr">
        <is>
          <t>790</t>
        </is>
      </c>
      <c r="J1259" s="4"/>
      <c r="K1259" s="2">
        <v>10</v>
      </c>
      <c r="L1259" s="6"/>
      <c r="M1259" s="2" t="str">
        <f>IF(J1259="",ROUND(I1259*(1-IF(ISBLANK(L1259),K1259,L1259)/100),2),ROUND(J1259*(1-IF(ISBLANK(L1259),K1259,L1259)/100),2))</f>
      </c>
      <c r="N1259" s="7" t="str">
        <f>IF(NOT(AND(J1259="",L1259="")),IF(OR(AND(L1259&lt;&gt;"",NOT(ISNUMBER(L1259))),IFERROR(MOD(L1259,1),1)&gt;0,AND(ISNUMBER(L1259),OR(L1259&lt;0,L1259&gt;95))),"Введите целое число от 0 до 95",IF(OR(AND(J1259&lt;&gt;"",NOT(ISNUMBER(J1259))),IFERROR(MOD(J1259,1),1)&gt;0,AND(ISNUMBER(J1259),OR(J1259&lt;50,J1259&gt;20000000))),"Введите целое число от 50 до 20000000",IF(NOT(ABS(IFERROR(VALUE(LEFT(M1259,FIND("-",M1259)-1)),M1259)*100-(5000+2000000000)/2)&lt;=ABS(5000-2000000000)/2),"Цена со скидкой должна быть от 50 до 20000000",IF(IFERROR(VALUE(LEFT(M1259,FIND("-",M1259)-1)),M1259)*229&lt;71100,"Вы уменьшили цену в несколько раз, товар попадет в карантин цен","")))),"")</f>
      </c>
    </row>
    <row r="1260">
      <c r="A1260" s="2" t="inlineStr">
        <is>
          <t>CuteShop</t>
        </is>
      </c>
      <c r="B1260" s="2" t="inlineStr">
        <is>
          <t>Ленты для рукоделия</t>
        </is>
      </c>
      <c r="C1260" s="2">
        <v>282382785</v>
      </c>
      <c r="D1260" s="2" t="inlineStr">
        <is>
          <t>Lenta-Rep-Snezh-Gol-5,5</t>
        </is>
      </c>
      <c r="E1260" s="2" t="inlineStr">
        <is>
          <t>2041811588309</t>
        </is>
      </c>
      <c r="F1260" s="2">
        <v>0</v>
      </c>
      <c r="G1260" s="2">
        <v>0</v>
      </c>
      <c r="H1260" s="2" t="inlineStr">
        <is>
          <t/>
        </is>
      </c>
      <c r="I1260" s="2" t="inlineStr">
        <is>
          <t>330</t>
        </is>
      </c>
      <c r="J1260" s="4"/>
      <c r="K1260" s="2">
        <v>7</v>
      </c>
      <c r="L1260" s="6"/>
      <c r="M1260" s="2" t="str">
        <f>IF(J1260="",ROUND(I1260*(1-IF(ISBLANK(L1260),K1260,L1260)/100),2),ROUND(J1260*(1-IF(ISBLANK(L1260),K1260,L1260)/100),2))</f>
      </c>
      <c r="N1260" s="7" t="str">
        <f>IF(NOT(AND(J1260="",L1260="")),IF(OR(AND(L1260&lt;&gt;"",NOT(ISNUMBER(L1260))),IFERROR(MOD(L1260,1),1)&gt;0,AND(ISNUMBER(L1260),OR(L1260&lt;0,L1260&gt;95))),"Введите целое число от 0 до 95",IF(OR(AND(J1260&lt;&gt;"",NOT(ISNUMBER(J1260))),IFERROR(MOD(J1260,1),1)&gt;0,AND(ISNUMBER(J1260),OR(J1260&lt;50,J1260&gt;20000000))),"Введите целое число от 50 до 20000000",IF(NOT(ABS(IFERROR(VALUE(LEFT(M1260,FIND("-",M1260)-1)),M1260)*100-(5000+2000000000)/2)&lt;=ABS(5000-2000000000)/2),"Цена со скидкой должна быть от 50 до 20000000",IF(IFERROR(VALUE(LEFT(M1260,FIND("-",M1260)-1)),M1260)*190&lt;30689,"Вы уменьшили цену в несколько раз, товар попадет в карантин цен","")))),"")</f>
      </c>
    </row>
    <row r="1261">
      <c r="A1261" s="2" t="inlineStr">
        <is>
          <t>CuteShop</t>
        </is>
      </c>
      <c r="B1261" s="2" t="inlineStr">
        <is>
          <t>Держатели для пустышек</t>
        </is>
      </c>
      <c r="C1261" s="2">
        <v>110534980</v>
      </c>
      <c r="D1261" s="2" t="inlineStr">
        <is>
          <t>MilanaPanda</t>
        </is>
      </c>
      <c r="E1261" s="2" t="inlineStr">
        <is>
          <t>2036790217623</t>
        </is>
      </c>
      <c r="F1261" s="2">
        <v>0</v>
      </c>
      <c r="G1261" s="2">
        <v>0</v>
      </c>
      <c r="H1261" s="2">
        <v>1</v>
      </c>
      <c r="I1261" s="2" t="inlineStr">
        <is>
          <t>1030</t>
        </is>
      </c>
      <c r="J1261" s="4"/>
      <c r="K1261" s="2">
        <v>10</v>
      </c>
      <c r="L1261" s="6"/>
      <c r="M1261" s="2" t="str">
        <f>IF(J1261="",ROUND(I1261*(1-IF(ISBLANK(L1261),K1261,L1261)/100),2),ROUND(J1261*(1-IF(ISBLANK(L1261),K1261,L1261)/100),2))</f>
      </c>
      <c r="N1261" s="7" t="str">
        <f>IF(NOT(AND(J1261="",L1261="")),IF(OR(AND(L1261&lt;&gt;"",NOT(ISNUMBER(L1261))),IFERROR(MOD(L1261,1),1)&gt;0,AND(ISNUMBER(L1261),OR(L1261&lt;0,L1261&gt;95))),"Введите целое число от 0 до 95",IF(OR(AND(J1261&lt;&gt;"",NOT(ISNUMBER(J1261))),IFERROR(MOD(J1261,1),1)&gt;0,AND(ISNUMBER(J1261),OR(J1261&lt;50,J1261&gt;20000000))),"Введите целое число от 50 до 20000000",IF(NOT(ABS(IFERROR(VALUE(LEFT(M1261,FIND("-",M1261)-1)),M1261)*100-(5000+2000000000)/2)&lt;=ABS(5000-2000000000)/2),"Цена со скидкой должна быть от 50 до 20000000",IF(IFERROR(VALUE(LEFT(M1261,FIND("-",M1261)-1)),M1261)*229&lt;92700,"Вы уменьшили цену в несколько раз, товар попадет в карантин цен","")))),"")</f>
      </c>
    </row>
    <row r="1262">
      <c r="A1262" s="2" t="inlineStr">
        <is>
          <t>CuteShop</t>
        </is>
      </c>
      <c r="B1262" s="2" t="inlineStr">
        <is>
          <t>Держатели для пустышек</t>
        </is>
      </c>
      <c r="C1262" s="2">
        <v>112358503</v>
      </c>
      <c r="D1262" s="2" t="inlineStr">
        <is>
          <t>AlisaOranBG</t>
        </is>
      </c>
      <c r="E1262" s="2" t="inlineStr">
        <is>
          <t>2038780864626</t>
        </is>
      </c>
      <c r="F1262" s="2">
        <v>0</v>
      </c>
      <c r="G1262" s="2">
        <v>1</v>
      </c>
      <c r="H1262" s="2">
        <v>0</v>
      </c>
      <c r="I1262" s="2" t="inlineStr">
        <is>
          <t>790</t>
        </is>
      </c>
      <c r="J1262" s="4"/>
      <c r="K1262" s="2">
        <v>10</v>
      </c>
      <c r="L1262" s="6"/>
      <c r="M1262" s="2" t="str">
        <f>IF(J1262="",ROUND(I1262*(1-IF(ISBLANK(L1262),K1262,L1262)/100),2),ROUND(J1262*(1-IF(ISBLANK(L1262),K1262,L1262)/100),2))</f>
      </c>
      <c r="N1262" s="7" t="str">
        <f>IF(NOT(AND(J1262="",L1262="")),IF(OR(AND(L1262&lt;&gt;"",NOT(ISNUMBER(L1262))),IFERROR(MOD(L1262,1),1)&gt;0,AND(ISNUMBER(L1262),OR(L1262&lt;0,L1262&gt;95))),"Введите целое число от 0 до 95",IF(OR(AND(J1262&lt;&gt;"",NOT(ISNUMBER(J1262))),IFERROR(MOD(J1262,1),1)&gt;0,AND(ISNUMBER(J1262),OR(J1262&lt;50,J1262&gt;20000000))),"Введите целое число от 50 до 20000000",IF(NOT(ABS(IFERROR(VALUE(LEFT(M1262,FIND("-",M1262)-1)),M1262)*100-(5000+2000000000)/2)&lt;=ABS(5000-2000000000)/2),"Цена со скидкой должна быть от 50 до 20000000",IF(IFERROR(VALUE(LEFT(M1262,FIND("-",M1262)-1)),M1262)*229&lt;71100,"Вы уменьшили цену в несколько раз, товар попадет в карантин цен","")))),"")</f>
      </c>
    </row>
    <row r="1263">
      <c r="A1263" s="2" t="inlineStr">
        <is>
          <t>CuteShop</t>
        </is>
      </c>
      <c r="B1263" s="2" t="inlineStr">
        <is>
          <t>Ленты для рукоделия</t>
        </is>
      </c>
      <c r="C1263" s="2">
        <v>277515977</v>
      </c>
      <c r="D1263" s="2" t="inlineStr">
        <is>
          <t>Lenta-Rep-Baboch2-Bordo-10</t>
        </is>
      </c>
      <c r="E1263" s="2" t="inlineStr">
        <is>
          <t>2041645866116</t>
        </is>
      </c>
      <c r="F1263" s="2">
        <v>0</v>
      </c>
      <c r="G1263" s="2">
        <v>0</v>
      </c>
      <c r="H1263" s="2" t="inlineStr">
        <is>
          <t/>
        </is>
      </c>
      <c r="I1263" s="2" t="inlineStr">
        <is>
          <t>370</t>
        </is>
      </c>
      <c r="J1263" s="4"/>
      <c r="K1263" s="2">
        <v>10</v>
      </c>
      <c r="L1263" s="6"/>
      <c r="M1263" s="2" t="str">
        <f>IF(J1263="",ROUND(I1263*(1-IF(ISBLANK(L1263),K1263,L1263)/100),2),ROUND(J1263*(1-IF(ISBLANK(L1263),K1263,L1263)/100),2))</f>
      </c>
      <c r="N1263" s="7" t="str">
        <f>IF(NOT(AND(J1263="",L1263="")),IF(OR(AND(L1263&lt;&gt;"",NOT(ISNUMBER(L1263))),IFERROR(MOD(L1263,1),1)&gt;0,AND(ISNUMBER(L1263),OR(L1263&lt;0,L1263&gt;95))),"Введите целое число от 0 до 95",IF(OR(AND(J1263&lt;&gt;"",NOT(ISNUMBER(J1263))),IFERROR(MOD(J1263,1),1)&gt;0,AND(ISNUMBER(J1263),OR(J1263&lt;50,J1263&gt;20000000))),"Введите целое число от 50 до 20000000",IF(NOT(ABS(IFERROR(VALUE(LEFT(M1263,FIND("-",M1263)-1)),M1263)*100-(5000+2000000000)/2)&lt;=ABS(5000-2000000000)/2),"Цена со скидкой должна быть от 50 до 20000000",IF(IFERROR(VALUE(LEFT(M1263,FIND("-",M1263)-1)),M1263)*190&lt;33300,"Вы уменьшили цену в несколько раз, товар попадет в карантин цен","")))),"")</f>
      </c>
    </row>
    <row r="1264">
      <c r="A1264" s="2" t="inlineStr">
        <is>
          <t>CuteShop</t>
        </is>
      </c>
      <c r="B1264" s="2" t="inlineStr">
        <is>
          <t>Держатели для пустышек</t>
        </is>
      </c>
      <c r="C1264" s="2">
        <v>111018807</v>
      </c>
      <c r="D1264" s="2" t="inlineStr">
        <is>
          <t>DashaBG</t>
        </is>
      </c>
      <c r="E1264" s="2" t="inlineStr">
        <is>
          <t>2037427211625</t>
        </is>
      </c>
      <c r="F1264" s="2">
        <v>0</v>
      </c>
      <c r="G1264" s="2">
        <v>1</v>
      </c>
      <c r="H1264" s="2">
        <v>0</v>
      </c>
      <c r="I1264" s="2" t="inlineStr">
        <is>
          <t>790</t>
        </is>
      </c>
      <c r="J1264" s="4"/>
      <c r="K1264" s="2">
        <v>10</v>
      </c>
      <c r="L1264" s="6"/>
      <c r="M1264" s="2" t="str">
        <f>IF(J1264="",ROUND(I1264*(1-IF(ISBLANK(L1264),K1264,L1264)/100),2),ROUND(J1264*(1-IF(ISBLANK(L1264),K1264,L1264)/100),2))</f>
      </c>
      <c r="N1264" s="7" t="str">
        <f>IF(NOT(AND(J1264="",L1264="")),IF(OR(AND(L1264&lt;&gt;"",NOT(ISNUMBER(L1264))),IFERROR(MOD(L1264,1),1)&gt;0,AND(ISNUMBER(L1264),OR(L1264&lt;0,L1264&gt;95))),"Введите целое число от 0 до 95",IF(OR(AND(J1264&lt;&gt;"",NOT(ISNUMBER(J1264))),IFERROR(MOD(J1264,1),1)&gt;0,AND(ISNUMBER(J1264),OR(J1264&lt;50,J1264&gt;20000000))),"Введите целое число от 50 до 20000000",IF(NOT(ABS(IFERROR(VALUE(LEFT(M1264,FIND("-",M1264)-1)),M1264)*100-(5000+2000000000)/2)&lt;=ABS(5000-2000000000)/2),"Цена со скидкой должна быть от 50 до 20000000",IF(IFERROR(VALUE(LEFT(M1264,FIND("-",M1264)-1)),M1264)*229&lt;71100,"Вы уменьшили цену в несколько раз, товар попадет в карантин цен","")))),"")</f>
      </c>
    </row>
    <row r="1265">
      <c r="A1265" s="2" t="inlineStr">
        <is>
          <t>CuteShop</t>
        </is>
      </c>
      <c r="B1265" s="2" t="inlineStr">
        <is>
          <t>Держатели для пустышек</t>
        </is>
      </c>
      <c r="C1265" s="2">
        <v>111025634</v>
      </c>
      <c r="D1265" s="2" t="inlineStr">
        <is>
          <t>PlatonMishMyat</t>
        </is>
      </c>
      <c r="E1265" s="2" t="inlineStr">
        <is>
          <t>2037459467625</t>
        </is>
      </c>
      <c r="F1265" s="2">
        <v>0</v>
      </c>
      <c r="G1265" s="2">
        <v>0</v>
      </c>
      <c r="H1265" s="2">
        <v>1</v>
      </c>
      <c r="I1265" s="2" t="inlineStr">
        <is>
          <t>1030</t>
        </is>
      </c>
      <c r="J1265" s="4"/>
      <c r="K1265" s="2">
        <v>10</v>
      </c>
      <c r="L1265" s="6"/>
      <c r="M1265" s="2" t="str">
        <f>IF(J1265="",ROUND(I1265*(1-IF(ISBLANK(L1265),K1265,L1265)/100),2),ROUND(J1265*(1-IF(ISBLANK(L1265),K1265,L1265)/100),2))</f>
      </c>
      <c r="N1265" s="7" t="str">
        <f>IF(NOT(AND(J1265="",L1265="")),IF(OR(AND(L1265&lt;&gt;"",NOT(ISNUMBER(L1265))),IFERROR(MOD(L1265,1),1)&gt;0,AND(ISNUMBER(L1265),OR(L1265&lt;0,L1265&gt;95))),"Введите целое число от 0 до 95",IF(OR(AND(J1265&lt;&gt;"",NOT(ISNUMBER(J1265))),IFERROR(MOD(J1265,1),1)&gt;0,AND(ISNUMBER(J1265),OR(J1265&lt;50,J1265&gt;20000000))),"Введите целое число от 50 до 20000000",IF(NOT(ABS(IFERROR(VALUE(LEFT(M1265,FIND("-",M1265)-1)),M1265)*100-(5000+2000000000)/2)&lt;=ABS(5000-2000000000)/2),"Цена со скидкой должна быть от 50 до 20000000",IF(IFERROR(VALUE(LEFT(M1265,FIND("-",M1265)-1)),M1265)*229&lt;92700,"Вы уменьшили цену в несколько раз, товар попадет в карантин цен","")))),"")</f>
      </c>
    </row>
    <row r="1266">
      <c r="A1266" s="2" t="inlineStr">
        <is>
          <t>CuteShop</t>
        </is>
      </c>
      <c r="B1266" s="2" t="inlineStr">
        <is>
          <t>Держатели для пустышек</t>
        </is>
      </c>
      <c r="C1266" s="2">
        <v>111031397</v>
      </c>
      <c r="D1266" s="2" t="inlineStr">
        <is>
          <t>MatveyOlen</t>
        </is>
      </c>
      <c r="E1266" s="2" t="inlineStr">
        <is>
          <t>2037463620627</t>
        </is>
      </c>
      <c r="F1266" s="2">
        <v>0</v>
      </c>
      <c r="G1266" s="2">
        <v>0</v>
      </c>
      <c r="H1266" s="2" t="inlineStr">
        <is>
          <t/>
        </is>
      </c>
      <c r="I1266" s="2" t="inlineStr">
        <is>
          <t>1030</t>
        </is>
      </c>
      <c r="J1266" s="4"/>
      <c r="K1266" s="2">
        <v>10</v>
      </c>
      <c r="L1266" s="6"/>
      <c r="M1266" s="2" t="str">
        <f>IF(J1266="",ROUND(I1266*(1-IF(ISBLANK(L1266),K1266,L1266)/100),2),ROUND(J1266*(1-IF(ISBLANK(L1266),K1266,L1266)/100),2))</f>
      </c>
      <c r="N1266" s="7" t="str">
        <f>IF(NOT(AND(J1266="",L1266="")),IF(OR(AND(L1266&lt;&gt;"",NOT(ISNUMBER(L1266))),IFERROR(MOD(L1266,1),1)&gt;0,AND(ISNUMBER(L1266),OR(L1266&lt;0,L1266&gt;95))),"Введите целое число от 0 до 95",IF(OR(AND(J1266&lt;&gt;"",NOT(ISNUMBER(J1266))),IFERROR(MOD(J1266,1),1)&gt;0,AND(ISNUMBER(J1266),OR(J1266&lt;50,J1266&gt;20000000))),"Введите целое число от 50 до 20000000",IF(NOT(ABS(IFERROR(VALUE(LEFT(M1266,FIND("-",M1266)-1)),M1266)*100-(5000+2000000000)/2)&lt;=ABS(5000-2000000000)/2),"Цена со скидкой должна быть от 50 до 20000000",IF(IFERROR(VALUE(LEFT(M1266,FIND("-",M1266)-1)),M1266)*229&lt;92700,"Вы уменьшили цену в несколько раз, товар попадет в карантин цен","")))),"")</f>
      </c>
    </row>
    <row r="1267">
      <c r="A1267" s="2" t="inlineStr">
        <is>
          <t>CuteShop</t>
        </is>
      </c>
      <c r="B1267" s="2" t="inlineStr">
        <is>
          <t>Аксессуары для рукоделия</t>
        </is>
      </c>
      <c r="C1267" s="2">
        <v>132297647</v>
      </c>
      <c r="D1267" s="2" t="inlineStr">
        <is>
          <t>LentaKab-Nabor-Sov</t>
        </is>
      </c>
      <c r="E1267" s="2" t="inlineStr">
        <is>
          <t>2037043274264</t>
        </is>
      </c>
      <c r="F1267" s="2">
        <v>0</v>
      </c>
      <c r="G1267" s="2">
        <v>0</v>
      </c>
      <c r="H1267" s="2">
        <v>0</v>
      </c>
      <c r="I1267" s="2" t="inlineStr">
        <is>
          <t>559</t>
        </is>
      </c>
      <c r="J1267" s="4"/>
      <c r="K1267" s="2">
        <v>0</v>
      </c>
      <c r="L1267" s="6"/>
      <c r="M1267" s="2" t="str">
        <f>IF(J1267="",ROUND(I1267*(1-IF(ISBLANK(L1267),K1267,L1267)/100),2),ROUND(J1267*(1-IF(ISBLANK(L1267),K1267,L1267)/100),2))</f>
      </c>
      <c r="N1267" s="7" t="str">
        <f>IF(NOT(AND(J1267="",L1267="")),IF(OR(AND(L1267&lt;&gt;"",NOT(ISNUMBER(L1267))),IFERROR(MOD(L1267,1),1)&gt;0,AND(ISNUMBER(L1267),OR(L1267&lt;0,L1267&gt;95))),"Введите целое число от 0 до 95",IF(OR(AND(J1267&lt;&gt;"",NOT(ISNUMBER(J1267))),IFERROR(MOD(J1267,1),1)&gt;0,AND(ISNUMBER(J1267),OR(J1267&lt;50,J1267&gt;20000000))),"Введите целое число от 50 до 20000000",IF(NOT(ABS(IFERROR(VALUE(LEFT(M1267,FIND("-",M1267)-1)),M1267)*100-(5000+2000000000)/2)&lt;=ABS(5000-2000000000)/2),"Цена со скидкой должна быть от 50 до 20000000",IF(IFERROR(VALUE(LEFT(M1267,FIND("-",M1267)-1)),M1267)*190&lt;55900,"Вы уменьшили цену в несколько раз, товар попадет в карантин цен","")))),"")</f>
      </c>
    </row>
    <row r="1268">
      <c r="A1268" s="2" t="inlineStr">
        <is>
          <t>CuteShop</t>
        </is>
      </c>
      <c r="B1268" s="2" t="inlineStr">
        <is>
          <t>Ленты для рукоделия</t>
        </is>
      </c>
      <c r="C1268" s="2">
        <v>192225860</v>
      </c>
      <c r="D1268" s="2" t="inlineStr">
        <is>
          <t>Lenta-Rep-Zver-10</t>
        </is>
      </c>
      <c r="E1268" s="2" t="inlineStr">
        <is>
          <t>2039070068908</t>
        </is>
      </c>
      <c r="F1268" s="2">
        <v>0</v>
      </c>
      <c r="G1268" s="2">
        <v>0</v>
      </c>
      <c r="H1268" s="2" t="inlineStr">
        <is>
          <t/>
        </is>
      </c>
      <c r="I1268" s="2" t="inlineStr">
        <is>
          <t>450</t>
        </is>
      </c>
      <c r="J1268" s="4"/>
      <c r="K1268" s="2">
        <v>0</v>
      </c>
      <c r="L1268" s="6"/>
      <c r="M1268" s="2" t="str">
        <f>IF(J1268="",ROUND(I1268*(1-IF(ISBLANK(L1268),K1268,L1268)/100),2),ROUND(J1268*(1-IF(ISBLANK(L1268),K1268,L1268)/100),2))</f>
      </c>
      <c r="N1268" s="7" t="str">
        <f>IF(NOT(AND(J1268="",L1268="")),IF(OR(AND(L1268&lt;&gt;"",NOT(ISNUMBER(L1268))),IFERROR(MOD(L1268,1),1)&gt;0,AND(ISNUMBER(L1268),OR(L1268&lt;0,L1268&gt;95))),"Введите целое число от 0 до 95",IF(OR(AND(J1268&lt;&gt;"",NOT(ISNUMBER(J1268))),IFERROR(MOD(J1268,1),1)&gt;0,AND(ISNUMBER(J1268),OR(J1268&lt;50,J1268&gt;20000000))),"Введите целое число от 50 до 20000000",IF(NOT(ABS(IFERROR(VALUE(LEFT(M1268,FIND("-",M1268)-1)),M1268)*100-(5000+2000000000)/2)&lt;=ABS(5000-2000000000)/2),"Цена со скидкой должна быть от 50 до 20000000",IF(IFERROR(VALUE(LEFT(M1268,FIND("-",M1268)-1)),M1268)*190&lt;45000,"Вы уменьшили цену в несколько раз, товар попадет в карантин цен","")))),"")</f>
      </c>
    </row>
    <row r="1269">
      <c r="A1269" s="2" t="inlineStr">
        <is>
          <t>CuteShop</t>
        </is>
      </c>
      <c r="B1269" s="2" t="inlineStr">
        <is>
          <t>Держатели для пустышек</t>
        </is>
      </c>
      <c r="C1269" s="2">
        <v>111034714</v>
      </c>
      <c r="D1269" s="2" t="inlineStr">
        <is>
          <t>NikitaMishGol</t>
        </is>
      </c>
      <c r="E1269" s="2" t="inlineStr">
        <is>
          <t>2037470468625</t>
        </is>
      </c>
      <c r="F1269" s="2">
        <v>0</v>
      </c>
      <c r="G1269" s="2">
        <v>1</v>
      </c>
      <c r="H1269" s="2">
        <v>0</v>
      </c>
      <c r="I1269" s="2" t="inlineStr">
        <is>
          <t>1030</t>
        </is>
      </c>
      <c r="J1269" s="4"/>
      <c r="K1269" s="2">
        <v>10</v>
      </c>
      <c r="L1269" s="6"/>
      <c r="M1269" s="2" t="str">
        <f>IF(J1269="",ROUND(I1269*(1-IF(ISBLANK(L1269),K1269,L1269)/100),2),ROUND(J1269*(1-IF(ISBLANK(L1269),K1269,L1269)/100),2))</f>
      </c>
      <c r="N1269" s="7" t="str">
        <f>IF(NOT(AND(J1269="",L1269="")),IF(OR(AND(L1269&lt;&gt;"",NOT(ISNUMBER(L1269))),IFERROR(MOD(L1269,1),1)&gt;0,AND(ISNUMBER(L1269),OR(L1269&lt;0,L1269&gt;95))),"Введите целое число от 0 до 95",IF(OR(AND(J1269&lt;&gt;"",NOT(ISNUMBER(J1269))),IFERROR(MOD(J1269,1),1)&gt;0,AND(ISNUMBER(J1269),OR(J1269&lt;50,J1269&gt;20000000))),"Введите целое число от 50 до 20000000",IF(NOT(ABS(IFERROR(VALUE(LEFT(M1269,FIND("-",M1269)-1)),M1269)*100-(5000+2000000000)/2)&lt;=ABS(5000-2000000000)/2),"Цена со скидкой должна быть от 50 до 20000000",IF(IFERROR(VALUE(LEFT(M1269,FIND("-",M1269)-1)),M1269)*229&lt;92700,"Вы уменьшили цену в несколько раз, товар попадет в карантин цен","")))),"")</f>
      </c>
    </row>
    <row r="1270">
      <c r="A1270" s="2" t="inlineStr">
        <is>
          <t>CuteShop</t>
        </is>
      </c>
      <c r="B1270" s="2" t="inlineStr">
        <is>
          <t>Ленты для рукоделия</t>
        </is>
      </c>
      <c r="C1270" s="2">
        <v>192225858</v>
      </c>
      <c r="D1270" s="2" t="inlineStr">
        <is>
          <t>Lenta-Rep-Snegur-10</t>
        </is>
      </c>
      <c r="E1270" s="2" t="inlineStr">
        <is>
          <t>2039069111868</t>
        </is>
      </c>
      <c r="F1270" s="2">
        <v>0</v>
      </c>
      <c r="G1270" s="2">
        <v>0</v>
      </c>
      <c r="H1270" s="2" t="inlineStr">
        <is>
          <t/>
        </is>
      </c>
      <c r="I1270" s="2" t="inlineStr">
        <is>
          <t>430</t>
        </is>
      </c>
      <c r="J1270" s="4"/>
      <c r="K1270" s="2">
        <v>0</v>
      </c>
      <c r="L1270" s="6"/>
      <c r="M1270" s="2" t="str">
        <f>IF(J1270="",ROUND(I1270*(1-IF(ISBLANK(L1270),K1270,L1270)/100),2),ROUND(J1270*(1-IF(ISBLANK(L1270),K1270,L1270)/100),2))</f>
      </c>
      <c r="N1270" s="7" t="str">
        <f>IF(NOT(AND(J1270="",L1270="")),IF(OR(AND(L1270&lt;&gt;"",NOT(ISNUMBER(L1270))),IFERROR(MOD(L1270,1),1)&gt;0,AND(ISNUMBER(L1270),OR(L1270&lt;0,L1270&gt;95))),"Введите целое число от 0 до 95",IF(OR(AND(J1270&lt;&gt;"",NOT(ISNUMBER(J1270))),IFERROR(MOD(J1270,1),1)&gt;0,AND(ISNUMBER(J1270),OR(J1270&lt;50,J1270&gt;20000000))),"Введите целое число от 50 до 20000000",IF(NOT(ABS(IFERROR(VALUE(LEFT(M1270,FIND("-",M1270)-1)),M1270)*100-(5000+2000000000)/2)&lt;=ABS(5000-2000000000)/2),"Цена со скидкой должна быть от 50 до 20000000",IF(IFERROR(VALUE(LEFT(M1270,FIND("-",M1270)-1)),M1270)*190&lt;43000,"Вы уменьшили цену в несколько раз, товар попадет в карантин цен","")))),"")</f>
      </c>
    </row>
    <row r="1271">
      <c r="A1271" s="2" t="inlineStr">
        <is>
          <t>CuteShop</t>
        </is>
      </c>
      <c r="B1271" s="2" t="inlineStr">
        <is>
          <t>Держатели для пустышек</t>
        </is>
      </c>
      <c r="C1271" s="2">
        <v>111018808</v>
      </c>
      <c r="D1271" s="2" t="inlineStr">
        <is>
          <t>DashulyaBG</t>
        </is>
      </c>
      <c r="E1271" s="2" t="inlineStr">
        <is>
          <t>2037426645629</t>
        </is>
      </c>
      <c r="F1271" s="2">
        <v>0</v>
      </c>
      <c r="G1271" s="2">
        <v>1</v>
      </c>
      <c r="H1271" s="2">
        <v>1</v>
      </c>
      <c r="I1271" s="2" t="inlineStr">
        <is>
          <t>790</t>
        </is>
      </c>
      <c r="J1271" s="4"/>
      <c r="K1271" s="2">
        <v>10</v>
      </c>
      <c r="L1271" s="6"/>
      <c r="M1271" s="2" t="str">
        <f>IF(J1271="",ROUND(I1271*(1-IF(ISBLANK(L1271),K1271,L1271)/100),2),ROUND(J1271*(1-IF(ISBLANK(L1271),K1271,L1271)/100),2))</f>
      </c>
      <c r="N1271" s="7" t="str">
        <f>IF(NOT(AND(J1271="",L1271="")),IF(OR(AND(L1271&lt;&gt;"",NOT(ISNUMBER(L1271))),IFERROR(MOD(L1271,1),1)&gt;0,AND(ISNUMBER(L1271),OR(L1271&lt;0,L1271&gt;95))),"Введите целое число от 0 до 95",IF(OR(AND(J1271&lt;&gt;"",NOT(ISNUMBER(J1271))),IFERROR(MOD(J1271,1),1)&gt;0,AND(ISNUMBER(J1271),OR(J1271&lt;50,J1271&gt;20000000))),"Введите целое число от 50 до 20000000",IF(NOT(ABS(IFERROR(VALUE(LEFT(M1271,FIND("-",M1271)-1)),M1271)*100-(5000+2000000000)/2)&lt;=ABS(5000-2000000000)/2),"Цена со скидкой должна быть от 50 до 20000000",IF(IFERROR(VALUE(LEFT(M1271,FIND("-",M1271)-1)),M1271)*229&lt;71100,"Вы уменьшили цену в несколько раз, товар попадет в карантин цен","")))),"")</f>
      </c>
    </row>
    <row r="1272">
      <c r="A1272" s="2" t="inlineStr">
        <is>
          <t>CuteShop</t>
        </is>
      </c>
      <c r="B1272" s="2" t="inlineStr">
        <is>
          <t>Ленты для рукоделия</t>
        </is>
      </c>
      <c r="C1272" s="2">
        <v>195266984</v>
      </c>
      <c r="D1272" s="2" t="inlineStr">
        <is>
          <t>Lenta-Rep-Snezh-BelSer-40-7,45</t>
        </is>
      </c>
      <c r="E1272" s="2" t="inlineStr">
        <is>
          <t>2039139621891</t>
        </is>
      </c>
      <c r="F1272" s="2">
        <v>0</v>
      </c>
      <c r="G1272" s="2">
        <v>0</v>
      </c>
      <c r="H1272" s="2" t="inlineStr">
        <is>
          <t/>
        </is>
      </c>
      <c r="I1272" s="2" t="inlineStr">
        <is>
          <t>420</t>
        </is>
      </c>
      <c r="J1272" s="4"/>
      <c r="K1272" s="2">
        <v>0</v>
      </c>
      <c r="L1272" s="6"/>
      <c r="M1272" s="2" t="str">
        <f>IF(J1272="",ROUND(I1272*(1-IF(ISBLANK(L1272),K1272,L1272)/100),2),ROUND(J1272*(1-IF(ISBLANK(L1272),K1272,L1272)/100),2))</f>
      </c>
      <c r="N1272" s="7" t="str">
        <f>IF(NOT(AND(J1272="",L1272="")),IF(OR(AND(L1272&lt;&gt;"",NOT(ISNUMBER(L1272))),IFERROR(MOD(L1272,1),1)&gt;0,AND(ISNUMBER(L1272),OR(L1272&lt;0,L1272&gt;95))),"Введите целое число от 0 до 95",IF(OR(AND(J1272&lt;&gt;"",NOT(ISNUMBER(J1272))),IFERROR(MOD(J1272,1),1)&gt;0,AND(ISNUMBER(J1272),OR(J1272&lt;50,J1272&gt;20000000))),"Введите целое число от 50 до 20000000",IF(NOT(ABS(IFERROR(VALUE(LEFT(M1272,FIND("-",M1272)-1)),M1272)*100-(5000+2000000000)/2)&lt;=ABS(5000-2000000000)/2),"Цена со скидкой должна быть от 50 до 20000000",IF(IFERROR(VALUE(LEFT(M1272,FIND("-",M1272)-1)),M1272)*190&lt;42000,"Вы уменьшили цену в несколько раз, товар попадет в карантин цен","")))),"")</f>
      </c>
    </row>
    <row r="1273">
      <c r="A1273" s="2" t="inlineStr">
        <is>
          <t>CuteShop</t>
        </is>
      </c>
      <c r="B1273" s="2" t="inlineStr">
        <is>
          <t>Ленты для рукоделия</t>
        </is>
      </c>
      <c r="C1273" s="2">
        <v>213889901</v>
      </c>
      <c r="D1273" s="2" t="inlineStr">
        <is>
          <t>Lenta-Rep-9May-3</t>
        </is>
      </c>
      <c r="E1273" s="2" t="inlineStr">
        <is>
          <t>2039583687153</t>
        </is>
      </c>
      <c r="F1273" s="2">
        <v>0</v>
      </c>
      <c r="G1273" s="2">
        <v>0</v>
      </c>
      <c r="H1273" s="2">
        <v>1</v>
      </c>
      <c r="I1273" s="2" t="inlineStr">
        <is>
          <t>320</t>
        </is>
      </c>
      <c r="J1273" s="4"/>
      <c r="K1273" s="2">
        <v>0</v>
      </c>
      <c r="L1273" s="6"/>
      <c r="M1273" s="2" t="str">
        <f>IF(J1273="",ROUND(I1273*(1-IF(ISBLANK(L1273),K1273,L1273)/100),2),ROUND(J1273*(1-IF(ISBLANK(L1273),K1273,L1273)/100),2))</f>
      </c>
      <c r="N1273" s="7" t="str">
        <f>IF(NOT(AND(J1273="",L1273="")),IF(OR(AND(L1273&lt;&gt;"",NOT(ISNUMBER(L1273))),IFERROR(MOD(L1273,1),1)&gt;0,AND(ISNUMBER(L1273),OR(L1273&lt;0,L1273&gt;95))),"Введите целое число от 0 до 95",IF(OR(AND(J1273&lt;&gt;"",NOT(ISNUMBER(J1273))),IFERROR(MOD(J1273,1),1)&gt;0,AND(ISNUMBER(J1273),OR(J1273&lt;50,J1273&gt;20000000))),"Введите целое число от 50 до 20000000",IF(NOT(ABS(IFERROR(VALUE(LEFT(M1273,FIND("-",M1273)-1)),M1273)*100-(5000+2000000000)/2)&lt;=ABS(5000-2000000000)/2),"Цена со скидкой должна быть от 50 до 20000000",IF(IFERROR(VALUE(LEFT(M1273,FIND("-",M1273)-1)),M1273)*190&lt;32000,"Вы уменьшили цену в несколько раз, товар попадет в карантин цен","")))),"")</f>
      </c>
    </row>
    <row r="1274">
      <c r="A1274" s="2" t="inlineStr">
        <is>
          <t>CuteShop</t>
        </is>
      </c>
      <c r="B1274" s="2" t="inlineStr">
        <is>
          <t>Аксессуары для рукоделия</t>
        </is>
      </c>
      <c r="C1274" s="2">
        <v>132297648</v>
      </c>
      <c r="D1274" s="2" t="inlineStr">
        <is>
          <t>LentaKab-Nabor-Zim</t>
        </is>
      </c>
      <c r="E1274" s="2" t="inlineStr">
        <is>
          <t>2037043261158</t>
        </is>
      </c>
      <c r="F1274" s="2">
        <v>0</v>
      </c>
      <c r="G1274" s="2">
        <v>0</v>
      </c>
      <c r="H1274" s="2">
        <v>0</v>
      </c>
      <c r="I1274" s="2" t="inlineStr">
        <is>
          <t>580</t>
        </is>
      </c>
      <c r="J1274" s="4"/>
      <c r="K1274" s="2">
        <v>10</v>
      </c>
      <c r="L1274" s="6"/>
      <c r="M1274" s="2" t="str">
        <f>IF(J1274="",ROUND(I1274*(1-IF(ISBLANK(L1274),K1274,L1274)/100),2),ROUND(J1274*(1-IF(ISBLANK(L1274),K1274,L1274)/100),2))</f>
      </c>
      <c r="N1274" s="7" t="str">
        <f>IF(NOT(AND(J1274="",L1274="")),IF(OR(AND(L1274&lt;&gt;"",NOT(ISNUMBER(L1274))),IFERROR(MOD(L1274,1),1)&gt;0,AND(ISNUMBER(L1274),OR(L1274&lt;0,L1274&gt;95))),"Введите целое число от 0 до 95",IF(OR(AND(J1274&lt;&gt;"",NOT(ISNUMBER(J1274))),IFERROR(MOD(J1274,1),1)&gt;0,AND(ISNUMBER(J1274),OR(J1274&lt;50,J1274&gt;20000000))),"Введите целое число от 50 до 20000000",IF(NOT(ABS(IFERROR(VALUE(LEFT(M1274,FIND("-",M1274)-1)),M1274)*100-(5000+2000000000)/2)&lt;=ABS(5000-2000000000)/2),"Цена со скидкой должна быть от 50 до 20000000",IF(IFERROR(VALUE(LEFT(M1274,FIND("-",M1274)-1)),M1274)*190&lt;52200,"Вы уменьшили цену в несколько раз, товар попадет в карантин цен","")))),"")</f>
      </c>
    </row>
    <row r="1275">
      <c r="A1275" s="2" t="inlineStr">
        <is>
          <t>CuteShop</t>
        </is>
      </c>
      <c r="B1275" s="2" t="inlineStr">
        <is>
          <t>Аксессуары для рукоделия</t>
        </is>
      </c>
      <c r="C1275" s="2">
        <v>136530610</v>
      </c>
      <c r="D1275" s="2" t="inlineStr">
        <is>
          <t>Kab-Likee3</t>
        </is>
      </c>
      <c r="E1275" s="2" t="inlineStr">
        <is>
          <t>2037188147003</t>
        </is>
      </c>
      <c r="F1275" s="2">
        <v>0</v>
      </c>
      <c r="G1275" s="2">
        <v>0</v>
      </c>
      <c r="H1275" s="2" t="inlineStr">
        <is>
          <t/>
        </is>
      </c>
      <c r="I1275" s="2" t="inlineStr">
        <is>
          <t>390</t>
        </is>
      </c>
      <c r="J1275" s="4"/>
      <c r="K1275" s="2">
        <v>10</v>
      </c>
      <c r="L1275" s="6"/>
      <c r="M1275" s="2" t="str">
        <f>IF(J1275="",ROUND(I1275*(1-IF(ISBLANK(L1275),K1275,L1275)/100),2),ROUND(J1275*(1-IF(ISBLANK(L1275),K1275,L1275)/100),2))</f>
      </c>
      <c r="N1275" s="7" t="str">
        <f>IF(NOT(AND(J1275="",L1275="")),IF(OR(AND(L1275&lt;&gt;"",NOT(ISNUMBER(L1275))),IFERROR(MOD(L1275,1),1)&gt;0,AND(ISNUMBER(L1275),OR(L1275&lt;0,L1275&gt;95))),"Введите целое число от 0 до 95",IF(OR(AND(J1275&lt;&gt;"",NOT(ISNUMBER(J1275))),IFERROR(MOD(J1275,1),1)&gt;0,AND(ISNUMBER(J1275),OR(J1275&lt;50,J1275&gt;20000000))),"Введите целое число от 50 до 20000000",IF(NOT(ABS(IFERROR(VALUE(LEFT(M1275,FIND("-",M1275)-1)),M1275)*100-(5000+2000000000)/2)&lt;=ABS(5000-2000000000)/2),"Цена со скидкой должна быть от 50 до 20000000",IF(IFERROR(VALUE(LEFT(M1275,FIND("-",M1275)-1)),M1275)*190&lt;35100,"Вы уменьшили цену в несколько раз, товар попадет в карантин цен","")))),"")</f>
      </c>
    </row>
    <row r="1276">
      <c r="A1276" s="2" t="inlineStr">
        <is>
          <t>CuteShop</t>
        </is>
      </c>
      <c r="B1276" s="2" t="inlineStr">
        <is>
          <t>Аксессуары для рукоделия</t>
        </is>
      </c>
      <c r="C1276" s="2">
        <v>223034942</v>
      </c>
      <c r="D1276" s="2" t="inlineStr">
        <is>
          <t>Kab-9May-Mix2</t>
        </is>
      </c>
      <c r="E1276" s="2" t="inlineStr">
        <is>
          <t>2039805582884</t>
        </is>
      </c>
      <c r="F1276" s="2">
        <v>0</v>
      </c>
      <c r="G1276" s="2">
        <v>0</v>
      </c>
      <c r="H1276" s="2" t="inlineStr">
        <is>
          <t/>
        </is>
      </c>
      <c r="I1276" s="2" t="inlineStr">
        <is>
          <t>450</t>
        </is>
      </c>
      <c r="J1276" s="4"/>
      <c r="K1276" s="2">
        <v>3</v>
      </c>
      <c r="L1276" s="6"/>
      <c r="M1276" s="2" t="str">
        <f>IF(J1276="",ROUND(I1276*(1-IF(ISBLANK(L1276),K1276,L1276)/100),2),ROUND(J1276*(1-IF(ISBLANK(L1276),K1276,L1276)/100),2))</f>
      </c>
      <c r="N1276" s="7" t="str">
        <f>IF(NOT(AND(J1276="",L1276="")),IF(OR(AND(L1276&lt;&gt;"",NOT(ISNUMBER(L1276))),IFERROR(MOD(L1276,1),1)&gt;0,AND(ISNUMBER(L1276),OR(L1276&lt;0,L1276&gt;95))),"Введите целое число от 0 до 95",IF(OR(AND(J1276&lt;&gt;"",NOT(ISNUMBER(J1276))),IFERROR(MOD(J1276,1),1)&gt;0,AND(ISNUMBER(J1276),OR(J1276&lt;50,J1276&gt;20000000))),"Введите целое число от 50 до 20000000",IF(NOT(ABS(IFERROR(VALUE(LEFT(M1276,FIND("-",M1276)-1)),M1276)*100-(5000+2000000000)/2)&lt;=ABS(5000-2000000000)/2),"Цена со скидкой должна быть от 50 до 20000000",IF(IFERROR(VALUE(LEFT(M1276,FIND("-",M1276)-1)),M1276)*190&lt;43650,"Вы уменьшили цену в несколько раз, товар попадет в карантин цен","")))),"")</f>
      </c>
    </row>
    <row r="1277">
      <c r="A1277" s="2" t="inlineStr">
        <is>
          <t>CuteShop</t>
        </is>
      </c>
      <c r="B1277" s="2" t="inlineStr">
        <is>
          <t>Аксессуары для рукоделия</t>
        </is>
      </c>
      <c r="C1277" s="2">
        <v>213778744</v>
      </c>
      <c r="D1277" s="2" t="inlineStr">
        <is>
          <t>Kab-9May-Mix</t>
        </is>
      </c>
      <c r="E1277" s="2" t="inlineStr">
        <is>
          <t>2039581923369</t>
        </is>
      </c>
      <c r="F1277" s="2">
        <v>0</v>
      </c>
      <c r="G1277" s="2">
        <v>0</v>
      </c>
      <c r="H1277" s="2" t="inlineStr">
        <is>
          <t/>
        </is>
      </c>
      <c r="I1277" s="2" t="inlineStr">
        <is>
          <t>370</t>
        </is>
      </c>
      <c r="J1277" s="4"/>
      <c r="K1277" s="2">
        <v>7</v>
      </c>
      <c r="L1277" s="6"/>
      <c r="M1277" s="2" t="str">
        <f>IF(J1277="",ROUND(I1277*(1-IF(ISBLANK(L1277),K1277,L1277)/100),2),ROUND(J1277*(1-IF(ISBLANK(L1277),K1277,L1277)/100),2))</f>
      </c>
      <c r="N1277" s="7" t="str">
        <f>IF(NOT(AND(J1277="",L1277="")),IF(OR(AND(L1277&lt;&gt;"",NOT(ISNUMBER(L1277))),IFERROR(MOD(L1277,1),1)&gt;0,AND(ISNUMBER(L1277),OR(L1277&lt;0,L1277&gt;95))),"Введите целое число от 0 до 95",IF(OR(AND(J1277&lt;&gt;"",NOT(ISNUMBER(J1277))),IFERROR(MOD(J1277,1),1)&gt;0,AND(ISNUMBER(J1277),OR(J1277&lt;50,J1277&gt;20000000))),"Введите целое число от 50 до 20000000",IF(NOT(ABS(IFERROR(VALUE(LEFT(M1277,FIND("-",M1277)-1)),M1277)*100-(5000+2000000000)/2)&lt;=ABS(5000-2000000000)/2),"Цена со скидкой должна быть от 50 до 20000000",IF(IFERROR(VALUE(LEFT(M1277,FIND("-",M1277)-1)),M1277)*190&lt;34410,"Вы уменьшили цену в несколько раз, товар попадет в карантин цен","")))),"")</f>
      </c>
    </row>
    <row r="1278">
      <c r="A1278" s="2" t="inlineStr">
        <is>
          <t>CuteShop</t>
        </is>
      </c>
      <c r="B1278" s="2" t="inlineStr">
        <is>
          <t>Ленты для рукоделия</t>
        </is>
      </c>
      <c r="C1278" s="2">
        <v>191703168</v>
      </c>
      <c r="D1278" s="2" t="inlineStr">
        <is>
          <t>Lenta-Rep-Snezh-Roz</t>
        </is>
      </c>
      <c r="E1278" s="2" t="inlineStr">
        <is>
          <t>2039048854236</t>
        </is>
      </c>
      <c r="F1278" s="2">
        <v>0</v>
      </c>
      <c r="G1278" s="2">
        <v>0</v>
      </c>
      <c r="H1278" s="2" t="inlineStr">
        <is>
          <t/>
        </is>
      </c>
      <c r="I1278" s="2" t="inlineStr">
        <is>
          <t>400</t>
        </is>
      </c>
      <c r="J1278" s="4"/>
      <c r="K1278" s="2">
        <v>0</v>
      </c>
      <c r="L1278" s="6"/>
      <c r="M1278" s="2" t="str">
        <f>IF(J1278="",ROUND(I1278*(1-IF(ISBLANK(L1278),K1278,L1278)/100),2),ROUND(J1278*(1-IF(ISBLANK(L1278),K1278,L1278)/100),2))</f>
      </c>
      <c r="N1278" s="7" t="str">
        <f>IF(NOT(AND(J1278="",L1278="")),IF(OR(AND(L1278&lt;&gt;"",NOT(ISNUMBER(L1278))),IFERROR(MOD(L1278,1),1)&gt;0,AND(ISNUMBER(L1278),OR(L1278&lt;0,L1278&gt;95))),"Введите целое число от 0 до 95",IF(OR(AND(J1278&lt;&gt;"",NOT(ISNUMBER(J1278))),IFERROR(MOD(J1278,1),1)&gt;0,AND(ISNUMBER(J1278),OR(J1278&lt;50,J1278&gt;20000000))),"Введите целое число от 50 до 20000000",IF(NOT(ABS(IFERROR(VALUE(LEFT(M1278,FIND("-",M1278)-1)),M1278)*100-(5000+2000000000)/2)&lt;=ABS(5000-2000000000)/2),"Цена со скидкой должна быть от 50 до 20000000",IF(IFERROR(VALUE(LEFT(M1278,FIND("-",M1278)-1)),M1278)*190&lt;40000,"Вы уменьшили цену в несколько раз, товар попадет в карантин цен","")))),"")</f>
      </c>
    </row>
    <row r="1279">
      <c r="A1279" s="2" t="inlineStr">
        <is>
          <t>CuteShop</t>
        </is>
      </c>
      <c r="B1279" s="2" t="inlineStr">
        <is>
          <t>Держатели для пустышек</t>
        </is>
      </c>
      <c r="C1279" s="2">
        <v>111025413</v>
      </c>
      <c r="D1279" s="2" t="inlineStr">
        <is>
          <t>YanaLis</t>
        </is>
      </c>
      <c r="E1279" s="2" t="inlineStr">
        <is>
          <t>2037459304623</t>
        </is>
      </c>
      <c r="F1279" s="2">
        <v>0</v>
      </c>
      <c r="G1279" s="2">
        <v>0</v>
      </c>
      <c r="H1279" s="2" t="inlineStr">
        <is>
          <t/>
        </is>
      </c>
      <c r="I1279" s="2" t="inlineStr">
        <is>
          <t>1030</t>
        </is>
      </c>
      <c r="J1279" s="4"/>
      <c r="K1279" s="2">
        <v>10</v>
      </c>
      <c r="L1279" s="6"/>
      <c r="M1279" s="2" t="str">
        <f>IF(J1279="",ROUND(I1279*(1-IF(ISBLANK(L1279),K1279,L1279)/100),2),ROUND(J1279*(1-IF(ISBLANK(L1279),K1279,L1279)/100),2))</f>
      </c>
      <c r="N1279" s="7" t="str">
        <f>IF(NOT(AND(J1279="",L1279="")),IF(OR(AND(L1279&lt;&gt;"",NOT(ISNUMBER(L1279))),IFERROR(MOD(L1279,1),1)&gt;0,AND(ISNUMBER(L1279),OR(L1279&lt;0,L1279&gt;95))),"Введите целое число от 0 до 95",IF(OR(AND(J1279&lt;&gt;"",NOT(ISNUMBER(J1279))),IFERROR(MOD(J1279,1),1)&gt;0,AND(ISNUMBER(J1279),OR(J1279&lt;50,J1279&gt;20000000))),"Введите целое число от 50 до 20000000",IF(NOT(ABS(IFERROR(VALUE(LEFT(M1279,FIND("-",M1279)-1)),M1279)*100-(5000+2000000000)/2)&lt;=ABS(5000-2000000000)/2),"Цена со скидкой должна быть от 50 до 20000000",IF(IFERROR(VALUE(LEFT(M1279,FIND("-",M1279)-1)),M1279)*229&lt;92700,"Вы уменьшили цену в несколько раз, товар попадет в карантин цен","")))),"")</f>
      </c>
    </row>
    <row r="1280">
      <c r="A1280" s="2" t="inlineStr">
        <is>
          <t>CuteShop</t>
        </is>
      </c>
      <c r="B1280" s="2" t="inlineStr">
        <is>
          <t>Аксессуары для рукоделия</t>
        </is>
      </c>
      <c r="C1280" s="2">
        <v>136530648</v>
      </c>
      <c r="D1280" s="2" t="inlineStr">
        <is>
          <t>Kab-Likee1</t>
        </is>
      </c>
      <c r="E1280" s="2" t="inlineStr">
        <is>
          <t>2037188143890</t>
        </is>
      </c>
      <c r="F1280" s="2">
        <v>0</v>
      </c>
      <c r="G1280" s="2">
        <v>1</v>
      </c>
      <c r="H1280" s="2" t="inlineStr">
        <is>
          <t/>
        </is>
      </c>
      <c r="I1280" s="2" t="inlineStr">
        <is>
          <t>390</t>
        </is>
      </c>
      <c r="J1280" s="4"/>
      <c r="K1280" s="2">
        <v>10</v>
      </c>
      <c r="L1280" s="6"/>
      <c r="M1280" s="2" t="str">
        <f>IF(J1280="",ROUND(I1280*(1-IF(ISBLANK(L1280),K1280,L1280)/100),2),ROUND(J1280*(1-IF(ISBLANK(L1280),K1280,L1280)/100),2))</f>
      </c>
      <c r="N1280" s="7" t="str">
        <f>IF(NOT(AND(J1280="",L1280="")),IF(OR(AND(L1280&lt;&gt;"",NOT(ISNUMBER(L1280))),IFERROR(MOD(L1280,1),1)&gt;0,AND(ISNUMBER(L1280),OR(L1280&lt;0,L1280&gt;95))),"Введите целое число от 0 до 95",IF(OR(AND(J1280&lt;&gt;"",NOT(ISNUMBER(J1280))),IFERROR(MOD(J1280,1),1)&gt;0,AND(ISNUMBER(J1280),OR(J1280&lt;50,J1280&gt;20000000))),"Введите целое число от 50 до 20000000",IF(NOT(ABS(IFERROR(VALUE(LEFT(M1280,FIND("-",M1280)-1)),M1280)*100-(5000+2000000000)/2)&lt;=ABS(5000-2000000000)/2),"Цена со скидкой должна быть от 50 до 20000000",IF(IFERROR(VALUE(LEFT(M1280,FIND("-",M1280)-1)),M1280)*190&lt;35100,"Вы уменьшили цену в несколько раз, товар попадет в карантин цен","")))),"")</f>
      </c>
    </row>
    <row r="1281">
      <c r="A1281" s="2" t="inlineStr">
        <is>
          <t>CuteShop</t>
        </is>
      </c>
      <c r="B1281" s="2" t="inlineStr">
        <is>
          <t>Ленты для рукоделия</t>
        </is>
      </c>
      <c r="C1281" s="2">
        <v>277517437</v>
      </c>
      <c r="D1281" s="2" t="inlineStr">
        <is>
          <t>Lenta-Rep-Goroh-Bordo-5</t>
        </is>
      </c>
      <c r="E1281" s="2" t="inlineStr">
        <is>
          <t>2041645875965</t>
        </is>
      </c>
      <c r="F1281" s="2">
        <v>0</v>
      </c>
      <c r="G1281" s="2">
        <v>0</v>
      </c>
      <c r="H1281" s="2" t="inlineStr">
        <is>
          <t/>
        </is>
      </c>
      <c r="I1281" s="2" t="inlineStr">
        <is>
          <t>305</t>
        </is>
      </c>
      <c r="J1281" s="4"/>
      <c r="K1281" s="2">
        <v>10</v>
      </c>
      <c r="L1281" s="6"/>
      <c r="M1281" s="2" t="str">
        <f>IF(J1281="",ROUND(I1281*(1-IF(ISBLANK(L1281),K1281,L1281)/100),2),ROUND(J1281*(1-IF(ISBLANK(L1281),K1281,L1281)/100),2))</f>
      </c>
      <c r="N1281" s="7" t="str">
        <f>IF(NOT(AND(J1281="",L1281="")),IF(OR(AND(L1281&lt;&gt;"",NOT(ISNUMBER(L1281))),IFERROR(MOD(L1281,1),1)&gt;0,AND(ISNUMBER(L1281),OR(L1281&lt;0,L1281&gt;95))),"Введите целое число от 0 до 95",IF(OR(AND(J1281&lt;&gt;"",NOT(ISNUMBER(J1281))),IFERROR(MOD(J1281,1),1)&gt;0,AND(ISNUMBER(J1281),OR(J1281&lt;50,J1281&gt;20000000))),"Введите целое число от 50 до 20000000",IF(NOT(ABS(IFERROR(VALUE(LEFT(M1281,FIND("-",M1281)-1)),M1281)*100-(5000+2000000000)/2)&lt;=ABS(5000-2000000000)/2),"Цена со скидкой должна быть от 50 до 20000000",IF(IFERROR(VALUE(LEFT(M1281,FIND("-",M1281)-1)),M1281)*190&lt;27450,"Вы уменьшили цену в несколько раз, товар попадет в карантин цен","")))),"")</f>
      </c>
    </row>
    <row r="1282">
      <c r="A1282" s="2" t="inlineStr">
        <is>
          <t>CuteShop</t>
        </is>
      </c>
      <c r="B1282" s="2" t="inlineStr">
        <is>
          <t>Держатели для пустышек</t>
        </is>
      </c>
      <c r="C1282" s="2">
        <v>111031945</v>
      </c>
      <c r="D1282" s="2" t="inlineStr">
        <is>
          <t>IlyaBG1</t>
        </is>
      </c>
      <c r="E1282" s="2" t="inlineStr">
        <is>
          <t>2037465024621</t>
        </is>
      </c>
      <c r="F1282" s="2">
        <v>0</v>
      </c>
      <c r="G1282" s="2">
        <v>0</v>
      </c>
      <c r="H1282" s="2">
        <v>0</v>
      </c>
      <c r="I1282" s="2" t="inlineStr">
        <is>
          <t>790</t>
        </is>
      </c>
      <c r="J1282" s="4"/>
      <c r="K1282" s="2">
        <v>10</v>
      </c>
      <c r="L1282" s="6"/>
      <c r="M1282" s="2" t="str">
        <f>IF(J1282="",ROUND(I1282*(1-IF(ISBLANK(L1282),K1282,L1282)/100),2),ROUND(J1282*(1-IF(ISBLANK(L1282),K1282,L1282)/100),2))</f>
      </c>
      <c r="N1282" s="7" t="str">
        <f>IF(NOT(AND(J1282="",L1282="")),IF(OR(AND(L1282&lt;&gt;"",NOT(ISNUMBER(L1282))),IFERROR(MOD(L1282,1),1)&gt;0,AND(ISNUMBER(L1282),OR(L1282&lt;0,L1282&gt;95))),"Введите целое число от 0 до 95",IF(OR(AND(J1282&lt;&gt;"",NOT(ISNUMBER(J1282))),IFERROR(MOD(J1282,1),1)&gt;0,AND(ISNUMBER(J1282),OR(J1282&lt;50,J1282&gt;20000000))),"Введите целое число от 50 до 20000000",IF(NOT(ABS(IFERROR(VALUE(LEFT(M1282,FIND("-",M1282)-1)),M1282)*100-(5000+2000000000)/2)&lt;=ABS(5000-2000000000)/2),"Цена со скидкой должна быть от 50 до 20000000",IF(IFERROR(VALUE(LEFT(M1282,FIND("-",M1282)-1)),M1282)*229&lt;71100,"Вы уменьшили цену в несколько раз, товар попадет в карантин цен","")))),"")</f>
      </c>
    </row>
    <row r="1283">
      <c r="A1283" s="2" t="inlineStr">
        <is>
          <t>CuteShop</t>
        </is>
      </c>
      <c r="B1283" s="2" t="inlineStr">
        <is>
          <t>Держатели для пустышек</t>
        </is>
      </c>
      <c r="C1283" s="2">
        <v>112401358</v>
      </c>
      <c r="D1283" s="2" t="inlineStr">
        <is>
          <t>KatyushaBG</t>
        </is>
      </c>
      <c r="E1283" s="2" t="inlineStr">
        <is>
          <t>2038790908624</t>
        </is>
      </c>
      <c r="F1283" s="2">
        <v>0</v>
      </c>
      <c r="G1283" s="2">
        <v>1</v>
      </c>
      <c r="H1283" s="2">
        <v>0</v>
      </c>
      <c r="I1283" s="2" t="inlineStr">
        <is>
          <t>790</t>
        </is>
      </c>
      <c r="J1283" s="4"/>
      <c r="K1283" s="2">
        <v>10</v>
      </c>
      <c r="L1283" s="6"/>
      <c r="M1283" s="2" t="str">
        <f>IF(J1283="",ROUND(I1283*(1-IF(ISBLANK(L1283),K1283,L1283)/100),2),ROUND(J1283*(1-IF(ISBLANK(L1283),K1283,L1283)/100),2))</f>
      </c>
      <c r="N1283" s="7" t="str">
        <f>IF(NOT(AND(J1283="",L1283="")),IF(OR(AND(L1283&lt;&gt;"",NOT(ISNUMBER(L1283))),IFERROR(MOD(L1283,1),1)&gt;0,AND(ISNUMBER(L1283),OR(L1283&lt;0,L1283&gt;95))),"Введите целое число от 0 до 95",IF(OR(AND(J1283&lt;&gt;"",NOT(ISNUMBER(J1283))),IFERROR(MOD(J1283,1),1)&gt;0,AND(ISNUMBER(J1283),OR(J1283&lt;50,J1283&gt;20000000))),"Введите целое число от 50 до 20000000",IF(NOT(ABS(IFERROR(VALUE(LEFT(M1283,FIND("-",M1283)-1)),M1283)*100-(5000+2000000000)/2)&lt;=ABS(5000-2000000000)/2),"Цена со скидкой должна быть от 50 до 20000000",IF(IFERROR(VALUE(LEFT(M1283,FIND("-",M1283)-1)),M1283)*229&lt;71100,"Вы уменьшили цену в несколько раз, товар попадет в карантин цен","")))),"")</f>
      </c>
    </row>
    <row r="1284">
      <c r="A1284" s="2" t="inlineStr">
        <is>
          <t>CuteShop</t>
        </is>
      </c>
      <c r="B1284" s="2" t="inlineStr">
        <is>
          <t>Бусины</t>
        </is>
      </c>
      <c r="C1284" s="2">
        <v>151582874</v>
      </c>
      <c r="D1284" s="2" t="inlineStr">
        <is>
          <t>Bus-akril-8mm-krasn-200</t>
        </is>
      </c>
      <c r="E1284" s="2" t="inlineStr">
        <is>
          <t>2037600711614</t>
        </is>
      </c>
      <c r="F1284" s="2">
        <v>0</v>
      </c>
      <c r="G1284" s="2">
        <v>0</v>
      </c>
      <c r="H1284" s="2">
        <v>0</v>
      </c>
      <c r="I1284" s="2" t="inlineStr">
        <is>
          <t>320</t>
        </is>
      </c>
      <c r="J1284" s="4"/>
      <c r="K1284" s="2">
        <v>0</v>
      </c>
      <c r="L1284" s="6"/>
      <c r="M1284" s="2" t="str">
        <f>IF(J1284="",ROUND(I1284*(1-IF(ISBLANK(L1284),K1284,L1284)/100),2),ROUND(J1284*(1-IF(ISBLANK(L1284),K1284,L1284)/100),2))</f>
      </c>
      <c r="N1284" s="7" t="str">
        <f>IF(NOT(AND(J1284="",L1284="")),IF(OR(AND(L1284&lt;&gt;"",NOT(ISNUMBER(L1284))),IFERROR(MOD(L1284,1),1)&gt;0,AND(ISNUMBER(L1284),OR(L1284&lt;0,L1284&gt;95))),"Введите целое число от 0 до 95",IF(OR(AND(J1284&lt;&gt;"",NOT(ISNUMBER(J1284))),IFERROR(MOD(J1284,1),1)&gt;0,AND(ISNUMBER(J1284),OR(J1284&lt;50,J1284&gt;20000000))),"Введите целое число от 50 до 20000000",IF(NOT(ABS(IFERROR(VALUE(LEFT(M1284,FIND("-",M1284)-1)),M1284)*100-(5000+2000000000)/2)&lt;=ABS(5000-2000000000)/2),"Цена со скидкой должна быть от 50 до 20000000",IF(IFERROR(VALUE(LEFT(M1284,FIND("-",M1284)-1)),M1284)*190&lt;32000,"Вы уменьшили цену в несколько раз, товар попадет в карантин цен","")))),"")</f>
      </c>
    </row>
    <row r="1285">
      <c r="A1285" s="2" t="inlineStr">
        <is>
          <t>CuteShop</t>
        </is>
      </c>
      <c r="B1285" s="2" t="inlineStr">
        <is>
          <t>Аксессуары для рукоделия</t>
        </is>
      </c>
      <c r="C1285" s="2">
        <v>137867446</v>
      </c>
      <c r="D1285" s="2" t="inlineStr">
        <is>
          <t>Ser-Straz-SinOval-2</t>
        </is>
      </c>
      <c r="E1285" s="2" t="inlineStr">
        <is>
          <t>2037234264173</t>
        </is>
      </c>
      <c r="F1285" s="2">
        <v>0</v>
      </c>
      <c r="G1285" s="2">
        <v>0</v>
      </c>
      <c r="H1285" s="2" t="inlineStr">
        <is>
          <t/>
        </is>
      </c>
      <c r="I1285" s="2" t="inlineStr">
        <is>
          <t>290</t>
        </is>
      </c>
      <c r="J1285" s="4"/>
      <c r="K1285" s="2">
        <v>0</v>
      </c>
      <c r="L1285" s="6"/>
      <c r="M1285" s="2" t="str">
        <f>IF(J1285="",ROUND(I1285*(1-IF(ISBLANK(L1285),K1285,L1285)/100),2),ROUND(J1285*(1-IF(ISBLANK(L1285),K1285,L1285)/100),2))</f>
      </c>
      <c r="N1285" s="7" t="str">
        <f>IF(NOT(AND(J1285="",L1285="")),IF(OR(AND(L1285&lt;&gt;"",NOT(ISNUMBER(L1285))),IFERROR(MOD(L1285,1),1)&gt;0,AND(ISNUMBER(L1285),OR(L1285&lt;0,L1285&gt;95))),"Введите целое число от 0 до 95",IF(OR(AND(J1285&lt;&gt;"",NOT(ISNUMBER(J1285))),IFERROR(MOD(J1285,1),1)&gt;0,AND(ISNUMBER(J1285),OR(J1285&lt;50,J1285&gt;20000000))),"Введите целое число от 50 до 20000000",IF(NOT(ABS(IFERROR(VALUE(LEFT(M1285,FIND("-",M1285)-1)),M1285)*100-(5000+2000000000)/2)&lt;=ABS(5000-2000000000)/2),"Цена со скидкой должна быть от 50 до 20000000",IF(IFERROR(VALUE(LEFT(M1285,FIND("-",M1285)-1)),M1285)*190&lt;29000,"Вы уменьшили цену в несколько раз, товар попадет в карантин цен","")))),"")</f>
      </c>
    </row>
    <row r="1286">
      <c r="A1286" s="2" t="inlineStr">
        <is>
          <t>CuteShop</t>
        </is>
      </c>
      <c r="B1286" s="2" t="inlineStr">
        <is>
          <t>Аксессуары для рукоделия</t>
        </is>
      </c>
      <c r="C1286" s="2">
        <v>138944478</v>
      </c>
      <c r="D1286" s="2" t="inlineStr">
        <is>
          <t>Ser-Straz-RozBig4</t>
        </is>
      </c>
      <c r="E1286" s="2" t="inlineStr">
        <is>
          <t>2037255590336</t>
        </is>
      </c>
      <c r="F1286" s="2">
        <v>0</v>
      </c>
      <c r="G1286" s="2">
        <v>0</v>
      </c>
      <c r="H1286" s="2" t="inlineStr">
        <is>
          <t/>
        </is>
      </c>
      <c r="I1286" s="2" t="inlineStr">
        <is>
          <t>390</t>
        </is>
      </c>
      <c r="J1286" s="4"/>
      <c r="K1286" s="2">
        <v>0</v>
      </c>
      <c r="L1286" s="6"/>
      <c r="M1286" s="2" t="str">
        <f>IF(J1286="",ROUND(I1286*(1-IF(ISBLANK(L1286),K1286,L1286)/100),2),ROUND(J1286*(1-IF(ISBLANK(L1286),K1286,L1286)/100),2))</f>
      </c>
      <c r="N1286" s="7" t="str">
        <f>IF(NOT(AND(J1286="",L1286="")),IF(OR(AND(L1286&lt;&gt;"",NOT(ISNUMBER(L1286))),IFERROR(MOD(L1286,1),1)&gt;0,AND(ISNUMBER(L1286),OR(L1286&lt;0,L1286&gt;95))),"Введите целое число от 0 до 95",IF(OR(AND(J1286&lt;&gt;"",NOT(ISNUMBER(J1286))),IFERROR(MOD(J1286,1),1)&gt;0,AND(ISNUMBER(J1286),OR(J1286&lt;50,J1286&gt;20000000))),"Введите целое число от 50 до 20000000",IF(NOT(ABS(IFERROR(VALUE(LEFT(M1286,FIND("-",M1286)-1)),M1286)*100-(5000+2000000000)/2)&lt;=ABS(5000-2000000000)/2),"Цена со скидкой должна быть от 50 до 20000000",IF(IFERROR(VALUE(LEFT(M1286,FIND("-",M1286)-1)),M1286)*190&lt;39000,"Вы уменьшили цену в несколько раз, товар попадет в карантин цен","")))),"")</f>
      </c>
    </row>
    <row r="1287">
      <c r="A1287" s="2" t="inlineStr">
        <is>
          <t>CuteShop</t>
        </is>
      </c>
      <c r="B1287" s="2" t="inlineStr">
        <is>
          <t>Держатели для пустышек</t>
        </is>
      </c>
      <c r="C1287" s="2">
        <v>112388128</v>
      </c>
      <c r="D1287" s="2" t="inlineStr">
        <is>
          <t>DimaKoala</t>
        </is>
      </c>
      <c r="E1287" s="2" t="inlineStr">
        <is>
          <t>2038784172628</t>
        </is>
      </c>
      <c r="F1287" s="2">
        <v>0</v>
      </c>
      <c r="G1287" s="2">
        <v>0</v>
      </c>
      <c r="H1287" s="2">
        <v>0</v>
      </c>
      <c r="I1287" s="2" t="inlineStr">
        <is>
          <t>1030</t>
        </is>
      </c>
      <c r="J1287" s="4"/>
      <c r="K1287" s="2">
        <v>10</v>
      </c>
      <c r="L1287" s="6"/>
      <c r="M1287" s="2" t="str">
        <f>IF(J1287="",ROUND(I1287*(1-IF(ISBLANK(L1287),K1287,L1287)/100),2),ROUND(J1287*(1-IF(ISBLANK(L1287),K1287,L1287)/100),2))</f>
      </c>
      <c r="N1287" s="7" t="str">
        <f>IF(NOT(AND(J1287="",L1287="")),IF(OR(AND(L1287&lt;&gt;"",NOT(ISNUMBER(L1287))),IFERROR(MOD(L1287,1),1)&gt;0,AND(ISNUMBER(L1287),OR(L1287&lt;0,L1287&gt;95))),"Введите целое число от 0 до 95",IF(OR(AND(J1287&lt;&gt;"",NOT(ISNUMBER(J1287))),IFERROR(MOD(J1287,1),1)&gt;0,AND(ISNUMBER(J1287),OR(J1287&lt;50,J1287&gt;20000000))),"Введите целое число от 50 до 20000000",IF(NOT(ABS(IFERROR(VALUE(LEFT(M1287,FIND("-",M1287)-1)),M1287)*100-(5000+2000000000)/2)&lt;=ABS(5000-2000000000)/2),"Цена со скидкой должна быть от 50 до 20000000",IF(IFERROR(VALUE(LEFT(M1287,FIND("-",M1287)-1)),M1287)*229&lt;92700,"Вы уменьшили цену в несколько раз, товар попадет в карантин цен","")))),"")</f>
      </c>
    </row>
    <row r="1288">
      <c r="A1288" s="2" t="inlineStr">
        <is>
          <t>CuteShop</t>
        </is>
      </c>
      <c r="B1288" s="2" t="inlineStr">
        <is>
          <t>Аксессуары для рукоделия</t>
        </is>
      </c>
      <c r="C1288" s="2">
        <v>138944479</v>
      </c>
      <c r="D1288" s="2" t="inlineStr">
        <is>
          <t>Ser-Straz-RaduzhBig4</t>
        </is>
      </c>
      <c r="E1288" s="2" t="inlineStr">
        <is>
          <t>2037255578624</t>
        </is>
      </c>
      <c r="F1288" s="2">
        <v>0</v>
      </c>
      <c r="G1288" s="2">
        <v>0</v>
      </c>
      <c r="H1288" s="2" t="inlineStr">
        <is>
          <t/>
        </is>
      </c>
      <c r="I1288" s="2" t="inlineStr">
        <is>
          <t>390</t>
        </is>
      </c>
      <c r="J1288" s="4"/>
      <c r="K1288" s="2">
        <v>0</v>
      </c>
      <c r="L1288" s="6"/>
      <c r="M1288" s="2" t="str">
        <f>IF(J1288="",ROUND(I1288*(1-IF(ISBLANK(L1288),K1288,L1288)/100),2),ROUND(J1288*(1-IF(ISBLANK(L1288),K1288,L1288)/100),2))</f>
      </c>
      <c r="N1288" s="7" t="str">
        <f>IF(NOT(AND(J1288="",L1288="")),IF(OR(AND(L1288&lt;&gt;"",NOT(ISNUMBER(L1288))),IFERROR(MOD(L1288,1),1)&gt;0,AND(ISNUMBER(L1288),OR(L1288&lt;0,L1288&gt;95))),"Введите целое число от 0 до 95",IF(OR(AND(J1288&lt;&gt;"",NOT(ISNUMBER(J1288))),IFERROR(MOD(J1288,1),1)&gt;0,AND(ISNUMBER(J1288),OR(J1288&lt;50,J1288&gt;20000000))),"Введите целое число от 50 до 20000000",IF(NOT(ABS(IFERROR(VALUE(LEFT(M1288,FIND("-",M1288)-1)),M1288)*100-(5000+2000000000)/2)&lt;=ABS(5000-2000000000)/2),"Цена со скидкой должна быть от 50 до 20000000",IF(IFERROR(VALUE(LEFT(M1288,FIND("-",M1288)-1)),M1288)*190&lt;39000,"Вы уменьшили цену в несколько раз, товар попадет в карантин цен","")))),"")</f>
      </c>
    </row>
    <row r="1289">
      <c r="A1289" s="2" t="inlineStr">
        <is>
          <t>CuteShop</t>
        </is>
      </c>
      <c r="B1289" s="2" t="inlineStr">
        <is>
          <t>Аксессуары для рукоделия</t>
        </is>
      </c>
      <c r="C1289" s="2">
        <v>213778739</v>
      </c>
      <c r="D1289" s="2" t="inlineStr">
        <is>
          <t>Kab-9May-1</t>
        </is>
      </c>
      <c r="E1289" s="2" t="inlineStr">
        <is>
          <t>2039581878454</t>
        </is>
      </c>
      <c r="F1289" s="2">
        <v>0</v>
      </c>
      <c r="G1289" s="2">
        <v>0</v>
      </c>
      <c r="H1289" s="2" t="inlineStr">
        <is>
          <t/>
        </is>
      </c>
      <c r="I1289" s="2" t="inlineStr">
        <is>
          <t>370</t>
        </is>
      </c>
      <c r="J1289" s="4"/>
      <c r="K1289" s="2">
        <v>3</v>
      </c>
      <c r="L1289" s="6"/>
      <c r="M1289" s="2" t="str">
        <f>IF(J1289="",ROUND(I1289*(1-IF(ISBLANK(L1289),K1289,L1289)/100),2),ROUND(J1289*(1-IF(ISBLANK(L1289),K1289,L1289)/100),2))</f>
      </c>
      <c r="N1289" s="7" t="str">
        <f>IF(NOT(AND(J1289="",L1289="")),IF(OR(AND(L1289&lt;&gt;"",NOT(ISNUMBER(L1289))),IFERROR(MOD(L1289,1),1)&gt;0,AND(ISNUMBER(L1289),OR(L1289&lt;0,L1289&gt;95))),"Введите целое число от 0 до 95",IF(OR(AND(J1289&lt;&gt;"",NOT(ISNUMBER(J1289))),IFERROR(MOD(J1289,1),1)&gt;0,AND(ISNUMBER(J1289),OR(J1289&lt;50,J1289&gt;20000000))),"Введите целое число от 50 до 20000000",IF(NOT(ABS(IFERROR(VALUE(LEFT(M1289,FIND("-",M1289)-1)),M1289)*100-(5000+2000000000)/2)&lt;=ABS(5000-2000000000)/2),"Цена со скидкой должна быть от 50 до 20000000",IF(IFERROR(VALUE(LEFT(M1289,FIND("-",M1289)-1)),M1289)*190&lt;35890,"Вы уменьшили цену в несколько раз, товар попадет в карантин цен","")))),"")</f>
      </c>
    </row>
    <row r="1290">
      <c r="A1290" s="2" t="inlineStr">
        <is>
          <t>CuteShop</t>
        </is>
      </c>
      <c r="B1290" s="2" t="inlineStr">
        <is>
          <t>Держатели для пустышек</t>
        </is>
      </c>
      <c r="C1290" s="2">
        <v>112358498</v>
      </c>
      <c r="D1290" s="2" t="inlineStr">
        <is>
          <t>AlisaBG1</t>
        </is>
      </c>
      <c r="E1290" s="2" t="inlineStr">
        <is>
          <t>2038780941624</t>
        </is>
      </c>
      <c r="F1290" s="2">
        <v>0</v>
      </c>
      <c r="G1290" s="2">
        <v>1</v>
      </c>
      <c r="H1290" s="2">
        <v>0</v>
      </c>
      <c r="I1290" s="2" t="inlineStr">
        <is>
          <t>790</t>
        </is>
      </c>
      <c r="J1290" s="4"/>
      <c r="K1290" s="2">
        <v>10</v>
      </c>
      <c r="L1290" s="6"/>
      <c r="M1290" s="2" t="str">
        <f>IF(J1290="",ROUND(I1290*(1-IF(ISBLANK(L1290),K1290,L1290)/100),2),ROUND(J1290*(1-IF(ISBLANK(L1290),K1290,L1290)/100),2))</f>
      </c>
      <c r="N1290" s="7" t="str">
        <f>IF(NOT(AND(J1290="",L1290="")),IF(OR(AND(L1290&lt;&gt;"",NOT(ISNUMBER(L1290))),IFERROR(MOD(L1290,1),1)&gt;0,AND(ISNUMBER(L1290),OR(L1290&lt;0,L1290&gt;95))),"Введите целое число от 0 до 95",IF(OR(AND(J1290&lt;&gt;"",NOT(ISNUMBER(J1290))),IFERROR(MOD(J1290,1),1)&gt;0,AND(ISNUMBER(J1290),OR(J1290&lt;50,J1290&gt;20000000))),"Введите целое число от 50 до 20000000",IF(NOT(ABS(IFERROR(VALUE(LEFT(M1290,FIND("-",M1290)-1)),M1290)*100-(5000+2000000000)/2)&lt;=ABS(5000-2000000000)/2),"Цена со скидкой должна быть от 50 до 20000000",IF(IFERROR(VALUE(LEFT(M1290,FIND("-",M1290)-1)),M1290)*229&lt;71100,"Вы уменьшили цену в несколько раз, товар попадет в карантин цен","")))),"")</f>
      </c>
    </row>
    <row r="1291">
      <c r="A1291" s="2" t="inlineStr">
        <is>
          <t>CuteShop</t>
        </is>
      </c>
      <c r="B1291" s="2" t="inlineStr">
        <is>
          <t>Бусины</t>
        </is>
      </c>
      <c r="C1291" s="2">
        <v>153290578</v>
      </c>
      <c r="D1291" s="2" t="inlineStr">
        <is>
          <t>Bus-raduzh-8mm-prozrach-500</t>
        </is>
      </c>
      <c r="E1291" s="2" t="inlineStr">
        <is>
          <t>2037631358666</t>
        </is>
      </c>
      <c r="F1291" s="2">
        <v>0</v>
      </c>
      <c r="G1291" s="2">
        <v>0</v>
      </c>
      <c r="H1291" s="2">
        <v>0</v>
      </c>
      <c r="I1291" s="2" t="inlineStr">
        <is>
          <t>620</t>
        </is>
      </c>
      <c r="J1291" s="4"/>
      <c r="K1291" s="2">
        <v>0</v>
      </c>
      <c r="L1291" s="6"/>
      <c r="M1291" s="2" t="str">
        <f>IF(J1291="",ROUND(I1291*(1-IF(ISBLANK(L1291),K1291,L1291)/100),2),ROUND(J1291*(1-IF(ISBLANK(L1291),K1291,L1291)/100),2))</f>
      </c>
      <c r="N1291" s="7" t="str">
        <f>IF(NOT(AND(J1291="",L1291="")),IF(OR(AND(L1291&lt;&gt;"",NOT(ISNUMBER(L1291))),IFERROR(MOD(L1291,1),1)&gt;0,AND(ISNUMBER(L1291),OR(L1291&lt;0,L1291&gt;95))),"Введите целое число от 0 до 95",IF(OR(AND(J1291&lt;&gt;"",NOT(ISNUMBER(J1291))),IFERROR(MOD(J1291,1),1)&gt;0,AND(ISNUMBER(J1291),OR(J1291&lt;50,J1291&gt;20000000))),"Введите целое число от 50 до 20000000",IF(NOT(ABS(IFERROR(VALUE(LEFT(M1291,FIND("-",M1291)-1)),M1291)*100-(5000+2000000000)/2)&lt;=ABS(5000-2000000000)/2),"Цена со скидкой должна быть от 50 до 20000000",IF(IFERROR(VALUE(LEFT(M1291,FIND("-",M1291)-1)),M1291)*190&lt;62000,"Вы уменьшили цену в несколько раз, товар попадет в карантин цен","")))),"")</f>
      </c>
    </row>
    <row r="1292">
      <c r="A1292" s="2" t="inlineStr">
        <is>
          <t>CuteShop</t>
        </is>
      </c>
      <c r="B1292" s="2" t="inlineStr">
        <is>
          <t>Держатели для пустышек</t>
        </is>
      </c>
      <c r="C1292" s="2">
        <v>112371120</v>
      </c>
      <c r="D1292" s="2" t="inlineStr">
        <is>
          <t>SenyaMish</t>
        </is>
      </c>
      <c r="E1292" s="2" t="inlineStr">
        <is>
          <t>2038782740621</t>
        </is>
      </c>
      <c r="F1292" s="2">
        <v>0</v>
      </c>
      <c r="G1292" s="2">
        <v>0</v>
      </c>
      <c r="H1292" s="2" t="inlineStr">
        <is>
          <t/>
        </is>
      </c>
      <c r="I1292" s="2" t="inlineStr">
        <is>
          <t>1030</t>
        </is>
      </c>
      <c r="J1292" s="4"/>
      <c r="K1292" s="2">
        <v>10</v>
      </c>
      <c r="L1292" s="6"/>
      <c r="M1292" s="2" t="str">
        <f>IF(J1292="",ROUND(I1292*(1-IF(ISBLANK(L1292),K1292,L1292)/100),2),ROUND(J1292*(1-IF(ISBLANK(L1292),K1292,L1292)/100),2))</f>
      </c>
      <c r="N1292" s="7" t="str">
        <f>IF(NOT(AND(J1292="",L1292="")),IF(OR(AND(L1292&lt;&gt;"",NOT(ISNUMBER(L1292))),IFERROR(MOD(L1292,1),1)&gt;0,AND(ISNUMBER(L1292),OR(L1292&lt;0,L1292&gt;95))),"Введите целое число от 0 до 95",IF(OR(AND(J1292&lt;&gt;"",NOT(ISNUMBER(J1292))),IFERROR(MOD(J1292,1),1)&gt;0,AND(ISNUMBER(J1292),OR(J1292&lt;50,J1292&gt;20000000))),"Введите целое число от 50 до 20000000",IF(NOT(ABS(IFERROR(VALUE(LEFT(M1292,FIND("-",M1292)-1)),M1292)*100-(5000+2000000000)/2)&lt;=ABS(5000-2000000000)/2),"Цена со скидкой должна быть от 50 до 20000000",IF(IFERROR(VALUE(LEFT(M1292,FIND("-",M1292)-1)),M1292)*229&lt;92700,"Вы уменьшили цену в несколько раз, товар попадет в карантин цен","")))),"")</f>
      </c>
    </row>
    <row r="1293">
      <c r="A1293" s="2" t="inlineStr">
        <is>
          <t>CuteShop</t>
        </is>
      </c>
      <c r="B1293" s="2" t="inlineStr">
        <is>
          <t>Ленты для рукоделия</t>
        </is>
      </c>
      <c r="C1293" s="2">
        <v>277515534</v>
      </c>
      <c r="D1293" s="2" t="inlineStr">
        <is>
          <t>Lenta-Rep-Baboch2-Bordo-5</t>
        </is>
      </c>
      <c r="E1293" s="2" t="inlineStr">
        <is>
          <t>2041645856377</t>
        </is>
      </c>
      <c r="F1293" s="2">
        <v>0</v>
      </c>
      <c r="G1293" s="2">
        <v>1</v>
      </c>
      <c r="H1293" s="2" t="inlineStr">
        <is>
          <t/>
        </is>
      </c>
      <c r="I1293" s="2" t="inlineStr">
        <is>
          <t>0</t>
        </is>
      </c>
      <c r="J1293" s="4"/>
      <c r="K1293" s="2">
        <v>0</v>
      </c>
      <c r="L1293" s="6"/>
      <c r="M1293" s="2" t="str">
        <f>IF(J1293="",ROUND(I1293*(1-IF(ISBLANK(L1293),K1293,L1293)/100),2),ROUND(J1293*(1-IF(ISBLANK(L1293),K1293,L1293)/100),2))</f>
      </c>
      <c r="N1293" s="7" t="str">
        <f>IF(NOT(AND(J1293="",L1293="")),IF(OR(AND(L1293&lt;&gt;"",NOT(ISNUMBER(L1293))),IFERROR(MOD(L1293,1),1)&gt;0,AND(ISNUMBER(L1293),OR(L1293&lt;0,L1293&gt;95))),"Введите целое число от 0 до 95",IF(OR(AND(J1293&lt;&gt;"",NOT(ISNUMBER(J1293))),IFERROR(MOD(J1293,1),1)&gt;0,AND(ISNUMBER(J1293),OR(J1293&lt;50,J1293&gt;20000000))),"Введите целое число от 50 до 20000000",IF(NOT(ABS(IFERROR(VALUE(LEFT(M1293,FIND("-",M1293)-1)),M1293)*100-(5000+2000000000)/2)&lt;=ABS(5000-2000000000)/2),"Цена со скидкой должна быть от 50 до 20000000",IF(IFERROR(VALUE(LEFT(M1293,FIND("-",M1293)-1)),M1293)*190&lt;0,"Вы уменьшили цену в несколько раз, товар попадет в карантин цен","")))),"")</f>
      </c>
    </row>
    <row r="1294">
      <c r="A1294" s="2" t="inlineStr">
        <is>
          <t>CuteShop</t>
        </is>
      </c>
      <c r="B1294" s="2" t="inlineStr">
        <is>
          <t>Держатели для пустышек</t>
        </is>
      </c>
      <c r="C1294" s="2">
        <v>112358499</v>
      </c>
      <c r="D1294" s="2" t="inlineStr">
        <is>
          <t>AlisaEdin1</t>
        </is>
      </c>
      <c r="E1294" s="2" t="inlineStr">
        <is>
          <t>2038780885621</t>
        </is>
      </c>
      <c r="F1294" s="2">
        <v>0</v>
      </c>
      <c r="G1294" s="2">
        <v>0</v>
      </c>
      <c r="H1294" s="2">
        <v>0</v>
      </c>
      <c r="I1294" s="2" t="inlineStr">
        <is>
          <t>1030</t>
        </is>
      </c>
      <c r="J1294" s="4"/>
      <c r="K1294" s="2">
        <v>10</v>
      </c>
      <c r="L1294" s="6"/>
      <c r="M1294" s="2" t="str">
        <f>IF(J1294="",ROUND(I1294*(1-IF(ISBLANK(L1294),K1294,L1294)/100),2),ROUND(J1294*(1-IF(ISBLANK(L1294),K1294,L1294)/100),2))</f>
      </c>
      <c r="N1294" s="7" t="str">
        <f>IF(NOT(AND(J1294="",L1294="")),IF(OR(AND(L1294&lt;&gt;"",NOT(ISNUMBER(L1294))),IFERROR(MOD(L1294,1),1)&gt;0,AND(ISNUMBER(L1294),OR(L1294&lt;0,L1294&gt;95))),"Введите целое число от 0 до 95",IF(OR(AND(J1294&lt;&gt;"",NOT(ISNUMBER(J1294))),IFERROR(MOD(J1294,1),1)&gt;0,AND(ISNUMBER(J1294),OR(J1294&lt;50,J1294&gt;20000000))),"Введите целое число от 50 до 20000000",IF(NOT(ABS(IFERROR(VALUE(LEFT(M1294,FIND("-",M1294)-1)),M1294)*100-(5000+2000000000)/2)&lt;=ABS(5000-2000000000)/2),"Цена со скидкой должна быть от 50 до 20000000",IF(IFERROR(VALUE(LEFT(M1294,FIND("-",M1294)-1)),M1294)*229&lt;92700,"Вы уменьшили цену в несколько раз, товар попадет в карантин цен","")))),"")</f>
      </c>
    </row>
    <row r="1295">
      <c r="A1295" s="2" t="inlineStr">
        <is>
          <t>CuteShop</t>
        </is>
      </c>
      <c r="B1295" s="2" t="inlineStr">
        <is>
          <t>Держатели для пустышек</t>
        </is>
      </c>
      <c r="C1295" s="2">
        <v>112385490</v>
      </c>
      <c r="D1295" s="2" t="inlineStr">
        <is>
          <t>IvanBG2</t>
        </is>
      </c>
      <c r="E1295" s="2" t="inlineStr">
        <is>
          <t>2038783450628</t>
        </is>
      </c>
      <c r="F1295" s="2">
        <v>0</v>
      </c>
      <c r="G1295" s="2">
        <v>1</v>
      </c>
      <c r="H1295" s="2">
        <v>1</v>
      </c>
      <c r="I1295" s="2" t="inlineStr">
        <is>
          <t>790</t>
        </is>
      </c>
      <c r="J1295" s="4"/>
      <c r="K1295" s="2">
        <v>10</v>
      </c>
      <c r="L1295" s="6"/>
      <c r="M1295" s="2" t="str">
        <f>IF(J1295="",ROUND(I1295*(1-IF(ISBLANK(L1295),K1295,L1295)/100),2),ROUND(J1295*(1-IF(ISBLANK(L1295),K1295,L1295)/100),2))</f>
      </c>
      <c r="N1295" s="7" t="str">
        <f>IF(NOT(AND(J1295="",L1295="")),IF(OR(AND(L1295&lt;&gt;"",NOT(ISNUMBER(L1295))),IFERROR(MOD(L1295,1),1)&gt;0,AND(ISNUMBER(L1295),OR(L1295&lt;0,L1295&gt;95))),"Введите целое число от 0 до 95",IF(OR(AND(J1295&lt;&gt;"",NOT(ISNUMBER(J1295))),IFERROR(MOD(J1295,1),1)&gt;0,AND(ISNUMBER(J1295),OR(J1295&lt;50,J1295&gt;20000000))),"Введите целое число от 50 до 20000000",IF(NOT(ABS(IFERROR(VALUE(LEFT(M1295,FIND("-",M1295)-1)),M1295)*100-(5000+2000000000)/2)&lt;=ABS(5000-2000000000)/2),"Цена со скидкой должна быть от 50 до 20000000",IF(IFERROR(VALUE(LEFT(M1295,FIND("-",M1295)-1)),M1295)*229&lt;71100,"Вы уменьшили цену в несколько раз, товар попадет в карантин цен","")))),"")</f>
      </c>
    </row>
    <row r="1296">
      <c r="A1296" s="2" t="inlineStr">
        <is>
          <t>CuteShop</t>
        </is>
      </c>
      <c r="B1296" s="2" t="inlineStr">
        <is>
          <t>Бусины</t>
        </is>
      </c>
      <c r="C1296" s="2">
        <v>194507053</v>
      </c>
      <c r="D1296" s="2" t="inlineStr">
        <is>
          <t>Bus-Serd-MixZal4-100</t>
        </is>
      </c>
      <c r="E1296" s="2" t="inlineStr">
        <is>
          <t>2039125082323</t>
        </is>
      </c>
      <c r="F1296" s="2">
        <v>0</v>
      </c>
      <c r="G1296" s="2">
        <v>1</v>
      </c>
      <c r="H1296" s="2" t="inlineStr">
        <is>
          <t/>
        </is>
      </c>
      <c r="I1296" s="2" t="inlineStr">
        <is>
          <t>280</t>
        </is>
      </c>
      <c r="J1296" s="4"/>
      <c r="K1296" s="2">
        <v>10</v>
      </c>
      <c r="L1296" s="6"/>
      <c r="M1296" s="2" t="str">
        <f>IF(J1296="",ROUND(I1296*(1-IF(ISBLANK(L1296),K1296,L1296)/100),2),ROUND(J1296*(1-IF(ISBLANK(L1296),K1296,L1296)/100),2))</f>
      </c>
      <c r="N1296" s="7" t="str">
        <f>IF(NOT(AND(J1296="",L1296="")),IF(OR(AND(L1296&lt;&gt;"",NOT(ISNUMBER(L1296))),IFERROR(MOD(L1296,1),1)&gt;0,AND(ISNUMBER(L1296),OR(L1296&lt;0,L1296&gt;95))),"Введите целое число от 0 до 95",IF(OR(AND(J1296&lt;&gt;"",NOT(ISNUMBER(J1296))),IFERROR(MOD(J1296,1),1)&gt;0,AND(ISNUMBER(J1296),OR(J1296&lt;50,J1296&gt;20000000))),"Введите целое число от 50 до 20000000",IF(NOT(ABS(IFERROR(VALUE(LEFT(M1296,FIND("-",M1296)-1)),M1296)*100-(5000+2000000000)/2)&lt;=ABS(5000-2000000000)/2),"Цена со скидкой должна быть от 50 до 20000000",IF(IFERROR(VALUE(LEFT(M1296,FIND("-",M1296)-1)),M1296)*190&lt;25200,"Вы уменьшили цену в несколько раз, товар попадет в карантин цен","")))),"")</f>
      </c>
    </row>
    <row r="1297">
      <c r="A1297" s="2" t="inlineStr">
        <is>
          <t>CuteShop</t>
        </is>
      </c>
      <c r="B1297" s="2" t="inlineStr">
        <is>
          <t>Ленты для рукоделия</t>
        </is>
      </c>
      <c r="C1297" s="2">
        <v>387574357</v>
      </c>
      <c r="D1297" s="2" t="inlineStr">
        <is>
          <t>Lenta-Georg-5</t>
        </is>
      </c>
      <c r="E1297" s="2" t="inlineStr">
        <is>
          <t>2043602081150</t>
        </is>
      </c>
      <c r="F1297" s="2">
        <v>0</v>
      </c>
      <c r="G1297" s="2">
        <v>0</v>
      </c>
      <c r="H1297" s="2" t="inlineStr">
        <is>
          <t/>
        </is>
      </c>
      <c r="I1297" s="2" t="inlineStr">
        <is>
          <t>300</t>
        </is>
      </c>
      <c r="J1297" s="4"/>
      <c r="K1297" s="2">
        <v>6</v>
      </c>
      <c r="L1297" s="6"/>
      <c r="M1297" s="2" t="str">
        <f>IF(J1297="",ROUND(I1297*(1-IF(ISBLANK(L1297),K1297,L1297)/100),2),ROUND(J1297*(1-IF(ISBLANK(L1297),K1297,L1297)/100),2))</f>
      </c>
      <c r="N1297" s="7" t="str">
        <f>IF(NOT(AND(J1297="",L1297="")),IF(OR(AND(L1297&lt;&gt;"",NOT(ISNUMBER(L1297))),IFERROR(MOD(L1297,1),1)&gt;0,AND(ISNUMBER(L1297),OR(L1297&lt;0,L1297&gt;95))),"Введите целое число от 0 до 95",IF(OR(AND(J1297&lt;&gt;"",NOT(ISNUMBER(J1297))),IFERROR(MOD(J1297,1),1)&gt;0,AND(ISNUMBER(J1297),OR(J1297&lt;50,J1297&gt;20000000))),"Введите целое число от 50 до 20000000",IF(NOT(ABS(IFERROR(VALUE(LEFT(M1297,FIND("-",M1297)-1)),M1297)*100-(5000+2000000000)/2)&lt;=ABS(5000-2000000000)/2),"Цена со скидкой должна быть от 50 до 20000000",IF(IFERROR(VALUE(LEFT(M1297,FIND("-",M1297)-1)),M1297)*190&lt;28200,"Вы уменьшили цену в несколько раз, товар попадет в карантин цен","")))),"")</f>
      </c>
    </row>
    <row r="1298">
      <c r="A1298" s="2" t="inlineStr">
        <is>
          <t>CuteShop</t>
        </is>
      </c>
      <c r="B1298" s="2" t="inlineStr">
        <is>
          <t>Ленты для рукоделия</t>
        </is>
      </c>
      <c r="C1298" s="2">
        <v>213889904</v>
      </c>
      <c r="D1298" s="2" t="inlineStr">
        <is>
          <t>Lenta-Rep-9May-6</t>
        </is>
      </c>
      <c r="E1298" s="2" t="inlineStr">
        <is>
          <t>2039583697688</t>
        </is>
      </c>
      <c r="F1298" s="2">
        <v>0</v>
      </c>
      <c r="G1298" s="2">
        <v>0</v>
      </c>
      <c r="H1298" s="2" t="inlineStr">
        <is>
          <t/>
        </is>
      </c>
      <c r="I1298" s="2" t="inlineStr">
        <is>
          <t>320</t>
        </is>
      </c>
      <c r="J1298" s="4"/>
      <c r="K1298" s="2">
        <v>8</v>
      </c>
      <c r="L1298" s="6"/>
      <c r="M1298" s="2" t="str">
        <f>IF(J1298="",ROUND(I1298*(1-IF(ISBLANK(L1298),K1298,L1298)/100),2),ROUND(J1298*(1-IF(ISBLANK(L1298),K1298,L1298)/100),2))</f>
      </c>
      <c r="N1298" s="7" t="str">
        <f>IF(NOT(AND(J1298="",L1298="")),IF(OR(AND(L1298&lt;&gt;"",NOT(ISNUMBER(L1298))),IFERROR(MOD(L1298,1),1)&gt;0,AND(ISNUMBER(L1298),OR(L1298&lt;0,L1298&gt;95))),"Введите целое число от 0 до 95",IF(OR(AND(J1298&lt;&gt;"",NOT(ISNUMBER(J1298))),IFERROR(MOD(J1298,1),1)&gt;0,AND(ISNUMBER(J1298),OR(J1298&lt;50,J1298&gt;20000000))),"Введите целое число от 50 до 20000000",IF(NOT(ABS(IFERROR(VALUE(LEFT(M1298,FIND("-",M1298)-1)),M1298)*100-(5000+2000000000)/2)&lt;=ABS(5000-2000000000)/2),"Цена со скидкой должна быть от 50 до 20000000",IF(IFERROR(VALUE(LEFT(M1298,FIND("-",M1298)-1)),M1298)*190&lt;29440,"Вы уменьшили цену в несколько раз, товар попадет в карантин цен","")))),"")</f>
      </c>
    </row>
    <row r="1299">
      <c r="A1299" s="2" t="inlineStr">
        <is>
          <t/>
        </is>
      </c>
      <c r="B1299" s="2" t="inlineStr">
        <is>
          <t>Ткани для рукоделия</t>
        </is>
      </c>
      <c r="C1299" s="2">
        <v>195362793</v>
      </c>
      <c r="D1299" s="2" t="inlineStr">
        <is>
          <t>Fatin-ZvezdNebo-Bel15-5</t>
        </is>
      </c>
      <c r="E1299" s="2" t="inlineStr">
        <is>
          <t>2039141913601</t>
        </is>
      </c>
      <c r="F1299" s="2">
        <v>0</v>
      </c>
      <c r="G1299" s="2">
        <v>0</v>
      </c>
      <c r="H1299" s="2" t="inlineStr">
        <is>
          <t/>
        </is>
      </c>
      <c r="I1299" s="2" t="inlineStr">
        <is>
          <t>400</t>
        </is>
      </c>
      <c r="J1299" s="4"/>
      <c r="K1299" s="2">
        <v>0</v>
      </c>
      <c r="L1299" s="6"/>
      <c r="M1299" s="2" t="str">
        <f>IF(J1299="",ROUND(I1299*(1-IF(ISBLANK(L1299),K1299,L1299)/100),2),ROUND(J1299*(1-IF(ISBLANK(L1299),K1299,L1299)/100),2))</f>
      </c>
      <c r="N1299" s="7" t="str">
        <f>IF(NOT(AND(J1299="",L1299="")),IF(OR(AND(L1299&lt;&gt;"",NOT(ISNUMBER(L1299))),IFERROR(MOD(L1299,1),1)&gt;0,AND(ISNUMBER(L1299),OR(L1299&lt;0,L1299&gt;95))),"Введите целое число от 0 до 95",IF(OR(AND(J1299&lt;&gt;"",NOT(ISNUMBER(J1299))),IFERROR(MOD(J1299,1),1)&gt;0,AND(ISNUMBER(J1299),OR(J1299&lt;50,J1299&gt;20000000))),"Введите целое число от 50 до 20000000",IF(NOT(ABS(IFERROR(VALUE(LEFT(M1299,FIND("-",M1299)-1)),M1299)*100-(5000+2000000000)/2)&lt;=ABS(5000-2000000000)/2),"Цена со скидкой должна быть от 50 до 20000000",IF(IFERROR(VALUE(LEFT(M1299,FIND("-",M1299)-1)),M1299)*190&lt;40000,"Вы уменьшили цену в несколько раз, товар попадет в карантин цен","")))),"")</f>
      </c>
    </row>
    <row r="1300">
      <c r="A1300" s="2" t="inlineStr">
        <is>
          <t>CuteShop</t>
        </is>
      </c>
      <c r="B1300" s="2" t="inlineStr">
        <is>
          <t>Держатели для пустышек</t>
        </is>
      </c>
      <c r="C1300" s="2">
        <v>112385492</v>
      </c>
      <c r="D1300" s="2" t="inlineStr">
        <is>
          <t>IvanMishSin</t>
        </is>
      </c>
      <c r="E1300" s="2" t="inlineStr">
        <is>
          <t>2038783230626</t>
        </is>
      </c>
      <c r="F1300" s="2">
        <v>0</v>
      </c>
      <c r="G1300" s="2">
        <v>0</v>
      </c>
      <c r="H1300" s="2">
        <v>0</v>
      </c>
      <c r="I1300" s="2" t="inlineStr">
        <is>
          <t>1030</t>
        </is>
      </c>
      <c r="J1300" s="4"/>
      <c r="K1300" s="2">
        <v>10</v>
      </c>
      <c r="L1300" s="6"/>
      <c r="M1300" s="2" t="str">
        <f>IF(J1300="",ROUND(I1300*(1-IF(ISBLANK(L1300),K1300,L1300)/100),2),ROUND(J1300*(1-IF(ISBLANK(L1300),K1300,L1300)/100),2))</f>
      </c>
      <c r="N1300" s="7" t="str">
        <f>IF(NOT(AND(J1300="",L1300="")),IF(OR(AND(L1300&lt;&gt;"",NOT(ISNUMBER(L1300))),IFERROR(MOD(L1300,1),1)&gt;0,AND(ISNUMBER(L1300),OR(L1300&lt;0,L1300&gt;95))),"Введите целое число от 0 до 95",IF(OR(AND(J1300&lt;&gt;"",NOT(ISNUMBER(J1300))),IFERROR(MOD(J1300,1),1)&gt;0,AND(ISNUMBER(J1300),OR(J1300&lt;50,J1300&gt;20000000))),"Введите целое число от 50 до 20000000",IF(NOT(ABS(IFERROR(VALUE(LEFT(M1300,FIND("-",M1300)-1)),M1300)*100-(5000+2000000000)/2)&lt;=ABS(5000-2000000000)/2),"Цена со скидкой должна быть от 50 до 20000000",IF(IFERROR(VALUE(LEFT(M1300,FIND("-",M1300)-1)),M1300)*229&lt;92700,"Вы уменьшили цену в несколько раз, товар попадет в карантин цен","")))),"")</f>
      </c>
    </row>
    <row r="1301">
      <c r="A1301" s="2" t="inlineStr">
        <is>
          <t>CuteShop</t>
        </is>
      </c>
      <c r="B1301" s="2" t="inlineStr">
        <is>
          <t>Аксессуары для рукоделия</t>
        </is>
      </c>
      <c r="C1301" s="2">
        <v>138946000</v>
      </c>
      <c r="D1301" s="2" t="inlineStr">
        <is>
          <t>Ser-Straz-Azhurgol-2</t>
        </is>
      </c>
      <c r="E1301" s="2" t="inlineStr">
        <is>
          <t>2037255607355</t>
        </is>
      </c>
      <c r="F1301" s="2">
        <v>0</v>
      </c>
      <c r="G1301" s="2">
        <v>0</v>
      </c>
      <c r="H1301" s="2" t="inlineStr">
        <is>
          <t/>
        </is>
      </c>
      <c r="I1301" s="2" t="inlineStr">
        <is>
          <t>320</t>
        </is>
      </c>
      <c r="J1301" s="4"/>
      <c r="K1301" s="2">
        <v>0</v>
      </c>
      <c r="L1301" s="6"/>
      <c r="M1301" s="2" t="str">
        <f>IF(J1301="",ROUND(I1301*(1-IF(ISBLANK(L1301),K1301,L1301)/100),2),ROUND(J1301*(1-IF(ISBLANK(L1301),K1301,L1301)/100),2))</f>
      </c>
      <c r="N1301" s="7" t="str">
        <f>IF(NOT(AND(J1301="",L1301="")),IF(OR(AND(L1301&lt;&gt;"",NOT(ISNUMBER(L1301))),IFERROR(MOD(L1301,1),1)&gt;0,AND(ISNUMBER(L1301),OR(L1301&lt;0,L1301&gt;95))),"Введите целое число от 0 до 95",IF(OR(AND(J1301&lt;&gt;"",NOT(ISNUMBER(J1301))),IFERROR(MOD(J1301,1),1)&gt;0,AND(ISNUMBER(J1301),OR(J1301&lt;50,J1301&gt;20000000))),"Введите целое число от 50 до 20000000",IF(NOT(ABS(IFERROR(VALUE(LEFT(M1301,FIND("-",M1301)-1)),M1301)*100-(5000+2000000000)/2)&lt;=ABS(5000-2000000000)/2),"Цена со скидкой должна быть от 50 до 20000000",IF(IFERROR(VALUE(LEFT(M1301,FIND("-",M1301)-1)),M1301)*190&lt;32000,"Вы уменьшили цену в несколько раз, товар попадет в карантин цен","")))),"")</f>
      </c>
    </row>
    <row r="1302">
      <c r="A1302" s="2" t="inlineStr">
        <is>
          <t>CuteShop</t>
        </is>
      </c>
      <c r="B1302" s="2" t="inlineStr">
        <is>
          <t>Держатели для пустышек</t>
        </is>
      </c>
      <c r="C1302" s="2">
        <v>112388130</v>
      </c>
      <c r="D1302" s="2" t="inlineStr">
        <is>
          <t>DimaLis</t>
        </is>
      </c>
      <c r="E1302" s="2" t="inlineStr">
        <is>
          <t>2038784150626</t>
        </is>
      </c>
      <c r="F1302" s="2">
        <v>0</v>
      </c>
      <c r="G1302" s="2">
        <v>1</v>
      </c>
      <c r="H1302" s="2" t="inlineStr">
        <is>
          <t/>
        </is>
      </c>
      <c r="I1302" s="2" t="inlineStr">
        <is>
          <t>1030</t>
        </is>
      </c>
      <c r="J1302" s="4"/>
      <c r="K1302" s="2">
        <v>10</v>
      </c>
      <c r="L1302" s="6"/>
      <c r="M1302" s="2" t="str">
        <f>IF(J1302="",ROUND(I1302*(1-IF(ISBLANK(L1302),K1302,L1302)/100),2),ROUND(J1302*(1-IF(ISBLANK(L1302),K1302,L1302)/100),2))</f>
      </c>
      <c r="N1302" s="7" t="str">
        <f>IF(NOT(AND(J1302="",L1302="")),IF(OR(AND(L1302&lt;&gt;"",NOT(ISNUMBER(L1302))),IFERROR(MOD(L1302,1),1)&gt;0,AND(ISNUMBER(L1302),OR(L1302&lt;0,L1302&gt;95))),"Введите целое число от 0 до 95",IF(OR(AND(J1302&lt;&gt;"",NOT(ISNUMBER(J1302))),IFERROR(MOD(J1302,1),1)&gt;0,AND(ISNUMBER(J1302),OR(J1302&lt;50,J1302&gt;20000000))),"Введите целое число от 50 до 20000000",IF(NOT(ABS(IFERROR(VALUE(LEFT(M1302,FIND("-",M1302)-1)),M1302)*100-(5000+2000000000)/2)&lt;=ABS(5000-2000000000)/2),"Цена со скидкой должна быть от 50 до 20000000",IF(IFERROR(VALUE(LEFT(M1302,FIND("-",M1302)-1)),M1302)*229&lt;92700,"Вы уменьшили цену в несколько раз, товар попадет в карантин цен","")))),"")</f>
      </c>
    </row>
    <row r="1303">
      <c r="A1303" s="2" t="inlineStr">
        <is>
          <t>CuteShop</t>
        </is>
      </c>
      <c r="B1303" s="2" t="inlineStr">
        <is>
          <t>Держатели для пустышек</t>
        </is>
      </c>
      <c r="C1303" s="2">
        <v>112949850</v>
      </c>
      <c r="D1303" s="2" t="inlineStr">
        <is>
          <t>AndreyZhZh</t>
        </is>
      </c>
      <c r="E1303" s="2" t="inlineStr">
        <is>
          <t>2038998135624</t>
        </is>
      </c>
      <c r="F1303" s="2">
        <v>0</v>
      </c>
      <c r="G1303" s="2">
        <v>0</v>
      </c>
      <c r="H1303" s="2">
        <v>0</v>
      </c>
      <c r="I1303" s="2" t="inlineStr">
        <is>
          <t>1030</t>
        </is>
      </c>
      <c r="J1303" s="4"/>
      <c r="K1303" s="2">
        <v>10</v>
      </c>
      <c r="L1303" s="6"/>
      <c r="M1303" s="2" t="str">
        <f>IF(J1303="",ROUND(I1303*(1-IF(ISBLANK(L1303),K1303,L1303)/100),2),ROUND(J1303*(1-IF(ISBLANK(L1303),K1303,L1303)/100),2))</f>
      </c>
      <c r="N1303" s="7" t="str">
        <f>IF(NOT(AND(J1303="",L1303="")),IF(OR(AND(L1303&lt;&gt;"",NOT(ISNUMBER(L1303))),IFERROR(MOD(L1303,1),1)&gt;0,AND(ISNUMBER(L1303),OR(L1303&lt;0,L1303&gt;95))),"Введите целое число от 0 до 95",IF(OR(AND(J1303&lt;&gt;"",NOT(ISNUMBER(J1303))),IFERROR(MOD(J1303,1),1)&gt;0,AND(ISNUMBER(J1303),OR(J1303&lt;50,J1303&gt;20000000))),"Введите целое число от 50 до 20000000",IF(NOT(ABS(IFERROR(VALUE(LEFT(M1303,FIND("-",M1303)-1)),M1303)*100-(5000+2000000000)/2)&lt;=ABS(5000-2000000000)/2),"Цена со скидкой должна быть от 50 до 20000000",IF(IFERROR(VALUE(LEFT(M1303,FIND("-",M1303)-1)),M1303)*229&lt;92700,"Вы уменьшили цену в несколько раз, товар попадет в карантин цен","")))),"")</f>
      </c>
    </row>
    <row r="1304">
      <c r="A1304" s="2" t="inlineStr">
        <is>
          <t>CuteShop</t>
        </is>
      </c>
      <c r="B1304" s="2" t="inlineStr">
        <is>
          <t>Ленты для рукоделия</t>
        </is>
      </c>
      <c r="C1304" s="2">
        <v>218997232</v>
      </c>
      <c r="D1304" s="2" t="inlineStr">
        <is>
          <t>Lenta-Rep-9May-7</t>
        </is>
      </c>
      <c r="E1304" s="2" t="inlineStr">
        <is>
          <t>2039698873076</t>
        </is>
      </c>
      <c r="F1304" s="2">
        <v>0</v>
      </c>
      <c r="G1304" s="2">
        <v>0</v>
      </c>
      <c r="H1304" s="2" t="inlineStr">
        <is>
          <t/>
        </is>
      </c>
      <c r="I1304" s="2" t="inlineStr">
        <is>
          <t>310</t>
        </is>
      </c>
      <c r="J1304" s="4"/>
      <c r="K1304" s="2">
        <v>0</v>
      </c>
      <c r="L1304" s="6"/>
      <c r="M1304" s="2" t="str">
        <f>IF(J1304="",ROUND(I1304*(1-IF(ISBLANK(L1304),K1304,L1304)/100),2),ROUND(J1304*(1-IF(ISBLANK(L1304),K1304,L1304)/100),2))</f>
      </c>
      <c r="N1304" s="7" t="str">
        <f>IF(NOT(AND(J1304="",L1304="")),IF(OR(AND(L1304&lt;&gt;"",NOT(ISNUMBER(L1304))),IFERROR(MOD(L1304,1),1)&gt;0,AND(ISNUMBER(L1304),OR(L1304&lt;0,L1304&gt;95))),"Введите целое число от 0 до 95",IF(OR(AND(J1304&lt;&gt;"",NOT(ISNUMBER(J1304))),IFERROR(MOD(J1304,1),1)&gt;0,AND(ISNUMBER(J1304),OR(J1304&lt;50,J1304&gt;20000000))),"Введите целое число от 50 до 20000000",IF(NOT(ABS(IFERROR(VALUE(LEFT(M1304,FIND("-",M1304)-1)),M1304)*100-(5000+2000000000)/2)&lt;=ABS(5000-2000000000)/2),"Цена со скидкой должна быть от 50 до 20000000",IF(IFERROR(VALUE(LEFT(M1304,FIND("-",M1304)-1)),M1304)*190&lt;31000,"Вы уменьшили цену в несколько раз, товар попадет в карантин цен","")))),"")</f>
      </c>
    </row>
    <row r="1305">
      <c r="A1305" s="2" t="inlineStr">
        <is>
          <t>CuteShop</t>
        </is>
      </c>
      <c r="B1305" s="2" t="inlineStr">
        <is>
          <t>Держатели для пустышек</t>
        </is>
      </c>
      <c r="C1305" s="2">
        <v>112956190</v>
      </c>
      <c r="D1305" s="2" t="inlineStr">
        <is>
          <t>LeraBG1</t>
        </is>
      </c>
      <c r="E1305" s="2" t="inlineStr">
        <is>
          <t>2039001162620</t>
        </is>
      </c>
      <c r="F1305" s="2">
        <v>0</v>
      </c>
      <c r="G1305" s="2">
        <v>1</v>
      </c>
      <c r="H1305" s="2">
        <v>1</v>
      </c>
      <c r="I1305" s="2" t="inlineStr">
        <is>
          <t>790</t>
        </is>
      </c>
      <c r="J1305" s="4"/>
      <c r="K1305" s="2">
        <v>10</v>
      </c>
      <c r="L1305" s="6"/>
      <c r="M1305" s="2" t="str">
        <f>IF(J1305="",ROUND(I1305*(1-IF(ISBLANK(L1305),K1305,L1305)/100),2),ROUND(J1305*(1-IF(ISBLANK(L1305),K1305,L1305)/100),2))</f>
      </c>
      <c r="N1305" s="7" t="str">
        <f>IF(NOT(AND(J1305="",L1305="")),IF(OR(AND(L1305&lt;&gt;"",NOT(ISNUMBER(L1305))),IFERROR(MOD(L1305,1),1)&gt;0,AND(ISNUMBER(L1305),OR(L1305&lt;0,L1305&gt;95))),"Введите целое число от 0 до 95",IF(OR(AND(J1305&lt;&gt;"",NOT(ISNUMBER(J1305))),IFERROR(MOD(J1305,1),1)&gt;0,AND(ISNUMBER(J1305),OR(J1305&lt;50,J1305&gt;20000000))),"Введите целое число от 50 до 20000000",IF(NOT(ABS(IFERROR(VALUE(LEFT(M1305,FIND("-",M1305)-1)),M1305)*100-(5000+2000000000)/2)&lt;=ABS(5000-2000000000)/2),"Цена со скидкой должна быть от 50 до 20000000",IF(IFERROR(VALUE(LEFT(M1305,FIND("-",M1305)-1)),M1305)*229&lt;71100,"Вы уменьшили цену в несколько раз, товар попадет в карантин цен","")))),"")</f>
      </c>
    </row>
    <row r="1306">
      <c r="A1306" s="2" t="inlineStr">
        <is>
          <t>CuteShop</t>
        </is>
      </c>
      <c r="B1306" s="2" t="inlineStr">
        <is>
          <t>Держатели для пустышек</t>
        </is>
      </c>
      <c r="C1306" s="2">
        <v>112956199</v>
      </c>
      <c r="D1306" s="2" t="inlineStr">
        <is>
          <t>LeraZay</t>
        </is>
      </c>
      <c r="E1306" s="2" t="inlineStr">
        <is>
          <t>2039001182628</t>
        </is>
      </c>
      <c r="F1306" s="2">
        <v>0</v>
      </c>
      <c r="G1306" s="2">
        <v>1</v>
      </c>
      <c r="H1306" s="2">
        <v>0</v>
      </c>
      <c r="I1306" s="2" t="inlineStr">
        <is>
          <t>1030</t>
        </is>
      </c>
      <c r="J1306" s="4"/>
      <c r="K1306" s="2">
        <v>10</v>
      </c>
      <c r="L1306" s="6"/>
      <c r="M1306" s="2" t="str">
        <f>IF(J1306="",ROUND(I1306*(1-IF(ISBLANK(L1306),K1306,L1306)/100),2),ROUND(J1306*(1-IF(ISBLANK(L1306),K1306,L1306)/100),2))</f>
      </c>
      <c r="N1306" s="7" t="str">
        <f>IF(NOT(AND(J1306="",L1306="")),IF(OR(AND(L1306&lt;&gt;"",NOT(ISNUMBER(L1306))),IFERROR(MOD(L1306,1),1)&gt;0,AND(ISNUMBER(L1306),OR(L1306&lt;0,L1306&gt;95))),"Введите целое число от 0 до 95",IF(OR(AND(J1306&lt;&gt;"",NOT(ISNUMBER(J1306))),IFERROR(MOD(J1306,1),1)&gt;0,AND(ISNUMBER(J1306),OR(J1306&lt;50,J1306&gt;20000000))),"Введите целое число от 50 до 20000000",IF(NOT(ABS(IFERROR(VALUE(LEFT(M1306,FIND("-",M1306)-1)),M1306)*100-(5000+2000000000)/2)&lt;=ABS(5000-2000000000)/2),"Цена со скидкой должна быть от 50 до 20000000",IF(IFERROR(VALUE(LEFT(M1306,FIND("-",M1306)-1)),M1306)*229&lt;92700,"Вы уменьшили цену в несколько раз, товар попадет в карантин цен","")))),"")</f>
      </c>
    </row>
    <row r="1307">
      <c r="A1307" s="2" t="inlineStr">
        <is>
          <t>CuteShop</t>
        </is>
      </c>
      <c r="B1307" s="2" t="inlineStr">
        <is>
          <t>Ленты для рукоделия</t>
        </is>
      </c>
      <c r="C1307" s="2">
        <v>223036016</v>
      </c>
      <c r="D1307" s="2" t="inlineStr">
        <is>
          <t>Lenta-Rep-9May-9</t>
        </is>
      </c>
      <c r="E1307" s="2" t="inlineStr">
        <is>
          <t>2039805605323</t>
        </is>
      </c>
      <c r="F1307" s="2">
        <v>0</v>
      </c>
      <c r="G1307" s="2">
        <v>0</v>
      </c>
      <c r="H1307" s="2" t="inlineStr">
        <is>
          <t/>
        </is>
      </c>
      <c r="I1307" s="2" t="inlineStr">
        <is>
          <t>320</t>
        </is>
      </c>
      <c r="J1307" s="4"/>
      <c r="K1307" s="2">
        <v>0</v>
      </c>
      <c r="L1307" s="6"/>
      <c r="M1307" s="2" t="str">
        <f>IF(J1307="",ROUND(I1307*(1-IF(ISBLANK(L1307),K1307,L1307)/100),2),ROUND(J1307*(1-IF(ISBLANK(L1307),K1307,L1307)/100),2))</f>
      </c>
      <c r="N1307" s="7" t="str">
        <f>IF(NOT(AND(J1307="",L1307="")),IF(OR(AND(L1307&lt;&gt;"",NOT(ISNUMBER(L1307))),IFERROR(MOD(L1307,1),1)&gt;0,AND(ISNUMBER(L1307),OR(L1307&lt;0,L1307&gt;95))),"Введите целое число от 0 до 95",IF(OR(AND(J1307&lt;&gt;"",NOT(ISNUMBER(J1307))),IFERROR(MOD(J1307,1),1)&gt;0,AND(ISNUMBER(J1307),OR(J1307&lt;50,J1307&gt;20000000))),"Введите целое число от 50 до 20000000",IF(NOT(ABS(IFERROR(VALUE(LEFT(M1307,FIND("-",M1307)-1)),M1307)*100-(5000+2000000000)/2)&lt;=ABS(5000-2000000000)/2),"Цена со скидкой должна быть от 50 до 20000000",IF(IFERROR(VALUE(LEFT(M1307,FIND("-",M1307)-1)),M1307)*190&lt;32000,"Вы уменьшили цену в несколько раз, товар попадет в карантин цен","")))),"")</f>
      </c>
    </row>
    <row r="1308">
      <c r="A1308" s="2" t="inlineStr">
        <is>
          <t>CuteShop</t>
        </is>
      </c>
      <c r="B1308" s="2" t="inlineStr">
        <is>
          <t>Ленты для рукоделия</t>
        </is>
      </c>
      <c r="C1308" s="2">
        <v>226391204</v>
      </c>
      <c r="D1308" s="2" t="inlineStr">
        <is>
          <t>Lenta-Rep-9May-11</t>
        </is>
      </c>
      <c r="E1308" s="2" t="inlineStr">
        <is>
          <t>2039880517122</t>
        </is>
      </c>
      <c r="F1308" s="2">
        <v>0</v>
      </c>
      <c r="G1308" s="2">
        <v>0</v>
      </c>
      <c r="H1308" s="2" t="inlineStr">
        <is>
          <t/>
        </is>
      </c>
      <c r="I1308" s="2" t="inlineStr">
        <is>
          <t>320</t>
        </is>
      </c>
      <c r="J1308" s="4"/>
      <c r="K1308" s="2">
        <v>0</v>
      </c>
      <c r="L1308" s="6"/>
      <c r="M1308" s="2" t="str">
        <f>IF(J1308="",ROUND(I1308*(1-IF(ISBLANK(L1308),K1308,L1308)/100),2),ROUND(J1308*(1-IF(ISBLANK(L1308),K1308,L1308)/100),2))</f>
      </c>
      <c r="N1308" s="7" t="str">
        <f>IF(NOT(AND(J1308="",L1308="")),IF(OR(AND(L1308&lt;&gt;"",NOT(ISNUMBER(L1308))),IFERROR(MOD(L1308,1),1)&gt;0,AND(ISNUMBER(L1308),OR(L1308&lt;0,L1308&gt;95))),"Введите целое число от 0 до 95",IF(OR(AND(J1308&lt;&gt;"",NOT(ISNUMBER(J1308))),IFERROR(MOD(J1308,1),1)&gt;0,AND(ISNUMBER(J1308),OR(J1308&lt;50,J1308&gt;20000000))),"Введите целое число от 50 до 20000000",IF(NOT(ABS(IFERROR(VALUE(LEFT(M1308,FIND("-",M1308)-1)),M1308)*100-(5000+2000000000)/2)&lt;=ABS(5000-2000000000)/2),"Цена со скидкой должна быть от 50 до 20000000",IF(IFERROR(VALUE(LEFT(M1308,FIND("-",M1308)-1)),M1308)*190&lt;32000,"Вы уменьшили цену в несколько раз, товар попадет в карантин цен","")))),"")</f>
      </c>
    </row>
    <row r="1309">
      <c r="A1309" s="2" t="inlineStr">
        <is>
          <t>CuteShop</t>
        </is>
      </c>
      <c r="B1309" s="2" t="inlineStr">
        <is>
          <t>Аксессуары для рукоделия</t>
        </is>
      </c>
      <c r="C1309" s="2">
        <v>244630436</v>
      </c>
      <c r="D1309" s="2" t="inlineStr">
        <is>
          <t>Kab-Mix8</t>
        </is>
      </c>
      <c r="E1309" s="2" t="inlineStr">
        <is>
          <t>2040684756921</t>
        </is>
      </c>
      <c r="F1309" s="2">
        <v>0</v>
      </c>
      <c r="G1309" s="2">
        <v>0</v>
      </c>
      <c r="H1309" s="2" t="inlineStr">
        <is>
          <t/>
        </is>
      </c>
      <c r="I1309" s="2" t="inlineStr">
        <is>
          <t>430</t>
        </is>
      </c>
      <c r="J1309" s="4"/>
      <c r="K1309" s="2">
        <v>0</v>
      </c>
      <c r="L1309" s="6"/>
      <c r="M1309" s="2" t="str">
        <f>IF(J1309="",ROUND(I1309*(1-IF(ISBLANK(L1309),K1309,L1309)/100),2),ROUND(J1309*(1-IF(ISBLANK(L1309),K1309,L1309)/100),2))</f>
      </c>
      <c r="N1309" s="7" t="str">
        <f>IF(NOT(AND(J1309="",L1309="")),IF(OR(AND(L1309&lt;&gt;"",NOT(ISNUMBER(L1309))),IFERROR(MOD(L1309,1),1)&gt;0,AND(ISNUMBER(L1309),OR(L1309&lt;0,L1309&gt;95))),"Введите целое число от 0 до 95",IF(OR(AND(J1309&lt;&gt;"",NOT(ISNUMBER(J1309))),IFERROR(MOD(J1309,1),1)&gt;0,AND(ISNUMBER(J1309),OR(J1309&lt;50,J1309&gt;20000000))),"Введите целое число от 50 до 20000000",IF(NOT(ABS(IFERROR(VALUE(LEFT(M1309,FIND("-",M1309)-1)),M1309)*100-(5000+2000000000)/2)&lt;=ABS(5000-2000000000)/2),"Цена со скидкой должна быть от 50 до 20000000",IF(IFERROR(VALUE(LEFT(M1309,FIND("-",M1309)-1)),M1309)*190&lt;43000,"Вы уменьшили цену в несколько раз, товар попадет в карантин цен","")))),"")</f>
      </c>
    </row>
    <row r="1310">
      <c r="A1310" s="2" t="inlineStr">
        <is>
          <t/>
        </is>
      </c>
      <c r="B1310" s="2" t="inlineStr">
        <is>
          <t>Ткани для рукоделия</t>
        </is>
      </c>
      <c r="C1310" s="2">
        <v>189529055</v>
      </c>
      <c r="D1310" s="2" t="inlineStr">
        <is>
          <t>Fatin-Zvezd15-Zel-4</t>
        </is>
      </c>
      <c r="E1310" s="2" t="inlineStr">
        <is>
          <t>2038979060266</t>
        </is>
      </c>
      <c r="F1310" s="2">
        <v>0</v>
      </c>
      <c r="G1310" s="2">
        <v>0</v>
      </c>
      <c r="H1310" s="2" t="inlineStr">
        <is>
          <t/>
        </is>
      </c>
      <c r="I1310" s="2" t="inlineStr">
        <is>
          <t>360</t>
        </is>
      </c>
      <c r="J1310" s="4"/>
      <c r="K1310" s="2">
        <v>0</v>
      </c>
      <c r="L1310" s="6"/>
      <c r="M1310" s="2" t="str">
        <f>IF(J1310="",ROUND(I1310*(1-IF(ISBLANK(L1310),K1310,L1310)/100),2),ROUND(J1310*(1-IF(ISBLANK(L1310),K1310,L1310)/100),2))</f>
      </c>
      <c r="N1310" s="7" t="str">
        <f>IF(NOT(AND(J1310="",L1310="")),IF(OR(AND(L1310&lt;&gt;"",NOT(ISNUMBER(L1310))),IFERROR(MOD(L1310,1),1)&gt;0,AND(ISNUMBER(L1310),OR(L1310&lt;0,L1310&gt;95))),"Введите целое число от 0 до 95",IF(OR(AND(J1310&lt;&gt;"",NOT(ISNUMBER(J1310))),IFERROR(MOD(J1310,1),1)&gt;0,AND(ISNUMBER(J1310),OR(J1310&lt;50,J1310&gt;20000000))),"Введите целое число от 50 до 20000000",IF(NOT(ABS(IFERROR(VALUE(LEFT(M1310,FIND("-",M1310)-1)),M1310)*100-(5000+2000000000)/2)&lt;=ABS(5000-2000000000)/2),"Цена со скидкой должна быть от 50 до 20000000",IF(IFERROR(VALUE(LEFT(M1310,FIND("-",M1310)-1)),M1310)*190&lt;36000,"Вы уменьшили цену в несколько раз, товар попадет в карантин цен","")))),"")</f>
      </c>
    </row>
    <row r="1311">
      <c r="A1311" s="2" t="inlineStr">
        <is>
          <t/>
        </is>
      </c>
      <c r="B1311" s="2" t="inlineStr">
        <is>
          <t>Ткани для рукоделия</t>
        </is>
      </c>
      <c r="C1311" s="2">
        <v>189529052</v>
      </c>
      <c r="D1311" s="2" t="inlineStr">
        <is>
          <t>Fatin-Zvezd15-Moloch-4.6</t>
        </is>
      </c>
      <c r="E1311" s="2" t="inlineStr">
        <is>
          <t>2038979033581</t>
        </is>
      </c>
      <c r="F1311" s="2">
        <v>0</v>
      </c>
      <c r="G1311" s="2">
        <v>0</v>
      </c>
      <c r="H1311" s="2" t="inlineStr">
        <is>
          <t/>
        </is>
      </c>
      <c r="I1311" s="2" t="inlineStr">
        <is>
          <t>420</t>
        </is>
      </c>
      <c r="J1311" s="4"/>
      <c r="K1311" s="2">
        <v>0</v>
      </c>
      <c r="L1311" s="6"/>
      <c r="M1311" s="2" t="str">
        <f>IF(J1311="",ROUND(I1311*(1-IF(ISBLANK(L1311),K1311,L1311)/100),2),ROUND(J1311*(1-IF(ISBLANK(L1311),K1311,L1311)/100),2))</f>
      </c>
      <c r="N1311" s="7" t="str">
        <f>IF(NOT(AND(J1311="",L1311="")),IF(OR(AND(L1311&lt;&gt;"",NOT(ISNUMBER(L1311))),IFERROR(MOD(L1311,1),1)&gt;0,AND(ISNUMBER(L1311),OR(L1311&lt;0,L1311&gt;95))),"Введите целое число от 0 до 95",IF(OR(AND(J1311&lt;&gt;"",NOT(ISNUMBER(J1311))),IFERROR(MOD(J1311,1),1)&gt;0,AND(ISNUMBER(J1311),OR(J1311&lt;50,J1311&gt;20000000))),"Введите целое число от 50 до 20000000",IF(NOT(ABS(IFERROR(VALUE(LEFT(M1311,FIND("-",M1311)-1)),M1311)*100-(5000+2000000000)/2)&lt;=ABS(5000-2000000000)/2),"Цена со скидкой должна быть от 50 до 20000000",IF(IFERROR(VALUE(LEFT(M1311,FIND("-",M1311)-1)),M1311)*190&lt;42000,"Вы уменьшили цену в несколько раз, товар попадет в карантин цен","")))),"")</f>
      </c>
    </row>
    <row r="1312">
      <c r="A1312" s="2" t="inlineStr">
        <is>
          <t/>
        </is>
      </c>
      <c r="B1312" s="2" t="inlineStr">
        <is>
          <t>Ткани для рукоделия</t>
        </is>
      </c>
      <c r="C1312" s="2">
        <v>189529053</v>
      </c>
      <c r="D1312" s="2" t="inlineStr">
        <is>
          <t>Fatin-Zvezd15-Moloch-4</t>
        </is>
      </c>
      <c r="E1312" s="2" t="inlineStr">
        <is>
          <t>2038979038807</t>
        </is>
      </c>
      <c r="F1312" s="2">
        <v>0</v>
      </c>
      <c r="G1312" s="2">
        <v>0</v>
      </c>
      <c r="H1312" s="2" t="inlineStr">
        <is>
          <t/>
        </is>
      </c>
      <c r="I1312" s="2" t="inlineStr">
        <is>
          <t>360</t>
        </is>
      </c>
      <c r="J1312" s="4"/>
      <c r="K1312" s="2">
        <v>0</v>
      </c>
      <c r="L1312" s="6"/>
      <c r="M1312" s="2" t="str">
        <f>IF(J1312="",ROUND(I1312*(1-IF(ISBLANK(L1312),K1312,L1312)/100),2),ROUND(J1312*(1-IF(ISBLANK(L1312),K1312,L1312)/100),2))</f>
      </c>
      <c r="N1312" s="7" t="str">
        <f>IF(NOT(AND(J1312="",L1312="")),IF(OR(AND(L1312&lt;&gt;"",NOT(ISNUMBER(L1312))),IFERROR(MOD(L1312,1),1)&gt;0,AND(ISNUMBER(L1312),OR(L1312&lt;0,L1312&gt;95))),"Введите целое число от 0 до 95",IF(OR(AND(J1312&lt;&gt;"",NOT(ISNUMBER(J1312))),IFERROR(MOD(J1312,1),1)&gt;0,AND(ISNUMBER(J1312),OR(J1312&lt;50,J1312&gt;20000000))),"Введите целое число от 50 до 20000000",IF(NOT(ABS(IFERROR(VALUE(LEFT(M1312,FIND("-",M1312)-1)),M1312)*100-(5000+2000000000)/2)&lt;=ABS(5000-2000000000)/2),"Цена со скидкой должна быть от 50 до 20000000",IF(IFERROR(VALUE(LEFT(M1312,FIND("-",M1312)-1)),M1312)*190&lt;36000,"Вы уменьшили цену в несколько раз, товар попадет в карантин цен","")))),"")</f>
      </c>
    </row>
    <row r="1313">
      <c r="A1313" s="2" t="inlineStr">
        <is>
          <t>CuteShop</t>
        </is>
      </c>
      <c r="B1313" s="2" t="inlineStr">
        <is>
          <t>Бусины</t>
        </is>
      </c>
      <c r="C1313" s="2">
        <v>194508819</v>
      </c>
      <c r="D1313" s="2" t="inlineStr">
        <is>
          <t>Bus-Serd-BlackwhiteZal-100</t>
        </is>
      </c>
      <c r="E1313" s="2" t="inlineStr">
        <is>
          <t>2039125126904</t>
        </is>
      </c>
      <c r="F1313" s="2">
        <v>0</v>
      </c>
      <c r="G1313" s="2">
        <v>0</v>
      </c>
      <c r="H1313" s="2" t="inlineStr">
        <is>
          <t/>
        </is>
      </c>
      <c r="I1313" s="2" t="inlineStr">
        <is>
          <t>280</t>
        </is>
      </c>
      <c r="J1313" s="4"/>
      <c r="K1313" s="2">
        <v>0</v>
      </c>
      <c r="L1313" s="6"/>
      <c r="M1313" s="2" t="str">
        <f>IF(J1313="",ROUND(I1313*(1-IF(ISBLANK(L1313),K1313,L1313)/100),2),ROUND(J1313*(1-IF(ISBLANK(L1313),K1313,L1313)/100),2))</f>
      </c>
      <c r="N1313" s="7" t="str">
        <f>IF(NOT(AND(J1313="",L1313="")),IF(OR(AND(L1313&lt;&gt;"",NOT(ISNUMBER(L1313))),IFERROR(MOD(L1313,1),1)&gt;0,AND(ISNUMBER(L1313),OR(L1313&lt;0,L1313&gt;95))),"Введите целое число от 0 до 95",IF(OR(AND(J1313&lt;&gt;"",NOT(ISNUMBER(J1313))),IFERROR(MOD(J1313,1),1)&gt;0,AND(ISNUMBER(J1313),OR(J1313&lt;50,J1313&gt;20000000))),"Введите целое число от 50 до 20000000",IF(NOT(ABS(IFERROR(VALUE(LEFT(M1313,FIND("-",M1313)-1)),M1313)*100-(5000+2000000000)/2)&lt;=ABS(5000-2000000000)/2),"Цена со скидкой должна быть от 50 до 20000000",IF(IFERROR(VALUE(LEFT(M1313,FIND("-",M1313)-1)),M1313)*190&lt;28000,"Вы уменьшили цену в несколько раз, товар попадет в карантин цен","")))),"")</f>
      </c>
    </row>
    <row r="1314">
      <c r="A1314" s="2" t="inlineStr">
        <is>
          <t>CuteShop</t>
        </is>
      </c>
      <c r="B1314" s="2" t="inlineStr">
        <is>
          <t>Держатели для пустышек</t>
        </is>
      </c>
      <c r="C1314" s="2">
        <v>132206989</v>
      </c>
      <c r="D1314" s="2" t="inlineStr">
        <is>
          <t>SashaKoala1</t>
        </is>
      </c>
      <c r="E1314" s="2" t="inlineStr">
        <is>
          <t>2037042393829</t>
        </is>
      </c>
      <c r="F1314" s="2">
        <v>0</v>
      </c>
      <c r="G1314" s="2">
        <v>0</v>
      </c>
      <c r="H1314" s="2">
        <v>0</v>
      </c>
      <c r="I1314" s="2" t="inlineStr">
        <is>
          <t>1030</t>
        </is>
      </c>
      <c r="J1314" s="4"/>
      <c r="K1314" s="2">
        <v>10</v>
      </c>
      <c r="L1314" s="6"/>
      <c r="M1314" s="2" t="str">
        <f>IF(J1314="",ROUND(I1314*(1-IF(ISBLANK(L1314),K1314,L1314)/100),2),ROUND(J1314*(1-IF(ISBLANK(L1314),K1314,L1314)/100),2))</f>
      </c>
      <c r="N1314" s="7" t="str">
        <f>IF(NOT(AND(J1314="",L1314="")),IF(OR(AND(L1314&lt;&gt;"",NOT(ISNUMBER(L1314))),IFERROR(MOD(L1314,1),1)&gt;0,AND(ISNUMBER(L1314),OR(L1314&lt;0,L1314&gt;95))),"Введите целое число от 0 до 95",IF(OR(AND(J1314&lt;&gt;"",NOT(ISNUMBER(J1314))),IFERROR(MOD(J1314,1),1)&gt;0,AND(ISNUMBER(J1314),OR(J1314&lt;50,J1314&gt;20000000))),"Введите целое число от 50 до 20000000",IF(NOT(ABS(IFERROR(VALUE(LEFT(M1314,FIND("-",M1314)-1)),M1314)*100-(5000+2000000000)/2)&lt;=ABS(5000-2000000000)/2),"Цена со скидкой должна быть от 50 до 20000000",IF(IFERROR(VALUE(LEFT(M1314,FIND("-",M1314)-1)),M1314)*229&lt;92700,"Вы уменьшили цену в несколько раз, товар попадет в карантин цен","")))),"")</f>
      </c>
    </row>
    <row r="1315">
      <c r="A1315" s="2" t="inlineStr">
        <is>
          <t>CuteShop</t>
        </is>
      </c>
      <c r="B1315" s="2" t="inlineStr">
        <is>
          <t>Держатели для пустышек</t>
        </is>
      </c>
      <c r="C1315" s="2">
        <v>117609413</v>
      </c>
      <c r="D1315" s="2" t="inlineStr">
        <is>
          <t>Liza2BG</t>
        </is>
      </c>
      <c r="E1315" s="2" t="inlineStr">
        <is>
          <t>2042148300626</t>
        </is>
      </c>
      <c r="F1315" s="2">
        <v>0</v>
      </c>
      <c r="G1315" s="2">
        <v>1</v>
      </c>
      <c r="H1315" s="2">
        <v>0</v>
      </c>
      <c r="I1315" s="2" t="inlineStr">
        <is>
          <t>790</t>
        </is>
      </c>
      <c r="J1315" s="4"/>
      <c r="K1315" s="2">
        <v>10</v>
      </c>
      <c r="L1315" s="6"/>
      <c r="M1315" s="2" t="str">
        <f>IF(J1315="",ROUND(I1315*(1-IF(ISBLANK(L1315),K1315,L1315)/100),2),ROUND(J1315*(1-IF(ISBLANK(L1315),K1315,L1315)/100),2))</f>
      </c>
      <c r="N1315" s="7" t="str">
        <f>IF(NOT(AND(J1315="",L1315="")),IF(OR(AND(L1315&lt;&gt;"",NOT(ISNUMBER(L1315))),IFERROR(MOD(L1315,1),1)&gt;0,AND(ISNUMBER(L1315),OR(L1315&lt;0,L1315&gt;95))),"Введите целое число от 0 до 95",IF(OR(AND(J1315&lt;&gt;"",NOT(ISNUMBER(J1315))),IFERROR(MOD(J1315,1),1)&gt;0,AND(ISNUMBER(J1315),OR(J1315&lt;50,J1315&gt;20000000))),"Введите целое число от 50 до 20000000",IF(NOT(ABS(IFERROR(VALUE(LEFT(M1315,FIND("-",M1315)-1)),M1315)*100-(5000+2000000000)/2)&lt;=ABS(5000-2000000000)/2),"Цена со скидкой должна быть от 50 до 20000000",IF(IFERROR(VALUE(LEFT(M1315,FIND("-",M1315)-1)),M1315)*229&lt;71100,"Вы уменьшили цену в несколько раз, товар попадет в карантин цен","")))),"")</f>
      </c>
    </row>
    <row r="1316">
      <c r="A1316" s="2" t="inlineStr">
        <is>
          <t>CuteShop</t>
        </is>
      </c>
      <c r="B1316" s="2" t="inlineStr">
        <is>
          <t>Бусины</t>
        </is>
      </c>
      <c r="C1316" s="2">
        <v>226577969</v>
      </c>
      <c r="D1316" s="2" t="inlineStr">
        <is>
          <t>Rond-Raduzh-6-40</t>
        </is>
      </c>
      <c r="E1316" s="2" t="inlineStr">
        <is>
          <t>2039885061545</t>
        </is>
      </c>
      <c r="F1316" s="2">
        <v>0</v>
      </c>
      <c r="G1316" s="2">
        <v>0</v>
      </c>
      <c r="H1316" s="2" t="inlineStr">
        <is>
          <t/>
        </is>
      </c>
      <c r="I1316" s="2" t="inlineStr">
        <is>
          <t>300</t>
        </is>
      </c>
      <c r="J1316" s="4"/>
      <c r="K1316" s="2">
        <v>0</v>
      </c>
      <c r="L1316" s="6"/>
      <c r="M1316" s="2" t="str">
        <f>IF(J1316="",ROUND(I1316*(1-IF(ISBLANK(L1316),K1316,L1316)/100),2),ROUND(J1316*(1-IF(ISBLANK(L1316),K1316,L1316)/100),2))</f>
      </c>
      <c r="N1316" s="7" t="str">
        <f>IF(NOT(AND(J1316="",L1316="")),IF(OR(AND(L1316&lt;&gt;"",NOT(ISNUMBER(L1316))),IFERROR(MOD(L1316,1),1)&gt;0,AND(ISNUMBER(L1316),OR(L1316&lt;0,L1316&gt;95))),"Введите целое число от 0 до 95",IF(OR(AND(J1316&lt;&gt;"",NOT(ISNUMBER(J1316))),IFERROR(MOD(J1316,1),1)&gt;0,AND(ISNUMBER(J1316),OR(J1316&lt;50,J1316&gt;20000000))),"Введите целое число от 50 до 20000000",IF(NOT(ABS(IFERROR(VALUE(LEFT(M1316,FIND("-",M1316)-1)),M1316)*100-(5000+2000000000)/2)&lt;=ABS(5000-2000000000)/2),"Цена со скидкой должна быть от 50 до 20000000",IF(IFERROR(VALUE(LEFT(M1316,FIND("-",M1316)-1)),M1316)*190&lt;30000,"Вы уменьшили цену в несколько раз, товар попадет в карантин цен","")))),"")</f>
      </c>
    </row>
    <row r="1317">
      <c r="A1317" s="2" t="inlineStr">
        <is>
          <t>CuteShop</t>
        </is>
      </c>
      <c r="B1317" s="2" t="inlineStr">
        <is>
          <t>Бусины</t>
        </is>
      </c>
      <c r="C1317" s="2">
        <v>153291134</v>
      </c>
      <c r="D1317" s="2" t="inlineStr">
        <is>
          <t>Bus-raduzh-8mm-malin-500</t>
        </is>
      </c>
      <c r="E1317" s="2" t="inlineStr">
        <is>
          <t>2037631367576</t>
        </is>
      </c>
      <c r="F1317" s="2">
        <v>0</v>
      </c>
      <c r="G1317" s="2">
        <v>0</v>
      </c>
      <c r="H1317" s="2" t="inlineStr">
        <is>
          <t/>
        </is>
      </c>
      <c r="I1317" s="2" t="inlineStr">
        <is>
          <t>620</t>
        </is>
      </c>
      <c r="J1317" s="4"/>
      <c r="K1317" s="2">
        <v>0</v>
      </c>
      <c r="L1317" s="6"/>
      <c r="M1317" s="2" t="str">
        <f>IF(J1317="",ROUND(I1317*(1-IF(ISBLANK(L1317),K1317,L1317)/100),2),ROUND(J1317*(1-IF(ISBLANK(L1317),K1317,L1317)/100),2))</f>
      </c>
      <c r="N1317" s="7" t="str">
        <f>IF(NOT(AND(J1317="",L1317="")),IF(OR(AND(L1317&lt;&gt;"",NOT(ISNUMBER(L1317))),IFERROR(MOD(L1317,1),1)&gt;0,AND(ISNUMBER(L1317),OR(L1317&lt;0,L1317&gt;95))),"Введите целое число от 0 до 95",IF(OR(AND(J1317&lt;&gt;"",NOT(ISNUMBER(J1317))),IFERROR(MOD(J1317,1),1)&gt;0,AND(ISNUMBER(J1317),OR(J1317&lt;50,J1317&gt;20000000))),"Введите целое число от 50 до 20000000",IF(NOT(ABS(IFERROR(VALUE(LEFT(M1317,FIND("-",M1317)-1)),M1317)*100-(5000+2000000000)/2)&lt;=ABS(5000-2000000000)/2),"Цена со скидкой должна быть от 50 до 20000000",IF(IFERROR(VALUE(LEFT(M1317,FIND("-",M1317)-1)),M1317)*190&lt;62000,"Вы уменьшили цену в несколько раз, товар попадет в карантин цен","")))),"")</f>
      </c>
    </row>
    <row r="1318">
      <c r="A1318" s="2" t="inlineStr">
        <is>
          <t>CuteShop</t>
        </is>
      </c>
      <c r="B1318" s="2" t="inlineStr">
        <is>
          <t>Держатели для пустышек</t>
        </is>
      </c>
      <c r="C1318" s="2">
        <v>140341939</v>
      </c>
      <c r="D1318" s="2" t="inlineStr">
        <is>
          <t>SteshaZay</t>
        </is>
      </c>
      <c r="E1318" s="2" t="inlineStr">
        <is>
          <t>2037296847130</t>
        </is>
      </c>
      <c r="F1318" s="2">
        <v>0</v>
      </c>
      <c r="G1318" s="2">
        <v>1</v>
      </c>
      <c r="H1318" s="2">
        <v>18</v>
      </c>
      <c r="I1318" s="2" t="inlineStr">
        <is>
          <t>1030</t>
        </is>
      </c>
      <c r="J1318" s="4"/>
      <c r="K1318" s="2">
        <v>10</v>
      </c>
      <c r="L1318" s="6"/>
      <c r="M1318" s="2" t="str">
        <f>IF(J1318="",ROUND(I1318*(1-IF(ISBLANK(L1318),K1318,L1318)/100),2),ROUND(J1318*(1-IF(ISBLANK(L1318),K1318,L1318)/100),2))</f>
      </c>
      <c r="N1318" s="7" t="str">
        <f>IF(NOT(AND(J1318="",L1318="")),IF(OR(AND(L1318&lt;&gt;"",NOT(ISNUMBER(L1318))),IFERROR(MOD(L1318,1),1)&gt;0,AND(ISNUMBER(L1318),OR(L1318&lt;0,L1318&gt;95))),"Введите целое число от 0 до 95",IF(OR(AND(J1318&lt;&gt;"",NOT(ISNUMBER(J1318))),IFERROR(MOD(J1318,1),1)&gt;0,AND(ISNUMBER(J1318),OR(J1318&lt;50,J1318&gt;20000000))),"Введите целое число от 50 до 20000000",IF(NOT(ABS(IFERROR(VALUE(LEFT(M1318,FIND("-",M1318)-1)),M1318)*100-(5000+2000000000)/2)&lt;=ABS(5000-2000000000)/2),"Цена со скидкой должна быть от 50 до 20000000",IF(IFERROR(VALUE(LEFT(M1318,FIND("-",M1318)-1)),M1318)*229&lt;92700,"Вы уменьшили цену в несколько раз, товар попадет в карантин цен","")))),"")</f>
      </c>
    </row>
    <row r="1319">
      <c r="A1319" s="2" t="inlineStr">
        <is>
          <t>CuteShop</t>
        </is>
      </c>
      <c r="B1319" s="2" t="inlineStr">
        <is>
          <t>Держатели для пустышек</t>
        </is>
      </c>
      <c r="C1319" s="2">
        <v>132235569</v>
      </c>
      <c r="D1319" s="2" t="inlineStr">
        <is>
          <t>SashaDevZayGol</t>
        </is>
      </c>
      <c r="E1319" s="2" t="inlineStr">
        <is>
          <t>2037042720427</t>
        </is>
      </c>
      <c r="F1319" s="2">
        <v>0</v>
      </c>
      <c r="G1319" s="2">
        <v>1</v>
      </c>
      <c r="H1319" s="2" t="inlineStr">
        <is>
          <t/>
        </is>
      </c>
      <c r="I1319" s="2" t="inlineStr">
        <is>
          <t>1030</t>
        </is>
      </c>
      <c r="J1319" s="4"/>
      <c r="K1319" s="2">
        <v>10</v>
      </c>
      <c r="L1319" s="6"/>
      <c r="M1319" s="2" t="str">
        <f>IF(J1319="",ROUND(I1319*(1-IF(ISBLANK(L1319),K1319,L1319)/100),2),ROUND(J1319*(1-IF(ISBLANK(L1319),K1319,L1319)/100),2))</f>
      </c>
      <c r="N1319" s="7" t="str">
        <f>IF(NOT(AND(J1319="",L1319="")),IF(OR(AND(L1319&lt;&gt;"",NOT(ISNUMBER(L1319))),IFERROR(MOD(L1319,1),1)&gt;0,AND(ISNUMBER(L1319),OR(L1319&lt;0,L1319&gt;95))),"Введите целое число от 0 до 95",IF(OR(AND(J1319&lt;&gt;"",NOT(ISNUMBER(J1319))),IFERROR(MOD(J1319,1),1)&gt;0,AND(ISNUMBER(J1319),OR(J1319&lt;50,J1319&gt;20000000))),"Введите целое число от 50 до 20000000",IF(NOT(ABS(IFERROR(VALUE(LEFT(M1319,FIND("-",M1319)-1)),M1319)*100-(5000+2000000000)/2)&lt;=ABS(5000-2000000000)/2),"Цена со скидкой должна быть от 50 до 20000000",IF(IFERROR(VALUE(LEFT(M1319,FIND("-",M1319)-1)),M1319)*229&lt;92700,"Вы уменьшили цену в несколько раз, товар попадет в карантин цен","")))),"")</f>
      </c>
    </row>
    <row r="1320">
      <c r="A1320" s="2" t="inlineStr">
        <is>
          <t/>
        </is>
      </c>
      <c r="B1320" s="2" t="inlineStr">
        <is>
          <t>Ткани для рукоделия</t>
        </is>
      </c>
      <c r="C1320" s="2">
        <v>189550251</v>
      </c>
      <c r="D1320" s="2" t="inlineStr">
        <is>
          <t>Fatin-Goroh15-Gol-8</t>
        </is>
      </c>
      <c r="E1320" s="2" t="inlineStr">
        <is>
          <t>2038979491954</t>
        </is>
      </c>
      <c r="F1320" s="2">
        <v>0</v>
      </c>
      <c r="G1320" s="2">
        <v>0</v>
      </c>
      <c r="H1320" s="2" t="inlineStr">
        <is>
          <t/>
        </is>
      </c>
      <c r="I1320" s="2" t="inlineStr">
        <is>
          <t>400</t>
        </is>
      </c>
      <c r="J1320" s="4"/>
      <c r="K1320" s="2">
        <v>0</v>
      </c>
      <c r="L1320" s="6"/>
      <c r="M1320" s="2" t="str">
        <f>IF(J1320="",ROUND(I1320*(1-IF(ISBLANK(L1320),K1320,L1320)/100),2),ROUND(J1320*(1-IF(ISBLANK(L1320),K1320,L1320)/100),2))</f>
      </c>
      <c r="N1320" s="7" t="str">
        <f>IF(NOT(AND(J1320="",L1320="")),IF(OR(AND(L1320&lt;&gt;"",NOT(ISNUMBER(L1320))),IFERROR(MOD(L1320,1),1)&gt;0,AND(ISNUMBER(L1320),OR(L1320&lt;0,L1320&gt;95))),"Введите целое число от 0 до 95",IF(OR(AND(J1320&lt;&gt;"",NOT(ISNUMBER(J1320))),IFERROR(MOD(J1320,1),1)&gt;0,AND(ISNUMBER(J1320),OR(J1320&lt;50,J1320&gt;20000000))),"Введите целое число от 50 до 20000000",IF(NOT(ABS(IFERROR(VALUE(LEFT(M1320,FIND("-",M1320)-1)),M1320)*100-(5000+2000000000)/2)&lt;=ABS(5000-2000000000)/2),"Цена со скидкой должна быть от 50 до 20000000",IF(IFERROR(VALUE(LEFT(M1320,FIND("-",M1320)-1)),M1320)*190&lt;40000,"Вы уменьшили цену в несколько раз, товар попадет в карантин цен","")))),"")</f>
      </c>
    </row>
    <row r="1321">
      <c r="A1321" s="2" t="inlineStr">
        <is>
          <t>CuteShop</t>
        </is>
      </c>
      <c r="B1321" s="2" t="inlineStr">
        <is>
          <t>Держатели для пустышек</t>
        </is>
      </c>
      <c r="C1321" s="2">
        <v>146355736</v>
      </c>
      <c r="D1321" s="2" t="inlineStr">
        <is>
          <t>RuslanSob</t>
        </is>
      </c>
      <c r="E1321" s="2" t="inlineStr">
        <is>
          <t>2037465650578</t>
        </is>
      </c>
      <c r="F1321" s="2">
        <v>0</v>
      </c>
      <c r="G1321" s="2">
        <v>0</v>
      </c>
      <c r="H1321" s="2">
        <v>0</v>
      </c>
      <c r="I1321" s="2" t="inlineStr">
        <is>
          <t>1030</t>
        </is>
      </c>
      <c r="J1321" s="4"/>
      <c r="K1321" s="2">
        <v>10</v>
      </c>
      <c r="L1321" s="6"/>
      <c r="M1321" s="2" t="str">
        <f>IF(J1321="",ROUND(I1321*(1-IF(ISBLANK(L1321),K1321,L1321)/100),2),ROUND(J1321*(1-IF(ISBLANK(L1321),K1321,L1321)/100),2))</f>
      </c>
      <c r="N1321" s="7" t="str">
        <f>IF(NOT(AND(J1321="",L1321="")),IF(OR(AND(L1321&lt;&gt;"",NOT(ISNUMBER(L1321))),IFERROR(MOD(L1321,1),1)&gt;0,AND(ISNUMBER(L1321),OR(L1321&lt;0,L1321&gt;95))),"Введите целое число от 0 до 95",IF(OR(AND(J1321&lt;&gt;"",NOT(ISNUMBER(J1321))),IFERROR(MOD(J1321,1),1)&gt;0,AND(ISNUMBER(J1321),OR(J1321&lt;50,J1321&gt;20000000))),"Введите целое число от 50 до 20000000",IF(NOT(ABS(IFERROR(VALUE(LEFT(M1321,FIND("-",M1321)-1)),M1321)*100-(5000+2000000000)/2)&lt;=ABS(5000-2000000000)/2),"Цена со скидкой должна быть от 50 до 20000000",IF(IFERROR(VALUE(LEFT(M1321,FIND("-",M1321)-1)),M1321)*229&lt;92700,"Вы уменьшили цену в несколько раз, товар попадет в карантин цен","")))),"")</f>
      </c>
    </row>
    <row r="1322">
      <c r="A1322" s="2" t="inlineStr">
        <is>
          <t>CuteShop</t>
        </is>
      </c>
      <c r="B1322" s="2" t="inlineStr">
        <is>
          <t>Аксессуары для рукоделия</t>
        </is>
      </c>
      <c r="C1322" s="2">
        <v>244620531</v>
      </c>
      <c r="D1322" s="2" t="inlineStr">
        <is>
          <t>Kab-Dev4-10</t>
        </is>
      </c>
      <c r="E1322" s="2" t="inlineStr">
        <is>
          <t>2040684554794</t>
        </is>
      </c>
      <c r="F1322" s="2">
        <v>0</v>
      </c>
      <c r="G1322" s="2">
        <v>1</v>
      </c>
      <c r="H1322" s="2" t="inlineStr">
        <is>
          <t/>
        </is>
      </c>
      <c r="I1322" s="2" t="inlineStr">
        <is>
          <t>390</t>
        </is>
      </c>
      <c r="J1322" s="4"/>
      <c r="K1322" s="2">
        <v>10</v>
      </c>
      <c r="L1322" s="6"/>
      <c r="M1322" s="2" t="str">
        <f>IF(J1322="",ROUND(I1322*(1-IF(ISBLANK(L1322),K1322,L1322)/100),2),ROUND(J1322*(1-IF(ISBLANK(L1322),K1322,L1322)/100),2))</f>
      </c>
      <c r="N1322" s="7" t="str">
        <f>IF(NOT(AND(J1322="",L1322="")),IF(OR(AND(L1322&lt;&gt;"",NOT(ISNUMBER(L1322))),IFERROR(MOD(L1322,1),1)&gt;0,AND(ISNUMBER(L1322),OR(L1322&lt;0,L1322&gt;95))),"Введите целое число от 0 до 95",IF(OR(AND(J1322&lt;&gt;"",NOT(ISNUMBER(J1322))),IFERROR(MOD(J1322,1),1)&gt;0,AND(ISNUMBER(J1322),OR(J1322&lt;50,J1322&gt;20000000))),"Введите целое число от 50 до 20000000",IF(NOT(ABS(IFERROR(VALUE(LEFT(M1322,FIND("-",M1322)-1)),M1322)*100-(5000+2000000000)/2)&lt;=ABS(5000-2000000000)/2),"Цена со скидкой должна быть от 50 до 20000000",IF(IFERROR(VALUE(LEFT(M1322,FIND("-",M1322)-1)),M1322)*190&lt;35100,"Вы уменьшили цену в несколько раз, товар попадет в карантин цен","")))),"")</f>
      </c>
    </row>
    <row r="1323">
      <c r="A1323" s="2" t="inlineStr">
        <is>
          <t>CuteShop</t>
        </is>
      </c>
      <c r="B1323" s="2" t="inlineStr">
        <is>
          <t>Держатели для пустышек</t>
        </is>
      </c>
      <c r="C1323" s="2">
        <v>147190245</v>
      </c>
      <c r="D1323" s="2" t="inlineStr">
        <is>
          <t>GlebLis</t>
        </is>
      </c>
      <c r="E1323" s="2" t="inlineStr">
        <is>
          <t>2037486074018</t>
        </is>
      </c>
      <c r="F1323" s="2">
        <v>0</v>
      </c>
      <c r="G1323" s="2">
        <v>1</v>
      </c>
      <c r="H1323" s="2" t="inlineStr">
        <is>
          <t/>
        </is>
      </c>
      <c r="I1323" s="2" t="inlineStr">
        <is>
          <t>1030</t>
        </is>
      </c>
      <c r="J1323" s="4"/>
      <c r="K1323" s="2">
        <v>10</v>
      </c>
      <c r="L1323" s="6"/>
      <c r="M1323" s="2" t="str">
        <f>IF(J1323="",ROUND(I1323*(1-IF(ISBLANK(L1323),K1323,L1323)/100),2),ROUND(J1323*(1-IF(ISBLANK(L1323),K1323,L1323)/100),2))</f>
      </c>
      <c r="N1323" s="7" t="str">
        <f>IF(NOT(AND(J1323="",L1323="")),IF(OR(AND(L1323&lt;&gt;"",NOT(ISNUMBER(L1323))),IFERROR(MOD(L1323,1),1)&gt;0,AND(ISNUMBER(L1323),OR(L1323&lt;0,L1323&gt;95))),"Введите целое число от 0 до 95",IF(OR(AND(J1323&lt;&gt;"",NOT(ISNUMBER(J1323))),IFERROR(MOD(J1323,1),1)&gt;0,AND(ISNUMBER(J1323),OR(J1323&lt;50,J1323&gt;20000000))),"Введите целое число от 50 до 20000000",IF(NOT(ABS(IFERROR(VALUE(LEFT(M1323,FIND("-",M1323)-1)),M1323)*100-(5000+2000000000)/2)&lt;=ABS(5000-2000000000)/2),"Цена со скидкой должна быть от 50 до 20000000",IF(IFERROR(VALUE(LEFT(M1323,FIND("-",M1323)-1)),M1323)*229&lt;92700,"Вы уменьшили цену в несколько раз, товар попадет в карантин цен","")))),"")</f>
      </c>
    </row>
    <row r="1324">
      <c r="A1324" s="2" t="inlineStr">
        <is>
          <t>CuteShop</t>
        </is>
      </c>
      <c r="B1324" s="2" t="inlineStr">
        <is>
          <t>Держатели для пустышек</t>
        </is>
      </c>
      <c r="C1324" s="2">
        <v>145649014</v>
      </c>
      <c r="D1324" s="2" t="inlineStr">
        <is>
          <t>KosOl</t>
        </is>
      </c>
      <c r="E1324" s="2" t="inlineStr">
        <is>
          <t>2037446026170</t>
        </is>
      </c>
      <c r="F1324" s="2">
        <v>0</v>
      </c>
      <c r="G1324" s="2">
        <v>0</v>
      </c>
      <c r="H1324" s="2" t="inlineStr">
        <is>
          <t/>
        </is>
      </c>
      <c r="I1324" s="2" t="inlineStr">
        <is>
          <t>1030</t>
        </is>
      </c>
      <c r="J1324" s="4"/>
      <c r="K1324" s="2">
        <v>10</v>
      </c>
      <c r="L1324" s="6"/>
      <c r="M1324" s="2" t="str">
        <f>IF(J1324="",ROUND(I1324*(1-IF(ISBLANK(L1324),K1324,L1324)/100),2),ROUND(J1324*(1-IF(ISBLANK(L1324),K1324,L1324)/100),2))</f>
      </c>
      <c r="N1324" s="7" t="str">
        <f>IF(NOT(AND(J1324="",L1324="")),IF(OR(AND(L1324&lt;&gt;"",NOT(ISNUMBER(L1324))),IFERROR(MOD(L1324,1),1)&gt;0,AND(ISNUMBER(L1324),OR(L1324&lt;0,L1324&gt;95))),"Введите целое число от 0 до 95",IF(OR(AND(J1324&lt;&gt;"",NOT(ISNUMBER(J1324))),IFERROR(MOD(J1324,1),1)&gt;0,AND(ISNUMBER(J1324),OR(J1324&lt;50,J1324&gt;20000000))),"Введите целое число от 50 до 20000000",IF(NOT(ABS(IFERROR(VALUE(LEFT(M1324,FIND("-",M1324)-1)),M1324)*100-(5000+2000000000)/2)&lt;=ABS(5000-2000000000)/2),"Цена со скидкой должна быть от 50 до 20000000",IF(IFERROR(VALUE(LEFT(M1324,FIND("-",M1324)-1)),M1324)*229&lt;92700,"Вы уменьшили цену в несколько раз, товар попадет в карантин цен","")))),"")</f>
      </c>
    </row>
    <row r="1325">
      <c r="A1325" s="2" t="inlineStr">
        <is>
          <t>CuteShop</t>
        </is>
      </c>
      <c r="B1325" s="2" t="inlineStr">
        <is>
          <t>Бусины</t>
        </is>
      </c>
      <c r="C1325" s="2">
        <v>194015718</v>
      </c>
      <c r="D1325" s="2" t="inlineStr">
        <is>
          <t>Bus-Serd-MixZal</t>
        </is>
      </c>
      <c r="E1325" s="2" t="inlineStr">
        <is>
          <t>2039117764190</t>
        </is>
      </c>
      <c r="F1325" s="2">
        <v>0</v>
      </c>
      <c r="G1325" s="2">
        <v>1</v>
      </c>
      <c r="H1325" s="2" t="inlineStr">
        <is>
          <t/>
        </is>
      </c>
      <c r="I1325" s="2" t="inlineStr">
        <is>
          <t>280</t>
        </is>
      </c>
      <c r="J1325" s="4"/>
      <c r="K1325" s="2">
        <v>10</v>
      </c>
      <c r="L1325" s="6"/>
      <c r="M1325" s="2" t="str">
        <f>IF(J1325="",ROUND(I1325*(1-IF(ISBLANK(L1325),K1325,L1325)/100),2),ROUND(J1325*(1-IF(ISBLANK(L1325),K1325,L1325)/100),2))</f>
      </c>
      <c r="N1325" s="7" t="str">
        <f>IF(NOT(AND(J1325="",L1325="")),IF(OR(AND(L1325&lt;&gt;"",NOT(ISNUMBER(L1325))),IFERROR(MOD(L1325,1),1)&gt;0,AND(ISNUMBER(L1325),OR(L1325&lt;0,L1325&gt;95))),"Введите целое число от 0 до 95",IF(OR(AND(J1325&lt;&gt;"",NOT(ISNUMBER(J1325))),IFERROR(MOD(J1325,1),1)&gt;0,AND(ISNUMBER(J1325),OR(J1325&lt;50,J1325&gt;20000000))),"Введите целое число от 50 до 20000000",IF(NOT(ABS(IFERROR(VALUE(LEFT(M1325,FIND("-",M1325)-1)),M1325)*100-(5000+2000000000)/2)&lt;=ABS(5000-2000000000)/2),"Цена со скидкой должна быть от 50 до 20000000",IF(IFERROR(VALUE(LEFT(M1325,FIND("-",M1325)-1)),M1325)*190&lt;25200,"Вы уменьшили цену в несколько раз, товар попадет в карантин цен","")))),"")</f>
      </c>
    </row>
    <row r="1326">
      <c r="A1326" s="2" t="inlineStr">
        <is>
          <t>CuteShop</t>
        </is>
      </c>
      <c r="B1326" s="2" t="inlineStr">
        <is>
          <t>Ленты для рукоделия</t>
        </is>
      </c>
      <c r="C1326" s="2">
        <v>376778749</v>
      </c>
      <c r="D1326" s="2" t="inlineStr">
        <is>
          <t>Lenta-Rep-9May-Mix10</t>
        </is>
      </c>
      <c r="E1326" s="2" t="inlineStr">
        <is>
          <t>2043434869094</t>
        </is>
      </c>
      <c r="F1326" s="2">
        <v>0</v>
      </c>
      <c r="G1326" s="2">
        <v>0</v>
      </c>
      <c r="H1326" s="2" t="inlineStr">
        <is>
          <t/>
        </is>
      </c>
      <c r="I1326" s="2" t="inlineStr">
        <is>
          <t>400</t>
        </is>
      </c>
      <c r="J1326" s="4"/>
      <c r="K1326" s="2">
        <v>0</v>
      </c>
      <c r="L1326" s="6"/>
      <c r="M1326" s="2" t="str">
        <f>IF(J1326="",ROUND(I1326*(1-IF(ISBLANK(L1326),K1326,L1326)/100),2),ROUND(J1326*(1-IF(ISBLANK(L1326),K1326,L1326)/100),2))</f>
      </c>
      <c r="N1326" s="7" t="str">
        <f>IF(NOT(AND(J1326="",L1326="")),IF(OR(AND(L1326&lt;&gt;"",NOT(ISNUMBER(L1326))),IFERROR(MOD(L1326,1),1)&gt;0,AND(ISNUMBER(L1326),OR(L1326&lt;0,L1326&gt;95))),"Введите целое число от 0 до 95",IF(OR(AND(J1326&lt;&gt;"",NOT(ISNUMBER(J1326))),IFERROR(MOD(J1326,1),1)&gt;0,AND(ISNUMBER(J1326),OR(J1326&lt;50,J1326&gt;20000000))),"Введите целое число от 50 до 20000000",IF(NOT(ABS(IFERROR(VALUE(LEFT(M1326,FIND("-",M1326)-1)),M1326)*100-(5000+2000000000)/2)&lt;=ABS(5000-2000000000)/2),"Цена со скидкой должна быть от 50 до 20000000",IF(IFERROR(VALUE(LEFT(M1326,FIND("-",M1326)-1)),M1326)*190&lt;40000,"Вы уменьшили цену в несколько раз, товар попадет в карантин цен","")))),"")</f>
      </c>
    </row>
    <row r="1327">
      <c r="A1327" s="2" t="inlineStr">
        <is>
          <t>CuteShop</t>
        </is>
      </c>
      <c r="B1327" s="2" t="inlineStr">
        <is>
          <t>Держатели для пустышек</t>
        </is>
      </c>
      <c r="C1327" s="2">
        <v>146342943</v>
      </c>
      <c r="D1327" s="2" t="inlineStr">
        <is>
          <t>MartaSlon</t>
        </is>
      </c>
      <c r="E1327" s="2" t="inlineStr">
        <is>
          <t>2037465312162</t>
        </is>
      </c>
      <c r="F1327" s="2">
        <v>0</v>
      </c>
      <c r="G1327" s="2">
        <v>1</v>
      </c>
      <c r="H1327" s="2" t="inlineStr">
        <is>
          <t/>
        </is>
      </c>
      <c r="I1327" s="2" t="inlineStr">
        <is>
          <t>1030</t>
        </is>
      </c>
      <c r="J1327" s="4"/>
      <c r="K1327" s="2">
        <v>10</v>
      </c>
      <c r="L1327" s="6"/>
      <c r="M1327" s="2" t="str">
        <f>IF(J1327="",ROUND(I1327*(1-IF(ISBLANK(L1327),K1327,L1327)/100),2),ROUND(J1327*(1-IF(ISBLANK(L1327),K1327,L1327)/100),2))</f>
      </c>
      <c r="N1327" s="7" t="str">
        <f>IF(NOT(AND(J1327="",L1327="")),IF(OR(AND(L1327&lt;&gt;"",NOT(ISNUMBER(L1327))),IFERROR(MOD(L1327,1),1)&gt;0,AND(ISNUMBER(L1327),OR(L1327&lt;0,L1327&gt;95))),"Введите целое число от 0 до 95",IF(OR(AND(J1327&lt;&gt;"",NOT(ISNUMBER(J1327))),IFERROR(MOD(J1327,1),1)&gt;0,AND(ISNUMBER(J1327),OR(J1327&lt;50,J1327&gt;20000000))),"Введите целое число от 50 до 20000000",IF(NOT(ABS(IFERROR(VALUE(LEFT(M1327,FIND("-",M1327)-1)),M1327)*100-(5000+2000000000)/2)&lt;=ABS(5000-2000000000)/2),"Цена со скидкой должна быть от 50 до 20000000",IF(IFERROR(VALUE(LEFT(M1327,FIND("-",M1327)-1)),M1327)*229&lt;92700,"Вы уменьшили цену в несколько раз, товар попадет в карантин цен","")))),"")</f>
      </c>
    </row>
    <row r="1328">
      <c r="A1328" s="2" t="inlineStr">
        <is>
          <t/>
        </is>
      </c>
      <c r="B1328" s="2" t="inlineStr">
        <is>
          <t>Ткани для рукоделия</t>
        </is>
      </c>
      <c r="C1328" s="2">
        <v>189529051</v>
      </c>
      <c r="D1328" s="2" t="inlineStr">
        <is>
          <t>Fatin-Zvezd15-Ayvori-4</t>
        </is>
      </c>
      <c r="E1328" s="2" t="inlineStr">
        <is>
          <t>2038979031778</t>
        </is>
      </c>
      <c r="F1328" s="2">
        <v>0</v>
      </c>
      <c r="G1328" s="2">
        <v>0</v>
      </c>
      <c r="H1328" s="2" t="inlineStr">
        <is>
          <t/>
        </is>
      </c>
      <c r="I1328" s="2" t="inlineStr">
        <is>
          <t>360</t>
        </is>
      </c>
      <c r="J1328" s="4"/>
      <c r="K1328" s="2">
        <v>0</v>
      </c>
      <c r="L1328" s="6"/>
      <c r="M1328" s="2" t="str">
        <f>IF(J1328="",ROUND(I1328*(1-IF(ISBLANK(L1328),K1328,L1328)/100),2),ROUND(J1328*(1-IF(ISBLANK(L1328),K1328,L1328)/100),2))</f>
      </c>
      <c r="N1328" s="7" t="str">
        <f>IF(NOT(AND(J1328="",L1328="")),IF(OR(AND(L1328&lt;&gt;"",NOT(ISNUMBER(L1328))),IFERROR(MOD(L1328,1),1)&gt;0,AND(ISNUMBER(L1328),OR(L1328&lt;0,L1328&gt;95))),"Введите целое число от 0 до 95",IF(OR(AND(J1328&lt;&gt;"",NOT(ISNUMBER(J1328))),IFERROR(MOD(J1328,1),1)&gt;0,AND(ISNUMBER(J1328),OR(J1328&lt;50,J1328&gt;20000000))),"Введите целое число от 50 до 20000000",IF(NOT(ABS(IFERROR(VALUE(LEFT(M1328,FIND("-",M1328)-1)),M1328)*100-(5000+2000000000)/2)&lt;=ABS(5000-2000000000)/2),"Цена со скидкой должна быть от 50 до 20000000",IF(IFERROR(VALUE(LEFT(M1328,FIND("-",M1328)-1)),M1328)*190&lt;36000,"Вы уменьшили цену в несколько раз, товар попадет в карантин цен","")))),"")</f>
      </c>
    </row>
    <row r="1329">
      <c r="A1329" s="2" t="inlineStr">
        <is>
          <t>CuteShop</t>
        </is>
      </c>
      <c r="B1329" s="2" t="inlineStr">
        <is>
          <t>Бусины</t>
        </is>
      </c>
      <c r="C1329" s="2">
        <v>222441720</v>
      </c>
      <c r="D1329" s="2" t="inlineStr">
        <is>
          <t>Rond-Gol-8-100</t>
        </is>
      </c>
      <c r="E1329" s="2" t="inlineStr">
        <is>
          <t>2039791503443</t>
        </is>
      </c>
      <c r="F1329" s="2">
        <v>0</v>
      </c>
      <c r="G1329" s="2">
        <v>0</v>
      </c>
      <c r="H1329" s="2" t="inlineStr">
        <is>
          <t/>
        </is>
      </c>
      <c r="I1329" s="2" t="inlineStr">
        <is>
          <t>440</t>
        </is>
      </c>
      <c r="J1329" s="4"/>
      <c r="K1329" s="2">
        <v>0</v>
      </c>
      <c r="L1329" s="6"/>
      <c r="M1329" s="2" t="str">
        <f>IF(J1329="",ROUND(I1329*(1-IF(ISBLANK(L1329),K1329,L1329)/100),2),ROUND(J1329*(1-IF(ISBLANK(L1329),K1329,L1329)/100),2))</f>
      </c>
      <c r="N1329" s="7" t="str">
        <f>IF(NOT(AND(J1329="",L1329="")),IF(OR(AND(L1329&lt;&gt;"",NOT(ISNUMBER(L1329))),IFERROR(MOD(L1329,1),1)&gt;0,AND(ISNUMBER(L1329),OR(L1329&lt;0,L1329&gt;95))),"Введите целое число от 0 до 95",IF(OR(AND(J1329&lt;&gt;"",NOT(ISNUMBER(J1329))),IFERROR(MOD(J1329,1),1)&gt;0,AND(ISNUMBER(J1329),OR(J1329&lt;50,J1329&gt;20000000))),"Введите целое число от 50 до 20000000",IF(NOT(ABS(IFERROR(VALUE(LEFT(M1329,FIND("-",M1329)-1)),M1329)*100-(5000+2000000000)/2)&lt;=ABS(5000-2000000000)/2),"Цена со скидкой должна быть от 50 до 20000000",IF(IFERROR(VALUE(LEFT(M1329,FIND("-",M1329)-1)),M1329)*190&lt;44000,"Вы уменьшили цену в несколько раз, товар попадет в карантин цен","")))),"")</f>
      </c>
    </row>
    <row r="1330">
      <c r="A1330" s="2" t="inlineStr">
        <is>
          <t>CuteShop</t>
        </is>
      </c>
      <c r="B1330" s="2" t="inlineStr">
        <is>
          <t>Аксессуары для рукоделия</t>
        </is>
      </c>
      <c r="C1330" s="2">
        <v>136530615</v>
      </c>
      <c r="D1330" s="2" t="inlineStr">
        <is>
          <t>Kab-Likee2</t>
        </is>
      </c>
      <c r="E1330" s="2" t="inlineStr">
        <is>
          <t>2037188145597</t>
        </is>
      </c>
      <c r="F1330" s="2">
        <v>0</v>
      </c>
      <c r="G1330" s="2">
        <v>1</v>
      </c>
      <c r="H1330" s="2" t="inlineStr">
        <is>
          <t/>
        </is>
      </c>
      <c r="I1330" s="2" t="inlineStr">
        <is>
          <t>390</t>
        </is>
      </c>
      <c r="J1330" s="4"/>
      <c r="K1330" s="2">
        <v>10</v>
      </c>
      <c r="L1330" s="6"/>
      <c r="M1330" s="2" t="str">
        <f>IF(J1330="",ROUND(I1330*(1-IF(ISBLANK(L1330),K1330,L1330)/100),2),ROUND(J1330*(1-IF(ISBLANK(L1330),K1330,L1330)/100),2))</f>
      </c>
      <c r="N1330" s="7" t="str">
        <f>IF(NOT(AND(J1330="",L1330="")),IF(OR(AND(L1330&lt;&gt;"",NOT(ISNUMBER(L1330))),IFERROR(MOD(L1330,1),1)&gt;0,AND(ISNUMBER(L1330),OR(L1330&lt;0,L1330&gt;95))),"Введите целое число от 0 до 95",IF(OR(AND(J1330&lt;&gt;"",NOT(ISNUMBER(J1330))),IFERROR(MOD(J1330,1),1)&gt;0,AND(ISNUMBER(J1330),OR(J1330&lt;50,J1330&gt;20000000))),"Введите целое число от 50 до 20000000",IF(NOT(ABS(IFERROR(VALUE(LEFT(M1330,FIND("-",M1330)-1)),M1330)*100-(5000+2000000000)/2)&lt;=ABS(5000-2000000000)/2),"Цена со скидкой должна быть от 50 до 20000000",IF(IFERROR(VALUE(LEFT(M1330,FIND("-",M1330)-1)),M1330)*190&lt;35100,"Вы уменьшили цену в несколько раз, товар попадет в карантин цен","")))),"")</f>
      </c>
    </row>
    <row r="1331">
      <c r="A1331" s="2" t="inlineStr">
        <is>
          <t>CuteShop</t>
        </is>
      </c>
      <c r="B1331" s="2" t="inlineStr">
        <is>
          <t>Держатели для пустышек</t>
        </is>
      </c>
      <c r="C1331" s="2">
        <v>146342938</v>
      </c>
      <c r="D1331" s="2" t="inlineStr">
        <is>
          <t>MartaZhiraf</t>
        </is>
      </c>
      <c r="E1331" s="2" t="inlineStr">
        <is>
          <t>2037465309049</t>
        </is>
      </c>
      <c r="F1331" s="2">
        <v>0</v>
      </c>
      <c r="G1331" s="2">
        <v>0</v>
      </c>
      <c r="H1331" s="2" t="inlineStr">
        <is>
          <t/>
        </is>
      </c>
      <c r="I1331" s="2" t="inlineStr">
        <is>
          <t>1030</t>
        </is>
      </c>
      <c r="J1331" s="4"/>
      <c r="K1331" s="2">
        <v>10</v>
      </c>
      <c r="L1331" s="6"/>
      <c r="M1331" s="2" t="str">
        <f>IF(J1331="",ROUND(I1331*(1-IF(ISBLANK(L1331),K1331,L1331)/100),2),ROUND(J1331*(1-IF(ISBLANK(L1331),K1331,L1331)/100),2))</f>
      </c>
      <c r="N1331" s="7" t="str">
        <f>IF(NOT(AND(J1331="",L1331="")),IF(OR(AND(L1331&lt;&gt;"",NOT(ISNUMBER(L1331))),IFERROR(MOD(L1331,1),1)&gt;0,AND(ISNUMBER(L1331),OR(L1331&lt;0,L1331&gt;95))),"Введите целое число от 0 до 95",IF(OR(AND(J1331&lt;&gt;"",NOT(ISNUMBER(J1331))),IFERROR(MOD(J1331,1),1)&gt;0,AND(ISNUMBER(J1331),OR(J1331&lt;50,J1331&gt;20000000))),"Введите целое число от 50 до 20000000",IF(NOT(ABS(IFERROR(VALUE(LEFT(M1331,FIND("-",M1331)-1)),M1331)*100-(5000+2000000000)/2)&lt;=ABS(5000-2000000000)/2),"Цена со скидкой должна быть от 50 до 20000000",IF(IFERROR(VALUE(LEFT(M1331,FIND("-",M1331)-1)),M1331)*229&lt;92700,"Вы уменьшили цену в несколько раз, товар попадет в карантин цен","")))),"")</f>
      </c>
    </row>
    <row r="1332">
      <c r="A1332" s="2" t="inlineStr">
        <is>
          <t>CuteShop</t>
        </is>
      </c>
      <c r="B1332" s="2" t="inlineStr">
        <is>
          <t>Держатели для пустышек</t>
        </is>
      </c>
      <c r="C1332" s="2">
        <v>146355735</v>
      </c>
      <c r="D1332" s="2" t="inlineStr">
        <is>
          <t>RuslanMish</t>
        </is>
      </c>
      <c r="E1332" s="2" t="inlineStr">
        <is>
          <t>2037465649169</t>
        </is>
      </c>
      <c r="F1332" s="2">
        <v>0</v>
      </c>
      <c r="G1332" s="2">
        <v>1</v>
      </c>
      <c r="H1332" s="2" t="inlineStr">
        <is>
          <t/>
        </is>
      </c>
      <c r="I1332" s="2" t="inlineStr">
        <is>
          <t>1030</t>
        </is>
      </c>
      <c r="J1332" s="4"/>
      <c r="K1332" s="2">
        <v>10</v>
      </c>
      <c r="L1332" s="6"/>
      <c r="M1332" s="2" t="str">
        <f>IF(J1332="",ROUND(I1332*(1-IF(ISBLANK(L1332),K1332,L1332)/100),2),ROUND(J1332*(1-IF(ISBLANK(L1332),K1332,L1332)/100),2))</f>
      </c>
      <c r="N1332" s="7" t="str">
        <f>IF(NOT(AND(J1332="",L1332="")),IF(OR(AND(L1332&lt;&gt;"",NOT(ISNUMBER(L1332))),IFERROR(MOD(L1332,1),1)&gt;0,AND(ISNUMBER(L1332),OR(L1332&lt;0,L1332&gt;95))),"Введите целое число от 0 до 95",IF(OR(AND(J1332&lt;&gt;"",NOT(ISNUMBER(J1332))),IFERROR(MOD(J1332,1),1)&gt;0,AND(ISNUMBER(J1332),OR(J1332&lt;50,J1332&gt;20000000))),"Введите целое число от 50 до 20000000",IF(NOT(ABS(IFERROR(VALUE(LEFT(M1332,FIND("-",M1332)-1)),M1332)*100-(5000+2000000000)/2)&lt;=ABS(5000-2000000000)/2),"Цена со скидкой должна быть от 50 до 20000000",IF(IFERROR(VALUE(LEFT(M1332,FIND("-",M1332)-1)),M1332)*229&lt;92700,"Вы уменьшили цену в несколько раз, товар попадет в карантин цен","")))),"")</f>
      </c>
    </row>
    <row r="1333">
      <c r="A1333" s="2" t="inlineStr">
        <is>
          <t>CuteShop</t>
        </is>
      </c>
      <c r="B1333" s="2" t="inlineStr">
        <is>
          <t>Держатели для пустышек</t>
        </is>
      </c>
      <c r="C1333" s="2">
        <v>138600813</v>
      </c>
      <c r="D1333" s="2" t="inlineStr">
        <is>
          <t>TanushkaBel</t>
        </is>
      </c>
      <c r="E1333" s="2" t="inlineStr">
        <is>
          <t>2037248835147</t>
        </is>
      </c>
      <c r="F1333" s="2">
        <v>0</v>
      </c>
      <c r="G1333" s="2">
        <v>1</v>
      </c>
      <c r="H1333" s="2">
        <v>0</v>
      </c>
      <c r="I1333" s="2" t="inlineStr">
        <is>
          <t>1030</t>
        </is>
      </c>
      <c r="J1333" s="4"/>
      <c r="K1333" s="2">
        <v>10</v>
      </c>
      <c r="L1333" s="6"/>
      <c r="M1333" s="2" t="str">
        <f>IF(J1333="",ROUND(I1333*(1-IF(ISBLANK(L1333),K1333,L1333)/100),2),ROUND(J1333*(1-IF(ISBLANK(L1333),K1333,L1333)/100),2))</f>
      </c>
      <c r="N1333" s="7" t="str">
        <f>IF(NOT(AND(J1333="",L1333="")),IF(OR(AND(L1333&lt;&gt;"",NOT(ISNUMBER(L1333))),IFERROR(MOD(L1333,1),1)&gt;0,AND(ISNUMBER(L1333),OR(L1333&lt;0,L1333&gt;95))),"Введите целое число от 0 до 95",IF(OR(AND(J1333&lt;&gt;"",NOT(ISNUMBER(J1333))),IFERROR(MOD(J1333,1),1)&gt;0,AND(ISNUMBER(J1333),OR(J1333&lt;50,J1333&gt;20000000))),"Введите целое число от 50 до 20000000",IF(NOT(ABS(IFERROR(VALUE(LEFT(M1333,FIND("-",M1333)-1)),M1333)*100-(5000+2000000000)/2)&lt;=ABS(5000-2000000000)/2),"Цена со скидкой должна быть от 50 до 20000000",IF(IFERROR(VALUE(LEFT(M1333,FIND("-",M1333)-1)),M1333)*229&lt;92700,"Вы уменьшили цену в несколько раз, товар попадет в карантин цен","")))),"")</f>
      </c>
    </row>
    <row r="1334">
      <c r="A1334" s="2" t="inlineStr">
        <is>
          <t>CuteShop</t>
        </is>
      </c>
      <c r="B1334" s="2" t="inlineStr">
        <is>
          <t>Ленты для рукоделия</t>
        </is>
      </c>
      <c r="C1334" s="2">
        <v>215884463</v>
      </c>
      <c r="D1334" s="2" t="inlineStr">
        <is>
          <t>Lenta-Rep-nabor9-40</t>
        </is>
      </c>
      <c r="E1334" s="2" t="inlineStr">
        <is>
          <t>2039629637937</t>
        </is>
      </c>
      <c r="F1334" s="2">
        <v>0</v>
      </c>
      <c r="G1334" s="2">
        <v>0</v>
      </c>
      <c r="H1334" s="2" t="inlineStr">
        <is>
          <t/>
        </is>
      </c>
      <c r="I1334" s="2" t="inlineStr">
        <is>
          <t>640</t>
        </is>
      </c>
      <c r="J1334" s="4"/>
      <c r="K1334" s="2">
        <v>0</v>
      </c>
      <c r="L1334" s="6"/>
      <c r="M1334" s="2" t="str">
        <f>IF(J1334="",ROUND(I1334*(1-IF(ISBLANK(L1334),K1334,L1334)/100),2),ROUND(J1334*(1-IF(ISBLANK(L1334),K1334,L1334)/100),2))</f>
      </c>
      <c r="N1334" s="7" t="str">
        <f>IF(NOT(AND(J1334="",L1334="")),IF(OR(AND(L1334&lt;&gt;"",NOT(ISNUMBER(L1334))),IFERROR(MOD(L1334,1),1)&gt;0,AND(ISNUMBER(L1334),OR(L1334&lt;0,L1334&gt;95))),"Введите целое число от 0 до 95",IF(OR(AND(J1334&lt;&gt;"",NOT(ISNUMBER(J1334))),IFERROR(MOD(J1334,1),1)&gt;0,AND(ISNUMBER(J1334),OR(J1334&lt;50,J1334&gt;20000000))),"Введите целое число от 50 до 20000000",IF(NOT(ABS(IFERROR(VALUE(LEFT(M1334,FIND("-",M1334)-1)),M1334)*100-(5000+2000000000)/2)&lt;=ABS(5000-2000000000)/2),"Цена со скидкой должна быть от 50 до 20000000",IF(IFERROR(VALUE(LEFT(M1334,FIND("-",M1334)-1)),M1334)*190&lt;64000,"Вы уменьшили цену в несколько раз, товар попадет в карантин цен","")))),"")</f>
      </c>
    </row>
    <row r="1335">
      <c r="A1335" s="2" t="inlineStr">
        <is>
          <t>CuteShop</t>
        </is>
      </c>
      <c r="B1335" s="2" t="inlineStr">
        <is>
          <t>Держатели для пустышек</t>
        </is>
      </c>
      <c r="C1335" s="2">
        <v>138645142</v>
      </c>
      <c r="D1335" s="2" t="inlineStr">
        <is>
          <t>TanyaBG</t>
        </is>
      </c>
      <c r="E1335" s="2" t="inlineStr">
        <is>
          <t>2037249398863</t>
        </is>
      </c>
      <c r="F1335" s="2">
        <v>0</v>
      </c>
      <c r="G1335" s="2">
        <v>1</v>
      </c>
      <c r="H1335" s="2" t="inlineStr">
        <is>
          <t/>
        </is>
      </c>
      <c r="I1335" s="2" t="inlineStr">
        <is>
          <t>790</t>
        </is>
      </c>
      <c r="J1335" s="4"/>
      <c r="K1335" s="2">
        <v>10</v>
      </c>
      <c r="L1335" s="6"/>
      <c r="M1335" s="2" t="str">
        <f>IF(J1335="",ROUND(I1335*(1-IF(ISBLANK(L1335),K1335,L1335)/100),2),ROUND(J1335*(1-IF(ISBLANK(L1335),K1335,L1335)/100),2))</f>
      </c>
      <c r="N1335" s="7" t="str">
        <f>IF(NOT(AND(J1335="",L1335="")),IF(OR(AND(L1335&lt;&gt;"",NOT(ISNUMBER(L1335))),IFERROR(MOD(L1335,1),1)&gt;0,AND(ISNUMBER(L1335),OR(L1335&lt;0,L1335&gt;95))),"Введите целое число от 0 до 95",IF(OR(AND(J1335&lt;&gt;"",NOT(ISNUMBER(J1335))),IFERROR(MOD(J1335,1),1)&gt;0,AND(ISNUMBER(J1335),OR(J1335&lt;50,J1335&gt;20000000))),"Введите целое число от 50 до 20000000",IF(NOT(ABS(IFERROR(VALUE(LEFT(M1335,FIND("-",M1335)-1)),M1335)*100-(5000+2000000000)/2)&lt;=ABS(5000-2000000000)/2),"Цена со скидкой должна быть от 50 до 20000000",IF(IFERROR(VALUE(LEFT(M1335,FIND("-",M1335)-1)),M1335)*229&lt;71100,"Вы уменьшили цену в несколько раз, товар попадет в карантин цен","")))),"")</f>
      </c>
    </row>
    <row r="1336">
      <c r="A1336" s="2" t="inlineStr">
        <is>
          <t>CuteShop</t>
        </is>
      </c>
      <c r="B1336" s="2" t="inlineStr">
        <is>
          <t>Ленты для рукоделия</t>
        </is>
      </c>
      <c r="C1336" s="2">
        <v>215884056</v>
      </c>
      <c r="D1336" s="2" t="inlineStr">
        <is>
          <t>Lenta-Rep-nabor8-10</t>
        </is>
      </c>
      <c r="E1336" s="2" t="inlineStr">
        <is>
          <t>2039629628614</t>
        </is>
      </c>
      <c r="F1336" s="2">
        <v>0</v>
      </c>
      <c r="G1336" s="2">
        <v>0</v>
      </c>
      <c r="H1336" s="2" t="inlineStr">
        <is>
          <t/>
        </is>
      </c>
      <c r="I1336" s="2" t="inlineStr">
        <is>
          <t>340</t>
        </is>
      </c>
      <c r="J1336" s="4"/>
      <c r="K1336" s="2">
        <v>0</v>
      </c>
      <c r="L1336" s="6"/>
      <c r="M1336" s="2" t="str">
        <f>IF(J1336="",ROUND(I1336*(1-IF(ISBLANK(L1336),K1336,L1336)/100),2),ROUND(J1336*(1-IF(ISBLANK(L1336),K1336,L1336)/100),2))</f>
      </c>
      <c r="N1336" s="7" t="str">
        <f>IF(NOT(AND(J1336="",L1336="")),IF(OR(AND(L1336&lt;&gt;"",NOT(ISNUMBER(L1336))),IFERROR(MOD(L1336,1),1)&gt;0,AND(ISNUMBER(L1336),OR(L1336&lt;0,L1336&gt;95))),"Введите целое число от 0 до 95",IF(OR(AND(J1336&lt;&gt;"",NOT(ISNUMBER(J1336))),IFERROR(MOD(J1336,1),1)&gt;0,AND(ISNUMBER(J1336),OR(J1336&lt;50,J1336&gt;20000000))),"Введите целое число от 50 до 20000000",IF(NOT(ABS(IFERROR(VALUE(LEFT(M1336,FIND("-",M1336)-1)),M1336)*100-(5000+2000000000)/2)&lt;=ABS(5000-2000000000)/2),"Цена со скидкой должна быть от 50 до 20000000",IF(IFERROR(VALUE(LEFT(M1336,FIND("-",M1336)-1)),M1336)*190&lt;34000,"Вы уменьшили цену в несколько раз, товар попадет в карантин цен","")))),"")</f>
      </c>
    </row>
    <row r="1337">
      <c r="A1337" s="2" t="inlineStr">
        <is>
          <t>CuteShop</t>
        </is>
      </c>
      <c r="B1337" s="2" t="inlineStr">
        <is>
          <t>Держатели для пустышек</t>
        </is>
      </c>
      <c r="C1337" s="2">
        <v>147190244</v>
      </c>
      <c r="D1337" s="2" t="inlineStr">
        <is>
          <t>GlebPanda</t>
        </is>
      </c>
      <c r="E1337" s="2" t="inlineStr">
        <is>
          <t>2037486073806</t>
        </is>
      </c>
      <c r="F1337" s="2">
        <v>0</v>
      </c>
      <c r="G1337" s="2">
        <v>1</v>
      </c>
      <c r="H1337" s="2" t="inlineStr">
        <is>
          <t/>
        </is>
      </c>
      <c r="I1337" s="2" t="inlineStr">
        <is>
          <t>1030</t>
        </is>
      </c>
      <c r="J1337" s="4"/>
      <c r="K1337" s="2">
        <v>10</v>
      </c>
      <c r="L1337" s="6"/>
      <c r="M1337" s="2" t="str">
        <f>IF(J1337="",ROUND(I1337*(1-IF(ISBLANK(L1337),K1337,L1337)/100),2),ROUND(J1337*(1-IF(ISBLANK(L1337),K1337,L1337)/100),2))</f>
      </c>
      <c r="N1337" s="7" t="str">
        <f>IF(NOT(AND(J1337="",L1337="")),IF(OR(AND(L1337&lt;&gt;"",NOT(ISNUMBER(L1337))),IFERROR(MOD(L1337,1),1)&gt;0,AND(ISNUMBER(L1337),OR(L1337&lt;0,L1337&gt;95))),"Введите целое число от 0 до 95",IF(OR(AND(J1337&lt;&gt;"",NOT(ISNUMBER(J1337))),IFERROR(MOD(J1337,1),1)&gt;0,AND(ISNUMBER(J1337),OR(J1337&lt;50,J1337&gt;20000000))),"Введите целое число от 50 до 20000000",IF(NOT(ABS(IFERROR(VALUE(LEFT(M1337,FIND("-",M1337)-1)),M1337)*100-(5000+2000000000)/2)&lt;=ABS(5000-2000000000)/2),"Цена со скидкой должна быть от 50 до 20000000",IF(IFERROR(VALUE(LEFT(M1337,FIND("-",M1337)-1)),M1337)*229&lt;92700,"Вы уменьшили цену в несколько раз, товар попадет в карантин цен","")))),"")</f>
      </c>
    </row>
    <row r="1338">
      <c r="A1338" s="2" t="inlineStr">
        <is>
          <t>CuteShop</t>
        </is>
      </c>
      <c r="B1338" s="2" t="inlineStr">
        <is>
          <t>Ленты для рукоделия</t>
        </is>
      </c>
      <c r="C1338" s="2">
        <v>215884055</v>
      </c>
      <c r="D1338" s="2" t="inlineStr">
        <is>
          <t>Lenta-Rep-nabor8-15</t>
        </is>
      </c>
      <c r="E1338" s="2" t="inlineStr">
        <is>
          <t>2039629624586</t>
        </is>
      </c>
      <c r="F1338" s="2">
        <v>0</v>
      </c>
      <c r="G1338" s="2">
        <v>0</v>
      </c>
      <c r="H1338" s="2" t="inlineStr">
        <is>
          <t/>
        </is>
      </c>
      <c r="I1338" s="2" t="inlineStr">
        <is>
          <t>440</t>
        </is>
      </c>
      <c r="J1338" s="4"/>
      <c r="K1338" s="2">
        <v>0</v>
      </c>
      <c r="L1338" s="6"/>
      <c r="M1338" s="2" t="str">
        <f>IF(J1338="",ROUND(I1338*(1-IF(ISBLANK(L1338),K1338,L1338)/100),2),ROUND(J1338*(1-IF(ISBLANK(L1338),K1338,L1338)/100),2))</f>
      </c>
      <c r="N1338" s="7" t="str">
        <f>IF(NOT(AND(J1338="",L1338="")),IF(OR(AND(L1338&lt;&gt;"",NOT(ISNUMBER(L1338))),IFERROR(MOD(L1338,1),1)&gt;0,AND(ISNUMBER(L1338),OR(L1338&lt;0,L1338&gt;95))),"Введите целое число от 0 до 95",IF(OR(AND(J1338&lt;&gt;"",NOT(ISNUMBER(J1338))),IFERROR(MOD(J1338,1),1)&gt;0,AND(ISNUMBER(J1338),OR(J1338&lt;50,J1338&gt;20000000))),"Введите целое число от 50 до 20000000",IF(NOT(ABS(IFERROR(VALUE(LEFT(M1338,FIND("-",M1338)-1)),M1338)*100-(5000+2000000000)/2)&lt;=ABS(5000-2000000000)/2),"Цена со скидкой должна быть от 50 до 20000000",IF(IFERROR(VALUE(LEFT(M1338,FIND("-",M1338)-1)),M1338)*190&lt;44000,"Вы уменьшили цену в несколько раз, товар попадет в карантин цен","")))),"")</f>
      </c>
    </row>
    <row r="1339">
      <c r="A1339" s="2" t="inlineStr">
        <is>
          <t>CuteShop</t>
        </is>
      </c>
      <c r="B1339" s="2" t="inlineStr">
        <is>
          <t>Держатели для пустышек</t>
        </is>
      </c>
      <c r="C1339" s="2">
        <v>142233486</v>
      </c>
      <c r="D1339" s="2" t="inlineStr">
        <is>
          <t>SofiyaKoala</t>
        </is>
      </c>
      <c r="E1339" s="2" t="inlineStr">
        <is>
          <t>2037352199302</t>
        </is>
      </c>
      <c r="F1339" s="2">
        <v>0</v>
      </c>
      <c r="G1339" s="2">
        <v>0</v>
      </c>
      <c r="H1339" s="2" t="inlineStr">
        <is>
          <t/>
        </is>
      </c>
      <c r="I1339" s="2" t="inlineStr">
        <is>
          <t>1030</t>
        </is>
      </c>
      <c r="J1339" s="4"/>
      <c r="K1339" s="2">
        <v>10</v>
      </c>
      <c r="L1339" s="6"/>
      <c r="M1339" s="2" t="str">
        <f>IF(J1339="",ROUND(I1339*(1-IF(ISBLANK(L1339),K1339,L1339)/100),2),ROUND(J1339*(1-IF(ISBLANK(L1339),K1339,L1339)/100),2))</f>
      </c>
      <c r="N1339" s="7" t="str">
        <f>IF(NOT(AND(J1339="",L1339="")),IF(OR(AND(L1339&lt;&gt;"",NOT(ISNUMBER(L1339))),IFERROR(MOD(L1339,1),1)&gt;0,AND(ISNUMBER(L1339),OR(L1339&lt;0,L1339&gt;95))),"Введите целое число от 0 до 95",IF(OR(AND(J1339&lt;&gt;"",NOT(ISNUMBER(J1339))),IFERROR(MOD(J1339,1),1)&gt;0,AND(ISNUMBER(J1339),OR(J1339&lt;50,J1339&gt;20000000))),"Введите целое число от 50 до 20000000",IF(NOT(ABS(IFERROR(VALUE(LEFT(M1339,FIND("-",M1339)-1)),M1339)*100-(5000+2000000000)/2)&lt;=ABS(5000-2000000000)/2),"Цена со скидкой должна быть от 50 до 20000000",IF(IFERROR(VALUE(LEFT(M1339,FIND("-",M1339)-1)),M1339)*229&lt;92700,"Вы уменьшили цену в несколько раз, товар попадет в карантин цен","")))),"")</f>
      </c>
    </row>
    <row r="1340">
      <c r="A1340" s="2" t="inlineStr">
        <is>
          <t>CuteShop</t>
        </is>
      </c>
      <c r="B1340" s="2" t="inlineStr">
        <is>
          <t>Ленты для рукоделия</t>
        </is>
      </c>
      <c r="C1340" s="2">
        <v>191763829</v>
      </c>
      <c r="D1340" s="2" t="inlineStr">
        <is>
          <t>Lenta-Atlas-Snezh-Gol</t>
        </is>
      </c>
      <c r="E1340" s="2" t="inlineStr">
        <is>
          <t>2039051073600</t>
        </is>
      </c>
      <c r="F1340" s="2">
        <v>0</v>
      </c>
      <c r="G1340" s="2">
        <v>0</v>
      </c>
      <c r="H1340" s="2" t="inlineStr">
        <is>
          <t/>
        </is>
      </c>
      <c r="I1340" s="2" t="inlineStr">
        <is>
          <t>390</t>
        </is>
      </c>
      <c r="J1340" s="4"/>
      <c r="K1340" s="2">
        <v>0</v>
      </c>
      <c r="L1340" s="6"/>
      <c r="M1340" s="2" t="str">
        <f>IF(J1340="",ROUND(I1340*(1-IF(ISBLANK(L1340),K1340,L1340)/100),2),ROUND(J1340*(1-IF(ISBLANK(L1340),K1340,L1340)/100),2))</f>
      </c>
      <c r="N1340" s="7" t="str">
        <f>IF(NOT(AND(J1340="",L1340="")),IF(OR(AND(L1340&lt;&gt;"",NOT(ISNUMBER(L1340))),IFERROR(MOD(L1340,1),1)&gt;0,AND(ISNUMBER(L1340),OR(L1340&lt;0,L1340&gt;95))),"Введите целое число от 0 до 95",IF(OR(AND(J1340&lt;&gt;"",NOT(ISNUMBER(J1340))),IFERROR(MOD(J1340,1),1)&gt;0,AND(ISNUMBER(J1340),OR(J1340&lt;50,J1340&gt;20000000))),"Введите целое число от 50 до 20000000",IF(NOT(ABS(IFERROR(VALUE(LEFT(M1340,FIND("-",M1340)-1)),M1340)*100-(5000+2000000000)/2)&lt;=ABS(5000-2000000000)/2),"Цена со скидкой должна быть от 50 до 20000000",IF(IFERROR(VALUE(LEFT(M1340,FIND("-",M1340)-1)),M1340)*190&lt;39000,"Вы уменьшили цену в несколько раз, товар попадет в карантин цен","")))),"")</f>
      </c>
    </row>
    <row r="1341">
      <c r="A1341" s="2" t="inlineStr">
        <is>
          <t>CuteShop</t>
        </is>
      </c>
      <c r="B1341" s="2" t="inlineStr">
        <is>
          <t>Аксессуары для рукоделия</t>
        </is>
      </c>
      <c r="C1341" s="2">
        <v>137674380</v>
      </c>
      <c r="D1341" s="2" t="inlineStr">
        <is>
          <t>Nabor-ShapPompRez2</t>
        </is>
      </c>
      <c r="E1341" s="2" t="inlineStr">
        <is>
          <t>2037227480344</t>
        </is>
      </c>
      <c r="F1341" s="2">
        <v>0</v>
      </c>
      <c r="G1341" s="2">
        <v>0</v>
      </c>
      <c r="H1341" s="2" t="inlineStr">
        <is>
          <t/>
        </is>
      </c>
      <c r="I1341" s="2" t="inlineStr">
        <is>
          <t>490</t>
        </is>
      </c>
      <c r="J1341" s="4"/>
      <c r="K1341" s="2">
        <v>0</v>
      </c>
      <c r="L1341" s="6"/>
      <c r="M1341" s="2" t="str">
        <f>IF(J1341="",ROUND(I1341*(1-IF(ISBLANK(L1341),K1341,L1341)/100),2),ROUND(J1341*(1-IF(ISBLANK(L1341),K1341,L1341)/100),2))</f>
      </c>
      <c r="N1341" s="7" t="str">
        <f>IF(NOT(AND(J1341="",L1341="")),IF(OR(AND(L1341&lt;&gt;"",NOT(ISNUMBER(L1341))),IFERROR(MOD(L1341,1),1)&gt;0,AND(ISNUMBER(L1341),OR(L1341&lt;0,L1341&gt;95))),"Введите целое число от 0 до 95",IF(OR(AND(J1341&lt;&gt;"",NOT(ISNUMBER(J1341))),IFERROR(MOD(J1341,1),1)&gt;0,AND(ISNUMBER(J1341),OR(J1341&lt;50,J1341&gt;20000000))),"Введите целое число от 50 до 20000000",IF(NOT(ABS(IFERROR(VALUE(LEFT(M1341,FIND("-",M1341)-1)),M1341)*100-(5000+2000000000)/2)&lt;=ABS(5000-2000000000)/2),"Цена со скидкой должна быть от 50 до 20000000",IF(IFERROR(VALUE(LEFT(M1341,FIND("-",M1341)-1)),M1341)*190&lt;49000,"Вы уменьшили цену в несколько раз, товар попадет в карантин цен","")))),"")</f>
      </c>
    </row>
    <row r="1342">
      <c r="A1342" s="2" t="inlineStr">
        <is>
          <t>CuteShop</t>
        </is>
      </c>
      <c r="B1342" s="2" t="inlineStr">
        <is>
          <t>Аксессуары для рукоделия</t>
        </is>
      </c>
      <c r="C1342" s="2">
        <v>137867444</v>
      </c>
      <c r="D1342" s="2" t="inlineStr">
        <is>
          <t>Ser-Straz-GolOval-4</t>
        </is>
      </c>
      <c r="E1342" s="2" t="inlineStr">
        <is>
          <t>2037234273021</t>
        </is>
      </c>
      <c r="F1342" s="2">
        <v>0</v>
      </c>
      <c r="G1342" s="2">
        <v>0</v>
      </c>
      <c r="H1342" s="2" t="inlineStr">
        <is>
          <t/>
        </is>
      </c>
      <c r="I1342" s="2" t="inlineStr">
        <is>
          <t>390</t>
        </is>
      </c>
      <c r="J1342" s="4"/>
      <c r="K1342" s="2">
        <v>0</v>
      </c>
      <c r="L1342" s="6"/>
      <c r="M1342" s="2" t="str">
        <f>IF(J1342="",ROUND(I1342*(1-IF(ISBLANK(L1342),K1342,L1342)/100),2),ROUND(J1342*(1-IF(ISBLANK(L1342),K1342,L1342)/100),2))</f>
      </c>
      <c r="N1342" s="7" t="str">
        <f>IF(NOT(AND(J1342="",L1342="")),IF(OR(AND(L1342&lt;&gt;"",NOT(ISNUMBER(L1342))),IFERROR(MOD(L1342,1),1)&gt;0,AND(ISNUMBER(L1342),OR(L1342&lt;0,L1342&gt;95))),"Введите целое число от 0 до 95",IF(OR(AND(J1342&lt;&gt;"",NOT(ISNUMBER(J1342))),IFERROR(MOD(J1342,1),1)&gt;0,AND(ISNUMBER(J1342),OR(J1342&lt;50,J1342&gt;20000000))),"Введите целое число от 50 до 20000000",IF(NOT(ABS(IFERROR(VALUE(LEFT(M1342,FIND("-",M1342)-1)),M1342)*100-(5000+2000000000)/2)&lt;=ABS(5000-2000000000)/2),"Цена со скидкой должна быть от 50 до 20000000",IF(IFERROR(VALUE(LEFT(M1342,FIND("-",M1342)-1)),M1342)*190&lt;39000,"Вы уменьшили цену в несколько раз, товар попадет в карантин цен","")))),"")</f>
      </c>
    </row>
    <row r="1343">
      <c r="A1343" s="2" t="inlineStr">
        <is>
          <t>CuteShop</t>
        </is>
      </c>
      <c r="B1343" s="2" t="inlineStr">
        <is>
          <t>Аксессуары для рукоделия</t>
        </is>
      </c>
      <c r="C1343" s="2">
        <v>138946002</v>
      </c>
      <c r="D1343" s="2" t="inlineStr">
        <is>
          <t>Ser-Straz-Azhurroz-4</t>
        </is>
      </c>
      <c r="E1343" s="2" t="inlineStr">
        <is>
          <t>2037255606037</t>
        </is>
      </c>
      <c r="F1343" s="2">
        <v>0</v>
      </c>
      <c r="G1343" s="2">
        <v>0</v>
      </c>
      <c r="H1343" s="2" t="inlineStr">
        <is>
          <t/>
        </is>
      </c>
      <c r="I1343" s="2" t="inlineStr">
        <is>
          <t>410</t>
        </is>
      </c>
      <c r="J1343" s="4"/>
      <c r="K1343" s="2">
        <v>0</v>
      </c>
      <c r="L1343" s="6"/>
      <c r="M1343" s="2" t="str">
        <f>IF(J1343="",ROUND(I1343*(1-IF(ISBLANK(L1343),K1343,L1343)/100),2),ROUND(J1343*(1-IF(ISBLANK(L1343),K1343,L1343)/100),2))</f>
      </c>
      <c r="N1343" s="7" t="str">
        <f>IF(NOT(AND(J1343="",L1343="")),IF(OR(AND(L1343&lt;&gt;"",NOT(ISNUMBER(L1343))),IFERROR(MOD(L1343,1),1)&gt;0,AND(ISNUMBER(L1343),OR(L1343&lt;0,L1343&gt;95))),"Введите целое число от 0 до 95",IF(OR(AND(J1343&lt;&gt;"",NOT(ISNUMBER(J1343))),IFERROR(MOD(J1343,1),1)&gt;0,AND(ISNUMBER(J1343),OR(J1343&lt;50,J1343&gt;20000000))),"Введите целое число от 50 до 20000000",IF(NOT(ABS(IFERROR(VALUE(LEFT(M1343,FIND("-",M1343)-1)),M1343)*100-(5000+2000000000)/2)&lt;=ABS(5000-2000000000)/2),"Цена со скидкой должна быть от 50 до 20000000",IF(IFERROR(VALUE(LEFT(M1343,FIND("-",M1343)-1)),M1343)*190&lt;41000,"Вы уменьшили цену в несколько раз, товар попадет в карантин цен","")))),"")</f>
      </c>
    </row>
    <row r="1344">
      <c r="A1344" s="2" t="inlineStr">
        <is>
          <t>CuteShop</t>
        </is>
      </c>
      <c r="B1344" s="2" t="inlineStr">
        <is>
          <t>Держатели для пустышек</t>
        </is>
      </c>
      <c r="C1344" s="2">
        <v>156230066</v>
      </c>
      <c r="D1344" s="2" t="inlineStr">
        <is>
          <t>YanochkaMish</t>
        </is>
      </c>
      <c r="E1344" s="2" t="inlineStr">
        <is>
          <t>2037706173309</t>
        </is>
      </c>
      <c r="F1344" s="2">
        <v>0</v>
      </c>
      <c r="G1344" s="2">
        <v>0</v>
      </c>
      <c r="H1344" s="2">
        <v>0</v>
      </c>
      <c r="I1344" s="2" t="inlineStr">
        <is>
          <t>1030</t>
        </is>
      </c>
      <c r="J1344" s="4"/>
      <c r="K1344" s="2">
        <v>10</v>
      </c>
      <c r="L1344" s="6"/>
      <c r="M1344" s="2" t="str">
        <f>IF(J1344="",ROUND(I1344*(1-IF(ISBLANK(L1344),K1344,L1344)/100),2),ROUND(J1344*(1-IF(ISBLANK(L1344),K1344,L1344)/100),2))</f>
      </c>
      <c r="N1344" s="7" t="str">
        <f>IF(NOT(AND(J1344="",L1344="")),IF(OR(AND(L1344&lt;&gt;"",NOT(ISNUMBER(L1344))),IFERROR(MOD(L1344,1),1)&gt;0,AND(ISNUMBER(L1344),OR(L1344&lt;0,L1344&gt;95))),"Введите целое число от 0 до 95",IF(OR(AND(J1344&lt;&gt;"",NOT(ISNUMBER(J1344))),IFERROR(MOD(J1344,1),1)&gt;0,AND(ISNUMBER(J1344),OR(J1344&lt;50,J1344&gt;20000000))),"Введите целое число от 50 до 20000000",IF(NOT(ABS(IFERROR(VALUE(LEFT(M1344,FIND("-",M1344)-1)),M1344)*100-(5000+2000000000)/2)&lt;=ABS(5000-2000000000)/2),"Цена со скидкой должна быть от 50 до 20000000",IF(IFERROR(VALUE(LEFT(M1344,FIND("-",M1344)-1)),M1344)*229&lt;92700,"Вы уменьшили цену в несколько раз, товар попадет в карантин цен","")))),"")</f>
      </c>
    </row>
    <row r="1345">
      <c r="A1345" s="2" t="inlineStr">
        <is>
          <t>CuteShop</t>
        </is>
      </c>
      <c r="B1345" s="2" t="inlineStr">
        <is>
          <t>Аксессуары для рукоделия</t>
        </is>
      </c>
      <c r="C1345" s="2">
        <v>138945998</v>
      </c>
      <c r="D1345" s="2" t="inlineStr">
        <is>
          <t>Ser-Straz-Azhurmix-8</t>
        </is>
      </c>
      <c r="E1345" s="2" t="inlineStr">
        <is>
          <t>2037255617231</t>
        </is>
      </c>
      <c r="F1345" s="2">
        <v>0</v>
      </c>
      <c r="G1345" s="2">
        <v>0</v>
      </c>
      <c r="H1345" s="2">
        <v>0</v>
      </c>
      <c r="I1345" s="2" t="inlineStr">
        <is>
          <t>590</t>
        </is>
      </c>
      <c r="J1345" s="4"/>
      <c r="K1345" s="2">
        <v>0</v>
      </c>
      <c r="L1345" s="6"/>
      <c r="M1345" s="2" t="str">
        <f>IF(J1345="",ROUND(I1345*(1-IF(ISBLANK(L1345),K1345,L1345)/100),2),ROUND(J1345*(1-IF(ISBLANK(L1345),K1345,L1345)/100),2))</f>
      </c>
      <c r="N1345" s="7" t="str">
        <f>IF(NOT(AND(J1345="",L1345="")),IF(OR(AND(L1345&lt;&gt;"",NOT(ISNUMBER(L1345))),IFERROR(MOD(L1345,1),1)&gt;0,AND(ISNUMBER(L1345),OR(L1345&lt;0,L1345&gt;95))),"Введите целое число от 0 до 95",IF(OR(AND(J1345&lt;&gt;"",NOT(ISNUMBER(J1345))),IFERROR(MOD(J1345,1),1)&gt;0,AND(ISNUMBER(J1345),OR(J1345&lt;50,J1345&gt;20000000))),"Введите целое число от 50 до 20000000",IF(NOT(ABS(IFERROR(VALUE(LEFT(M1345,FIND("-",M1345)-1)),M1345)*100-(5000+2000000000)/2)&lt;=ABS(5000-2000000000)/2),"Цена со скидкой должна быть от 50 до 20000000",IF(IFERROR(VALUE(LEFT(M1345,FIND("-",M1345)-1)),M1345)*190&lt;59000,"Вы уменьшили цену в несколько раз, товар попадет в карантин цен","")))),"")</f>
      </c>
    </row>
    <row r="1346">
      <c r="A1346" s="2" t="inlineStr">
        <is>
          <t>CuteShop</t>
        </is>
      </c>
      <c r="B1346" s="2" t="inlineStr">
        <is>
          <t>Ленты для рукоделия</t>
        </is>
      </c>
      <c r="C1346" s="2">
        <v>215881864</v>
      </c>
      <c r="D1346" s="2" t="inlineStr">
        <is>
          <t>Lenta-Rep4-nabor1-16,8</t>
        </is>
      </c>
      <c r="E1346" s="2" t="inlineStr">
        <is>
          <t>2039629587447</t>
        </is>
      </c>
      <c r="F1346" s="2">
        <v>0</v>
      </c>
      <c r="G1346" s="2">
        <v>0</v>
      </c>
      <c r="H1346" s="2">
        <v>1</v>
      </c>
      <c r="I1346" s="2" t="inlineStr">
        <is>
          <t>450</t>
        </is>
      </c>
      <c r="J1346" s="4"/>
      <c r="K1346" s="2">
        <v>0</v>
      </c>
      <c r="L1346" s="6"/>
      <c r="M1346" s="2" t="str">
        <f>IF(J1346="",ROUND(I1346*(1-IF(ISBLANK(L1346),K1346,L1346)/100),2),ROUND(J1346*(1-IF(ISBLANK(L1346),K1346,L1346)/100),2))</f>
      </c>
      <c r="N1346" s="7" t="str">
        <f>IF(NOT(AND(J1346="",L1346="")),IF(OR(AND(L1346&lt;&gt;"",NOT(ISNUMBER(L1346))),IFERROR(MOD(L1346,1),1)&gt;0,AND(ISNUMBER(L1346),OR(L1346&lt;0,L1346&gt;95))),"Введите целое число от 0 до 95",IF(OR(AND(J1346&lt;&gt;"",NOT(ISNUMBER(J1346))),IFERROR(MOD(J1346,1),1)&gt;0,AND(ISNUMBER(J1346),OR(J1346&lt;50,J1346&gt;20000000))),"Введите целое число от 50 до 20000000",IF(NOT(ABS(IFERROR(VALUE(LEFT(M1346,FIND("-",M1346)-1)),M1346)*100-(5000+2000000000)/2)&lt;=ABS(5000-2000000000)/2),"Цена со скидкой должна быть от 50 до 20000000",IF(IFERROR(VALUE(LEFT(M1346,FIND("-",M1346)-1)),M1346)*190&lt;45000,"Вы уменьшили цену в несколько раз, товар попадет в карантин цен","")))),"")</f>
      </c>
    </row>
    <row r="1347">
      <c r="A1347" s="2" t="inlineStr">
        <is>
          <t>CuteShop</t>
        </is>
      </c>
      <c r="B1347" s="2" t="inlineStr">
        <is>
          <t>Держатели для пустышек</t>
        </is>
      </c>
      <c r="C1347" s="2">
        <v>156239092</v>
      </c>
      <c r="D1347" s="2" t="inlineStr">
        <is>
          <t>AmeliyaKosh</t>
        </is>
      </c>
      <c r="E1347" s="2" t="inlineStr">
        <is>
          <t>2037706284159</t>
        </is>
      </c>
      <c r="F1347" s="2">
        <v>0</v>
      </c>
      <c r="G1347" s="2">
        <v>0</v>
      </c>
      <c r="H1347" s="2">
        <v>0</v>
      </c>
      <c r="I1347" s="2" t="inlineStr">
        <is>
          <t>1030</t>
        </is>
      </c>
      <c r="J1347" s="4"/>
      <c r="K1347" s="2">
        <v>10</v>
      </c>
      <c r="L1347" s="6"/>
      <c r="M1347" s="2" t="str">
        <f>IF(J1347="",ROUND(I1347*(1-IF(ISBLANK(L1347),K1347,L1347)/100),2),ROUND(J1347*(1-IF(ISBLANK(L1347),K1347,L1347)/100),2))</f>
      </c>
      <c r="N1347" s="7" t="str">
        <f>IF(NOT(AND(J1347="",L1347="")),IF(OR(AND(L1347&lt;&gt;"",NOT(ISNUMBER(L1347))),IFERROR(MOD(L1347,1),1)&gt;0,AND(ISNUMBER(L1347),OR(L1347&lt;0,L1347&gt;95))),"Введите целое число от 0 до 95",IF(OR(AND(J1347&lt;&gt;"",NOT(ISNUMBER(J1347))),IFERROR(MOD(J1347,1),1)&gt;0,AND(ISNUMBER(J1347),OR(J1347&lt;50,J1347&gt;20000000))),"Введите целое число от 50 до 20000000",IF(NOT(ABS(IFERROR(VALUE(LEFT(M1347,FIND("-",M1347)-1)),M1347)*100-(5000+2000000000)/2)&lt;=ABS(5000-2000000000)/2),"Цена со скидкой должна быть от 50 до 20000000",IF(IFERROR(VALUE(LEFT(M1347,FIND("-",M1347)-1)),M1347)*229&lt;92700,"Вы уменьшили цену в несколько раз, товар попадет в карантин цен","")))),"")</f>
      </c>
    </row>
    <row r="1348">
      <c r="A1348" s="2" t="inlineStr">
        <is>
          <t>CuteShop</t>
        </is>
      </c>
      <c r="B1348" s="2" t="inlineStr">
        <is>
          <t>Бусины</t>
        </is>
      </c>
      <c r="C1348" s="2">
        <v>151575811</v>
      </c>
      <c r="D1348" s="2" t="inlineStr">
        <is>
          <t>Bus-akril-8mm-mix1-100</t>
        </is>
      </c>
      <c r="E1348" s="2" t="inlineStr">
        <is>
          <t>2037600550701</t>
        </is>
      </c>
      <c r="F1348" s="2">
        <v>0</v>
      </c>
      <c r="G1348" s="2">
        <v>0</v>
      </c>
      <c r="H1348" s="2" t="inlineStr">
        <is>
          <t/>
        </is>
      </c>
      <c r="I1348" s="2" t="inlineStr">
        <is>
          <t>260</t>
        </is>
      </c>
      <c r="J1348" s="4"/>
      <c r="K1348" s="2">
        <v>0</v>
      </c>
      <c r="L1348" s="6"/>
      <c r="M1348" s="2" t="str">
        <f>IF(J1348="",ROUND(I1348*(1-IF(ISBLANK(L1348),K1348,L1348)/100),2),ROUND(J1348*(1-IF(ISBLANK(L1348),K1348,L1348)/100),2))</f>
      </c>
      <c r="N1348" s="7" t="str">
        <f>IF(NOT(AND(J1348="",L1348="")),IF(OR(AND(L1348&lt;&gt;"",NOT(ISNUMBER(L1348))),IFERROR(MOD(L1348,1),1)&gt;0,AND(ISNUMBER(L1348),OR(L1348&lt;0,L1348&gt;95))),"Введите целое число от 0 до 95",IF(OR(AND(J1348&lt;&gt;"",NOT(ISNUMBER(J1348))),IFERROR(MOD(J1348,1),1)&gt;0,AND(ISNUMBER(J1348),OR(J1348&lt;50,J1348&gt;20000000))),"Введите целое число от 50 до 20000000",IF(NOT(ABS(IFERROR(VALUE(LEFT(M1348,FIND("-",M1348)-1)),M1348)*100-(5000+2000000000)/2)&lt;=ABS(5000-2000000000)/2),"Цена со скидкой должна быть от 50 до 20000000",IF(IFERROR(VALUE(LEFT(M1348,FIND("-",M1348)-1)),M1348)*190&lt;26000,"Вы уменьшили цену в несколько раз, товар попадет в карантин цен","")))),"")</f>
      </c>
    </row>
    <row r="1349">
      <c r="A1349" s="2" t="inlineStr">
        <is>
          <t>CuteShop</t>
        </is>
      </c>
      <c r="B1349" s="2" t="inlineStr">
        <is>
          <t>Держатели для пустышек</t>
        </is>
      </c>
      <c r="C1349" s="2">
        <v>156237902</v>
      </c>
      <c r="D1349" s="2" t="inlineStr">
        <is>
          <t>AmeliyaLis2</t>
        </is>
      </c>
      <c r="E1349" s="2" t="inlineStr">
        <is>
          <t>2037706273559</t>
        </is>
      </c>
      <c r="F1349" s="2">
        <v>0</v>
      </c>
      <c r="G1349" s="2">
        <v>0</v>
      </c>
      <c r="H1349" s="2">
        <v>15</v>
      </c>
      <c r="I1349" s="2" t="inlineStr">
        <is>
          <t>1030</t>
        </is>
      </c>
      <c r="J1349" s="4"/>
      <c r="K1349" s="2">
        <v>10</v>
      </c>
      <c r="L1349" s="6"/>
      <c r="M1349" s="2" t="str">
        <f>IF(J1349="",ROUND(I1349*(1-IF(ISBLANK(L1349),K1349,L1349)/100),2),ROUND(J1349*(1-IF(ISBLANK(L1349),K1349,L1349)/100),2))</f>
      </c>
      <c r="N1349" s="7" t="str">
        <f>IF(NOT(AND(J1349="",L1349="")),IF(OR(AND(L1349&lt;&gt;"",NOT(ISNUMBER(L1349))),IFERROR(MOD(L1349,1),1)&gt;0,AND(ISNUMBER(L1349),OR(L1349&lt;0,L1349&gt;95))),"Введите целое число от 0 до 95",IF(OR(AND(J1349&lt;&gt;"",NOT(ISNUMBER(J1349))),IFERROR(MOD(J1349,1),1)&gt;0,AND(ISNUMBER(J1349),OR(J1349&lt;50,J1349&gt;20000000))),"Введите целое число от 50 до 20000000",IF(NOT(ABS(IFERROR(VALUE(LEFT(M1349,FIND("-",M1349)-1)),M1349)*100-(5000+2000000000)/2)&lt;=ABS(5000-2000000000)/2),"Цена со скидкой должна быть от 50 до 20000000",IF(IFERROR(VALUE(LEFT(M1349,FIND("-",M1349)-1)),M1349)*229&lt;92700,"Вы уменьшили цену в несколько раз, товар попадет в карантин цен","")))),"")</f>
      </c>
    </row>
    <row r="1350">
      <c r="A1350" s="2" t="inlineStr">
        <is>
          <t>CuteShop</t>
        </is>
      </c>
      <c r="B1350" s="2" t="inlineStr">
        <is>
          <t>Бусины</t>
        </is>
      </c>
      <c r="C1350" s="2">
        <v>151575794</v>
      </c>
      <c r="D1350" s="2" t="inlineStr">
        <is>
          <t>Bus-akril-8mm-orang-100</t>
        </is>
      </c>
      <c r="E1350" s="2" t="inlineStr">
        <is>
          <t>2037600546094</t>
        </is>
      </c>
      <c r="F1350" s="2">
        <v>0</v>
      </c>
      <c r="G1350" s="2">
        <v>0</v>
      </c>
      <c r="H1350" s="2" t="inlineStr">
        <is>
          <t/>
        </is>
      </c>
      <c r="I1350" s="2" t="inlineStr">
        <is>
          <t>260</t>
        </is>
      </c>
      <c r="J1350" s="4"/>
      <c r="K1350" s="2">
        <v>0</v>
      </c>
      <c r="L1350" s="6"/>
      <c r="M1350" s="2" t="str">
        <f>IF(J1350="",ROUND(I1350*(1-IF(ISBLANK(L1350),K1350,L1350)/100),2),ROUND(J1350*(1-IF(ISBLANK(L1350),K1350,L1350)/100),2))</f>
      </c>
      <c r="N1350" s="7" t="str">
        <f>IF(NOT(AND(J1350="",L1350="")),IF(OR(AND(L1350&lt;&gt;"",NOT(ISNUMBER(L1350))),IFERROR(MOD(L1350,1),1)&gt;0,AND(ISNUMBER(L1350),OR(L1350&lt;0,L1350&gt;95))),"Введите целое число от 0 до 95",IF(OR(AND(J1350&lt;&gt;"",NOT(ISNUMBER(J1350))),IFERROR(MOD(J1350,1),1)&gt;0,AND(ISNUMBER(J1350),OR(J1350&lt;50,J1350&gt;20000000))),"Введите целое число от 50 до 20000000",IF(NOT(ABS(IFERROR(VALUE(LEFT(M1350,FIND("-",M1350)-1)),M1350)*100-(5000+2000000000)/2)&lt;=ABS(5000-2000000000)/2),"Цена со скидкой должна быть от 50 до 20000000",IF(IFERROR(VALUE(LEFT(M1350,FIND("-",M1350)-1)),M1350)*190&lt;26000,"Вы уменьшили цену в несколько раз, товар попадет в карантин цен","")))),"")</f>
      </c>
    </row>
    <row r="1351">
      <c r="A1351" s="2" t="inlineStr">
        <is>
          <t>CuteShop</t>
        </is>
      </c>
      <c r="B1351" s="2" t="inlineStr">
        <is>
          <t>Держатели для пустышек</t>
        </is>
      </c>
      <c r="C1351" s="2">
        <v>147190243</v>
      </c>
      <c r="D1351" s="2" t="inlineStr">
        <is>
          <t>GlebMish</t>
        </is>
      </c>
      <c r="E1351" s="2" t="inlineStr">
        <is>
          <t>2037486073615</t>
        </is>
      </c>
      <c r="F1351" s="2">
        <v>0</v>
      </c>
      <c r="G1351" s="2">
        <v>1</v>
      </c>
      <c r="H1351" s="2">
        <v>0</v>
      </c>
      <c r="I1351" s="2" t="inlineStr">
        <is>
          <t>1030</t>
        </is>
      </c>
      <c r="J1351" s="4"/>
      <c r="K1351" s="2">
        <v>10</v>
      </c>
      <c r="L1351" s="6"/>
      <c r="M1351" s="2" t="str">
        <f>IF(J1351="",ROUND(I1351*(1-IF(ISBLANK(L1351),K1351,L1351)/100),2),ROUND(J1351*(1-IF(ISBLANK(L1351),K1351,L1351)/100),2))</f>
      </c>
      <c r="N1351" s="7" t="str">
        <f>IF(NOT(AND(J1351="",L1351="")),IF(OR(AND(L1351&lt;&gt;"",NOT(ISNUMBER(L1351))),IFERROR(MOD(L1351,1),1)&gt;0,AND(ISNUMBER(L1351),OR(L1351&lt;0,L1351&gt;95))),"Введите целое число от 0 до 95",IF(OR(AND(J1351&lt;&gt;"",NOT(ISNUMBER(J1351))),IFERROR(MOD(J1351,1),1)&gt;0,AND(ISNUMBER(J1351),OR(J1351&lt;50,J1351&gt;20000000))),"Введите целое число от 50 до 20000000",IF(NOT(ABS(IFERROR(VALUE(LEFT(M1351,FIND("-",M1351)-1)),M1351)*100-(5000+2000000000)/2)&lt;=ABS(5000-2000000000)/2),"Цена со скидкой должна быть от 50 до 20000000",IF(IFERROR(VALUE(LEFT(M1351,FIND("-",M1351)-1)),M1351)*229&lt;92700,"Вы уменьшили цену в несколько раз, товар попадет в карантин цен","")))),"")</f>
      </c>
    </row>
    <row r="1352">
      <c r="A1352" s="2" t="inlineStr">
        <is>
          <t>CuteShop</t>
        </is>
      </c>
      <c r="B1352" s="2" t="inlineStr">
        <is>
          <t>Бусины</t>
        </is>
      </c>
      <c r="C1352" s="2">
        <v>151582875</v>
      </c>
      <c r="D1352" s="2" t="inlineStr">
        <is>
          <t>Bus-akril-8mm-bel-200</t>
        </is>
      </c>
      <c r="E1352" s="2" t="inlineStr">
        <is>
          <t>2037600712062</t>
        </is>
      </c>
      <c r="F1352" s="2">
        <v>0</v>
      </c>
      <c r="G1352" s="2">
        <v>0</v>
      </c>
      <c r="H1352" s="2" t="inlineStr">
        <is>
          <t/>
        </is>
      </c>
      <c r="I1352" s="2" t="inlineStr">
        <is>
          <t>320</t>
        </is>
      </c>
      <c r="J1352" s="4"/>
      <c r="K1352" s="2">
        <v>0</v>
      </c>
      <c r="L1352" s="6"/>
      <c r="M1352" s="2" t="str">
        <f>IF(J1352="",ROUND(I1352*(1-IF(ISBLANK(L1352),K1352,L1352)/100),2),ROUND(J1352*(1-IF(ISBLANK(L1352),K1352,L1352)/100),2))</f>
      </c>
      <c r="N1352" s="7" t="str">
        <f>IF(NOT(AND(J1352="",L1352="")),IF(OR(AND(L1352&lt;&gt;"",NOT(ISNUMBER(L1352))),IFERROR(MOD(L1352,1),1)&gt;0,AND(ISNUMBER(L1352),OR(L1352&lt;0,L1352&gt;95))),"Введите целое число от 0 до 95",IF(OR(AND(J1352&lt;&gt;"",NOT(ISNUMBER(J1352))),IFERROR(MOD(J1352,1),1)&gt;0,AND(ISNUMBER(J1352),OR(J1352&lt;50,J1352&gt;20000000))),"Введите целое число от 50 до 20000000",IF(NOT(ABS(IFERROR(VALUE(LEFT(M1352,FIND("-",M1352)-1)),M1352)*100-(5000+2000000000)/2)&lt;=ABS(5000-2000000000)/2),"Цена со скидкой должна быть от 50 до 20000000",IF(IFERROR(VALUE(LEFT(M1352,FIND("-",M1352)-1)),M1352)*190&lt;32000,"Вы уменьшили цену в несколько раз, товар попадет в карантин цен","")))),"")</f>
      </c>
    </row>
    <row r="1353">
      <c r="A1353" s="2" t="inlineStr">
        <is>
          <t>CuteShop</t>
        </is>
      </c>
      <c r="B1353" s="2" t="inlineStr">
        <is>
          <t>Держатели для пустышек</t>
        </is>
      </c>
      <c r="C1353" s="2">
        <v>147473621</v>
      </c>
      <c r="D1353" s="2" t="inlineStr">
        <is>
          <t>DianaLev</t>
        </is>
      </c>
      <c r="E1353" s="2" t="inlineStr">
        <is>
          <t>2037493799119</t>
        </is>
      </c>
      <c r="F1353" s="2">
        <v>0</v>
      </c>
      <c r="G1353" s="2">
        <v>1</v>
      </c>
      <c r="H1353" s="2">
        <v>0</v>
      </c>
      <c r="I1353" s="2" t="inlineStr">
        <is>
          <t>1030</t>
        </is>
      </c>
      <c r="J1353" s="4"/>
      <c r="K1353" s="2">
        <v>10</v>
      </c>
      <c r="L1353" s="6"/>
      <c r="M1353" s="2" t="str">
        <f>IF(J1353="",ROUND(I1353*(1-IF(ISBLANK(L1353),K1353,L1353)/100),2),ROUND(J1353*(1-IF(ISBLANK(L1353),K1353,L1353)/100),2))</f>
      </c>
      <c r="N1353" s="7" t="str">
        <f>IF(NOT(AND(J1353="",L1353="")),IF(OR(AND(L1353&lt;&gt;"",NOT(ISNUMBER(L1353))),IFERROR(MOD(L1353,1),1)&gt;0,AND(ISNUMBER(L1353),OR(L1353&lt;0,L1353&gt;95))),"Введите целое число от 0 до 95",IF(OR(AND(J1353&lt;&gt;"",NOT(ISNUMBER(J1353))),IFERROR(MOD(J1353,1),1)&gt;0,AND(ISNUMBER(J1353),OR(J1353&lt;50,J1353&gt;20000000))),"Введите целое число от 50 до 20000000",IF(NOT(ABS(IFERROR(VALUE(LEFT(M1353,FIND("-",M1353)-1)),M1353)*100-(5000+2000000000)/2)&lt;=ABS(5000-2000000000)/2),"Цена со скидкой должна быть от 50 до 20000000",IF(IFERROR(VALUE(LEFT(M1353,FIND("-",M1353)-1)),M1353)*229&lt;92700,"Вы уменьшили цену в несколько раз, товар попадет в карантин цен","")))),"")</f>
      </c>
    </row>
    <row r="1354">
      <c r="A1354" s="2" t="inlineStr">
        <is>
          <t>CuteShop</t>
        </is>
      </c>
      <c r="B1354" s="2" t="inlineStr">
        <is>
          <t>Бусины</t>
        </is>
      </c>
      <c r="C1354" s="2">
        <v>151582877</v>
      </c>
      <c r="D1354" s="2" t="inlineStr">
        <is>
          <t>Bus-akril-8mm-yarkogol-200</t>
        </is>
      </c>
      <c r="E1354" s="2" t="inlineStr">
        <is>
          <t>2037600712857</t>
        </is>
      </c>
      <c r="F1354" s="2">
        <v>0</v>
      </c>
      <c r="G1354" s="2">
        <v>0</v>
      </c>
      <c r="H1354" s="2">
        <v>0</v>
      </c>
      <c r="I1354" s="2" t="inlineStr">
        <is>
          <t>320</t>
        </is>
      </c>
      <c r="J1354" s="4"/>
      <c r="K1354" s="2">
        <v>0</v>
      </c>
      <c r="L1354" s="6"/>
      <c r="M1354" s="2" t="str">
        <f>IF(J1354="",ROUND(I1354*(1-IF(ISBLANK(L1354),K1354,L1354)/100),2),ROUND(J1354*(1-IF(ISBLANK(L1354),K1354,L1354)/100),2))</f>
      </c>
      <c r="N1354" s="7" t="str">
        <f>IF(NOT(AND(J1354="",L1354="")),IF(OR(AND(L1354&lt;&gt;"",NOT(ISNUMBER(L1354))),IFERROR(MOD(L1354,1),1)&gt;0,AND(ISNUMBER(L1354),OR(L1354&lt;0,L1354&gt;95))),"Введите целое число от 0 до 95",IF(OR(AND(J1354&lt;&gt;"",NOT(ISNUMBER(J1354))),IFERROR(MOD(J1354,1),1)&gt;0,AND(ISNUMBER(J1354),OR(J1354&lt;50,J1354&gt;20000000))),"Введите целое число от 50 до 20000000",IF(NOT(ABS(IFERROR(VALUE(LEFT(M1354,FIND("-",M1354)-1)),M1354)*100-(5000+2000000000)/2)&lt;=ABS(5000-2000000000)/2),"Цена со скидкой должна быть от 50 до 20000000",IF(IFERROR(VALUE(LEFT(M1354,FIND("-",M1354)-1)),M1354)*190&lt;32000,"Вы уменьшили цену в несколько раз, товар попадет в карантин цен","")))),"")</f>
      </c>
    </row>
    <row r="1355">
      <c r="A1355" s="2" t="inlineStr">
        <is>
          <t>CuteShop</t>
        </is>
      </c>
      <c r="B1355" s="2" t="inlineStr">
        <is>
          <t>Бусины</t>
        </is>
      </c>
      <c r="C1355" s="2">
        <v>153291766</v>
      </c>
      <c r="D1355" s="2" t="inlineStr">
        <is>
          <t>Bus-raduzh-8mm-orang-100</t>
        </is>
      </c>
      <c r="E1355" s="2" t="inlineStr">
        <is>
          <t>2037631380360</t>
        </is>
      </c>
      <c r="F1355" s="2">
        <v>0</v>
      </c>
      <c r="G1355" s="2">
        <v>0</v>
      </c>
      <c r="H1355" s="2" t="inlineStr">
        <is>
          <t/>
        </is>
      </c>
      <c r="I1355" s="2" t="inlineStr">
        <is>
          <t>260</t>
        </is>
      </c>
      <c r="J1355" s="4"/>
      <c r="K1355" s="2">
        <v>0</v>
      </c>
      <c r="L1355" s="6"/>
      <c r="M1355" s="2" t="str">
        <f>IF(J1355="",ROUND(I1355*(1-IF(ISBLANK(L1355),K1355,L1355)/100),2),ROUND(J1355*(1-IF(ISBLANK(L1355),K1355,L1355)/100),2))</f>
      </c>
      <c r="N1355" s="7" t="str">
        <f>IF(NOT(AND(J1355="",L1355="")),IF(OR(AND(L1355&lt;&gt;"",NOT(ISNUMBER(L1355))),IFERROR(MOD(L1355,1),1)&gt;0,AND(ISNUMBER(L1355),OR(L1355&lt;0,L1355&gt;95))),"Введите целое число от 0 до 95",IF(OR(AND(J1355&lt;&gt;"",NOT(ISNUMBER(J1355))),IFERROR(MOD(J1355,1),1)&gt;0,AND(ISNUMBER(J1355),OR(J1355&lt;50,J1355&gt;20000000))),"Введите целое число от 50 до 20000000",IF(NOT(ABS(IFERROR(VALUE(LEFT(M1355,FIND("-",M1355)-1)),M1355)*100-(5000+2000000000)/2)&lt;=ABS(5000-2000000000)/2),"Цена со скидкой должна быть от 50 до 20000000",IF(IFERROR(VALUE(LEFT(M1355,FIND("-",M1355)-1)),M1355)*190&lt;26000,"Вы уменьшили цену в несколько раз, товар попадет в карантин цен","")))),"")</f>
      </c>
    </row>
    <row r="1356">
      <c r="A1356" s="2" t="inlineStr">
        <is>
          <t>CuteShop</t>
        </is>
      </c>
      <c r="B1356" s="2" t="inlineStr">
        <is>
          <t>Держатели для пустышек</t>
        </is>
      </c>
      <c r="C1356" s="2">
        <v>147473623</v>
      </c>
      <c r="D1356" s="2" t="inlineStr">
        <is>
          <t>DianaLis</t>
        </is>
      </c>
      <c r="E1356" s="2" t="inlineStr">
        <is>
          <t>2037493800761</t>
        </is>
      </c>
      <c r="F1356" s="2">
        <v>0</v>
      </c>
      <c r="G1356" s="2">
        <v>0</v>
      </c>
      <c r="H1356" s="2">
        <v>0</v>
      </c>
      <c r="I1356" s="2" t="inlineStr">
        <is>
          <t>1030</t>
        </is>
      </c>
      <c r="J1356" s="4"/>
      <c r="K1356" s="2">
        <v>10</v>
      </c>
      <c r="L1356" s="6"/>
      <c r="M1356" s="2" t="str">
        <f>IF(J1356="",ROUND(I1356*(1-IF(ISBLANK(L1356),K1356,L1356)/100),2),ROUND(J1356*(1-IF(ISBLANK(L1356),K1356,L1356)/100),2))</f>
      </c>
      <c r="N1356" s="7" t="str">
        <f>IF(NOT(AND(J1356="",L1356="")),IF(OR(AND(L1356&lt;&gt;"",NOT(ISNUMBER(L1356))),IFERROR(MOD(L1356,1),1)&gt;0,AND(ISNUMBER(L1356),OR(L1356&lt;0,L1356&gt;95))),"Введите целое число от 0 до 95",IF(OR(AND(J1356&lt;&gt;"",NOT(ISNUMBER(J1356))),IFERROR(MOD(J1356,1),1)&gt;0,AND(ISNUMBER(J1356),OR(J1356&lt;50,J1356&gt;20000000))),"Введите целое число от 50 до 20000000",IF(NOT(ABS(IFERROR(VALUE(LEFT(M1356,FIND("-",M1356)-1)),M1356)*100-(5000+2000000000)/2)&lt;=ABS(5000-2000000000)/2),"Цена со скидкой должна быть от 50 до 20000000",IF(IFERROR(VALUE(LEFT(M1356,FIND("-",M1356)-1)),M1356)*229&lt;92700,"Вы уменьшили цену в несколько раз, товар попадет в карантин цен","")))),"")</f>
      </c>
    </row>
    <row r="1357">
      <c r="A1357" s="2" t="inlineStr">
        <is>
          <t>CuteShop</t>
        </is>
      </c>
      <c r="B1357" s="2" t="inlineStr">
        <is>
          <t>Держатели для пустышек</t>
        </is>
      </c>
      <c r="C1357" s="2">
        <v>150086064</v>
      </c>
      <c r="D1357" s="2" t="inlineStr">
        <is>
          <t>ElzaBG</t>
        </is>
      </c>
      <c r="E1357" s="2" t="inlineStr">
        <is>
          <t>2037563075372</t>
        </is>
      </c>
      <c r="F1357" s="2">
        <v>0</v>
      </c>
      <c r="G1357" s="2">
        <v>1</v>
      </c>
      <c r="H1357" s="2">
        <v>0</v>
      </c>
      <c r="I1357" s="2" t="inlineStr">
        <is>
          <t>790</t>
        </is>
      </c>
      <c r="J1357" s="4"/>
      <c r="K1357" s="2">
        <v>10</v>
      </c>
      <c r="L1357" s="6"/>
      <c r="M1357" s="2" t="str">
        <f>IF(J1357="",ROUND(I1357*(1-IF(ISBLANK(L1357),K1357,L1357)/100),2),ROUND(J1357*(1-IF(ISBLANK(L1357),K1357,L1357)/100),2))</f>
      </c>
      <c r="N1357" s="7" t="str">
        <f>IF(NOT(AND(J1357="",L1357="")),IF(OR(AND(L1357&lt;&gt;"",NOT(ISNUMBER(L1357))),IFERROR(MOD(L1357,1),1)&gt;0,AND(ISNUMBER(L1357),OR(L1357&lt;0,L1357&gt;95))),"Введите целое число от 0 до 95",IF(OR(AND(J1357&lt;&gt;"",NOT(ISNUMBER(J1357))),IFERROR(MOD(J1357,1),1)&gt;0,AND(ISNUMBER(J1357),OR(J1357&lt;50,J1357&gt;20000000))),"Введите целое число от 50 до 20000000",IF(NOT(ABS(IFERROR(VALUE(LEFT(M1357,FIND("-",M1357)-1)),M1357)*100-(5000+2000000000)/2)&lt;=ABS(5000-2000000000)/2),"Цена со скидкой должна быть от 50 до 20000000",IF(IFERROR(VALUE(LEFT(M1357,FIND("-",M1357)-1)),M1357)*229&lt;71100,"Вы уменьшили цену в несколько раз, товар попадет в карантин цен","")))),"")</f>
      </c>
    </row>
    <row r="1358">
      <c r="A1358" s="2" t="inlineStr">
        <is>
          <t/>
        </is>
      </c>
      <c r="B1358" s="2" t="inlineStr">
        <is>
          <t>Ткани для рукоделия</t>
        </is>
      </c>
      <c r="C1358" s="2">
        <v>189550254</v>
      </c>
      <c r="D1358" s="2" t="inlineStr">
        <is>
          <t>Fatin-Goroh15-TemnZel-5</t>
        </is>
      </c>
      <c r="E1358" s="2" t="inlineStr">
        <is>
          <t>2038979518033</t>
        </is>
      </c>
      <c r="F1358" s="2">
        <v>0</v>
      </c>
      <c r="G1358" s="2">
        <v>0</v>
      </c>
      <c r="H1358" s="2" t="inlineStr">
        <is>
          <t/>
        </is>
      </c>
      <c r="I1358" s="2" t="inlineStr">
        <is>
          <t>340</t>
        </is>
      </c>
      <c r="J1358" s="4"/>
      <c r="K1358" s="2">
        <v>0</v>
      </c>
      <c r="L1358" s="6"/>
      <c r="M1358" s="2" t="str">
        <f>IF(J1358="",ROUND(I1358*(1-IF(ISBLANK(L1358),K1358,L1358)/100),2),ROUND(J1358*(1-IF(ISBLANK(L1358),K1358,L1358)/100),2))</f>
      </c>
      <c r="N1358" s="7" t="str">
        <f>IF(NOT(AND(J1358="",L1358="")),IF(OR(AND(L1358&lt;&gt;"",NOT(ISNUMBER(L1358))),IFERROR(MOD(L1358,1),1)&gt;0,AND(ISNUMBER(L1358),OR(L1358&lt;0,L1358&gt;95))),"Введите целое число от 0 до 95",IF(OR(AND(J1358&lt;&gt;"",NOT(ISNUMBER(J1358))),IFERROR(MOD(J1358,1),1)&gt;0,AND(ISNUMBER(J1358),OR(J1358&lt;50,J1358&gt;20000000))),"Введите целое число от 50 до 20000000",IF(NOT(ABS(IFERROR(VALUE(LEFT(M1358,FIND("-",M1358)-1)),M1358)*100-(5000+2000000000)/2)&lt;=ABS(5000-2000000000)/2),"Цена со скидкой должна быть от 50 до 20000000",IF(IFERROR(VALUE(LEFT(M1358,FIND("-",M1358)-1)),M1358)*190&lt;34000,"Вы уменьшили цену в несколько раз, товар попадет в карантин цен","")))),"")</f>
      </c>
    </row>
    <row r="1359">
      <c r="A1359" s="2" t="inlineStr">
        <is>
          <t>CuteShop</t>
        </is>
      </c>
      <c r="B1359" s="2" t="inlineStr">
        <is>
          <t>Ленты для рукоделия</t>
        </is>
      </c>
      <c r="C1359" s="2">
        <v>191706883</v>
      </c>
      <c r="D1359" s="2" t="inlineStr">
        <is>
          <t>Lenta-Rep-Snezh-Gol2</t>
        </is>
      </c>
      <c r="E1359" s="2" t="inlineStr">
        <is>
          <t>2039048927343</t>
        </is>
      </c>
      <c r="F1359" s="2">
        <v>0</v>
      </c>
      <c r="G1359" s="2">
        <v>0</v>
      </c>
      <c r="H1359" s="2" t="inlineStr">
        <is>
          <t/>
        </is>
      </c>
      <c r="I1359" s="2" t="inlineStr">
        <is>
          <t>400</t>
        </is>
      </c>
      <c r="J1359" s="4"/>
      <c r="K1359" s="2">
        <v>0</v>
      </c>
      <c r="L1359" s="6"/>
      <c r="M1359" s="2" t="str">
        <f>IF(J1359="",ROUND(I1359*(1-IF(ISBLANK(L1359),K1359,L1359)/100),2),ROUND(J1359*(1-IF(ISBLANK(L1359),K1359,L1359)/100),2))</f>
      </c>
      <c r="N1359" s="7" t="str">
        <f>IF(NOT(AND(J1359="",L1359="")),IF(OR(AND(L1359&lt;&gt;"",NOT(ISNUMBER(L1359))),IFERROR(MOD(L1359,1),1)&gt;0,AND(ISNUMBER(L1359),OR(L1359&lt;0,L1359&gt;95))),"Введите целое число от 0 до 95",IF(OR(AND(J1359&lt;&gt;"",NOT(ISNUMBER(J1359))),IFERROR(MOD(J1359,1),1)&gt;0,AND(ISNUMBER(J1359),OR(J1359&lt;50,J1359&gt;20000000))),"Введите целое число от 50 до 20000000",IF(NOT(ABS(IFERROR(VALUE(LEFT(M1359,FIND("-",M1359)-1)),M1359)*100-(5000+2000000000)/2)&lt;=ABS(5000-2000000000)/2),"Цена со скидкой должна быть от 50 до 20000000",IF(IFERROR(VALUE(LEFT(M1359,FIND("-",M1359)-1)),M1359)*190&lt;40000,"Вы уменьшили цену в несколько раз, товар попадет в карантин цен","")))),"")</f>
      </c>
    </row>
    <row r="1360">
      <c r="A1360" s="2" t="inlineStr">
        <is>
          <t>CuteShop</t>
        </is>
      </c>
      <c r="B1360" s="2" t="inlineStr">
        <is>
          <t>Держатели для пустышек</t>
        </is>
      </c>
      <c r="C1360" s="2">
        <v>150698354</v>
      </c>
      <c r="D1360" s="2" t="inlineStr">
        <is>
          <t>VeronikaLev</t>
        </is>
      </c>
      <c r="E1360" s="2" t="inlineStr">
        <is>
          <t>2037581243142</t>
        </is>
      </c>
      <c r="F1360" s="2">
        <v>0</v>
      </c>
      <c r="G1360" s="2">
        <v>0</v>
      </c>
      <c r="H1360" s="2" t="inlineStr">
        <is>
          <t/>
        </is>
      </c>
      <c r="I1360" s="2" t="inlineStr">
        <is>
          <t>1030</t>
        </is>
      </c>
      <c r="J1360" s="4"/>
      <c r="K1360" s="2">
        <v>10</v>
      </c>
      <c r="L1360" s="6"/>
      <c r="M1360" s="2" t="str">
        <f>IF(J1360="",ROUND(I1360*(1-IF(ISBLANK(L1360),K1360,L1360)/100),2),ROUND(J1360*(1-IF(ISBLANK(L1360),K1360,L1360)/100),2))</f>
      </c>
      <c r="N1360" s="7" t="str">
        <f>IF(NOT(AND(J1360="",L1360="")),IF(OR(AND(L1360&lt;&gt;"",NOT(ISNUMBER(L1360))),IFERROR(MOD(L1360,1),1)&gt;0,AND(ISNUMBER(L1360),OR(L1360&lt;0,L1360&gt;95))),"Введите целое число от 0 до 95",IF(OR(AND(J1360&lt;&gt;"",NOT(ISNUMBER(J1360))),IFERROR(MOD(J1360,1),1)&gt;0,AND(ISNUMBER(J1360),OR(J1360&lt;50,J1360&gt;20000000))),"Введите целое число от 50 до 20000000",IF(NOT(ABS(IFERROR(VALUE(LEFT(M1360,FIND("-",M1360)-1)),M1360)*100-(5000+2000000000)/2)&lt;=ABS(5000-2000000000)/2),"Цена со скидкой должна быть от 50 до 20000000",IF(IFERROR(VALUE(LEFT(M1360,FIND("-",M1360)-1)),M1360)*229&lt;92700,"Вы уменьшили цену в несколько раз, товар попадет в карантин цен","")))),"")</f>
      </c>
    </row>
    <row r="1361">
      <c r="A1361" s="2" t="inlineStr">
        <is>
          <t>CuteShop</t>
        </is>
      </c>
      <c r="B1361" s="2" t="inlineStr">
        <is>
          <t>Ленты для рукоделия</t>
        </is>
      </c>
      <c r="C1361" s="2">
        <v>191763830</v>
      </c>
      <c r="D1361" s="2" t="inlineStr">
        <is>
          <t>Lenta-Atlas-Snezh-Sin-40</t>
        </is>
      </c>
      <c r="E1361" s="2" t="inlineStr">
        <is>
          <t>2039051077073</t>
        </is>
      </c>
      <c r="F1361" s="2">
        <v>0</v>
      </c>
      <c r="G1361" s="2">
        <v>0</v>
      </c>
      <c r="H1361" s="2">
        <v>1</v>
      </c>
      <c r="I1361" s="2" t="inlineStr">
        <is>
          <t>410</t>
        </is>
      </c>
      <c r="J1361" s="4"/>
      <c r="K1361" s="2">
        <v>0</v>
      </c>
      <c r="L1361" s="6"/>
      <c r="M1361" s="2" t="str">
        <f>IF(J1361="",ROUND(I1361*(1-IF(ISBLANK(L1361),K1361,L1361)/100),2),ROUND(J1361*(1-IF(ISBLANK(L1361),K1361,L1361)/100),2))</f>
      </c>
      <c r="N1361" s="7" t="str">
        <f>IF(NOT(AND(J1361="",L1361="")),IF(OR(AND(L1361&lt;&gt;"",NOT(ISNUMBER(L1361))),IFERROR(MOD(L1361,1),1)&gt;0,AND(ISNUMBER(L1361),OR(L1361&lt;0,L1361&gt;95))),"Введите целое число от 0 до 95",IF(OR(AND(J1361&lt;&gt;"",NOT(ISNUMBER(J1361))),IFERROR(MOD(J1361,1),1)&gt;0,AND(ISNUMBER(J1361),OR(J1361&lt;50,J1361&gt;20000000))),"Введите целое число от 50 до 20000000",IF(NOT(ABS(IFERROR(VALUE(LEFT(M1361,FIND("-",M1361)-1)),M1361)*100-(5000+2000000000)/2)&lt;=ABS(5000-2000000000)/2),"Цена со скидкой должна быть от 50 до 20000000",IF(IFERROR(VALUE(LEFT(M1361,FIND("-",M1361)-1)),M1361)*190&lt;41000,"Вы уменьшили цену в несколько раз, товар попадет в карантин цен","")))),"")</f>
      </c>
    </row>
    <row r="1362">
      <c r="A1362" s="2" t="inlineStr">
        <is>
          <t>CuteShop</t>
        </is>
      </c>
      <c r="B1362" s="2" t="inlineStr">
        <is>
          <t>Держатели для пустышек</t>
        </is>
      </c>
      <c r="C1362" s="2">
        <v>173354712</v>
      </c>
      <c r="D1362" s="2" t="inlineStr">
        <is>
          <t>MishelBG</t>
        </is>
      </c>
      <c r="E1362" s="2" t="inlineStr">
        <is>
          <t>2038381951749</t>
        </is>
      </c>
      <c r="F1362" s="2">
        <v>0</v>
      </c>
      <c r="G1362" s="2">
        <v>2</v>
      </c>
      <c r="H1362" s="2">
        <v>0</v>
      </c>
      <c r="I1362" s="2" t="inlineStr">
        <is>
          <t>790</t>
        </is>
      </c>
      <c r="J1362" s="4"/>
      <c r="K1362" s="2">
        <v>10</v>
      </c>
      <c r="L1362" s="6"/>
      <c r="M1362" s="2" t="str">
        <f>IF(J1362="",ROUND(I1362*(1-IF(ISBLANK(L1362),K1362,L1362)/100),2),ROUND(J1362*(1-IF(ISBLANK(L1362),K1362,L1362)/100),2))</f>
      </c>
      <c r="N1362" s="7" t="str">
        <f>IF(NOT(AND(J1362="",L1362="")),IF(OR(AND(L1362&lt;&gt;"",NOT(ISNUMBER(L1362))),IFERROR(MOD(L1362,1),1)&gt;0,AND(ISNUMBER(L1362),OR(L1362&lt;0,L1362&gt;95))),"Введите целое число от 0 до 95",IF(OR(AND(J1362&lt;&gt;"",NOT(ISNUMBER(J1362))),IFERROR(MOD(J1362,1),1)&gt;0,AND(ISNUMBER(J1362),OR(J1362&lt;50,J1362&gt;20000000))),"Введите целое число от 50 до 20000000",IF(NOT(ABS(IFERROR(VALUE(LEFT(M1362,FIND("-",M1362)-1)),M1362)*100-(5000+2000000000)/2)&lt;=ABS(5000-2000000000)/2),"Цена со скидкой должна быть от 50 до 20000000",IF(IFERROR(VALUE(LEFT(M1362,FIND("-",M1362)-1)),M1362)*229&lt;71100,"Вы уменьшили цену в несколько раз, товар попадет в карантин цен","")))),"")</f>
      </c>
    </row>
    <row r="1363">
      <c r="A1363" s="2" t="inlineStr">
        <is>
          <t>CuteShop</t>
        </is>
      </c>
      <c r="B1363" s="2" t="inlineStr">
        <is>
          <t>Ленты для рукоделия</t>
        </is>
      </c>
      <c r="C1363" s="2">
        <v>191766148</v>
      </c>
      <c r="D1363" s="2" t="inlineStr">
        <is>
          <t>Lenta-Rep-Snezh-BelSer-40-8</t>
        </is>
      </c>
      <c r="E1363" s="2" t="inlineStr">
        <is>
          <t>2039051169549</t>
        </is>
      </c>
      <c r="F1363" s="2">
        <v>0</v>
      </c>
      <c r="G1363" s="2">
        <v>0</v>
      </c>
      <c r="H1363" s="2" t="inlineStr">
        <is>
          <t/>
        </is>
      </c>
      <c r="I1363" s="2" t="inlineStr">
        <is>
          <t>440</t>
        </is>
      </c>
      <c r="J1363" s="4"/>
      <c r="K1363" s="2">
        <v>0</v>
      </c>
      <c r="L1363" s="6"/>
      <c r="M1363" s="2" t="str">
        <f>IF(J1363="",ROUND(I1363*(1-IF(ISBLANK(L1363),K1363,L1363)/100),2),ROUND(J1363*(1-IF(ISBLANK(L1363),K1363,L1363)/100),2))</f>
      </c>
      <c r="N1363" s="7" t="str">
        <f>IF(NOT(AND(J1363="",L1363="")),IF(OR(AND(L1363&lt;&gt;"",NOT(ISNUMBER(L1363))),IFERROR(MOD(L1363,1),1)&gt;0,AND(ISNUMBER(L1363),OR(L1363&lt;0,L1363&gt;95))),"Введите целое число от 0 до 95",IF(OR(AND(J1363&lt;&gt;"",NOT(ISNUMBER(J1363))),IFERROR(MOD(J1363,1),1)&gt;0,AND(ISNUMBER(J1363),OR(J1363&lt;50,J1363&gt;20000000))),"Введите целое число от 50 до 20000000",IF(NOT(ABS(IFERROR(VALUE(LEFT(M1363,FIND("-",M1363)-1)),M1363)*100-(5000+2000000000)/2)&lt;=ABS(5000-2000000000)/2),"Цена со скидкой должна быть от 50 до 20000000",IF(IFERROR(VALUE(LEFT(M1363,FIND("-",M1363)-1)),M1363)*190&lt;44000,"Вы уменьшили цену в несколько раз, товар попадет в карантин цен","")))),"")</f>
      </c>
    </row>
    <row r="1364">
      <c r="A1364" s="2" t="inlineStr">
        <is>
          <t>CuteShop</t>
        </is>
      </c>
      <c r="B1364" s="2" t="inlineStr">
        <is>
          <t>Бусины</t>
        </is>
      </c>
      <c r="C1364" s="2">
        <v>229030351</v>
      </c>
      <c r="D1364" s="2" t="inlineStr">
        <is>
          <t>Rond-Prozr2-6-50</t>
        </is>
      </c>
      <c r="E1364" s="2" t="inlineStr">
        <is>
          <t>2039929767150</t>
        </is>
      </c>
      <c r="F1364" s="2">
        <v>0</v>
      </c>
      <c r="G1364" s="2">
        <v>0</v>
      </c>
      <c r="H1364" s="2" t="inlineStr">
        <is>
          <t/>
        </is>
      </c>
      <c r="I1364" s="2" t="inlineStr">
        <is>
          <t>300</t>
        </is>
      </c>
      <c r="J1364" s="4"/>
      <c r="K1364" s="2">
        <v>0</v>
      </c>
      <c r="L1364" s="6"/>
      <c r="M1364" s="2" t="str">
        <f>IF(J1364="",ROUND(I1364*(1-IF(ISBLANK(L1364),K1364,L1364)/100),2),ROUND(J1364*(1-IF(ISBLANK(L1364),K1364,L1364)/100),2))</f>
      </c>
      <c r="N1364" s="7" t="str">
        <f>IF(NOT(AND(J1364="",L1364="")),IF(OR(AND(L1364&lt;&gt;"",NOT(ISNUMBER(L1364))),IFERROR(MOD(L1364,1),1)&gt;0,AND(ISNUMBER(L1364),OR(L1364&lt;0,L1364&gt;95))),"Введите целое число от 0 до 95",IF(OR(AND(J1364&lt;&gt;"",NOT(ISNUMBER(J1364))),IFERROR(MOD(J1364,1),1)&gt;0,AND(ISNUMBER(J1364),OR(J1364&lt;50,J1364&gt;20000000))),"Введите целое число от 50 до 20000000",IF(NOT(ABS(IFERROR(VALUE(LEFT(M1364,FIND("-",M1364)-1)),M1364)*100-(5000+2000000000)/2)&lt;=ABS(5000-2000000000)/2),"Цена со скидкой должна быть от 50 до 20000000",IF(IFERROR(VALUE(LEFT(M1364,FIND("-",M1364)-1)),M1364)*190&lt;30000,"Вы уменьшили цену в несколько раз, товар попадет в карантин цен","")))),"")</f>
      </c>
    </row>
    <row r="1365">
      <c r="A1365" s="2" t="inlineStr">
        <is>
          <t>CuteShop</t>
        </is>
      </c>
      <c r="B1365" s="2" t="inlineStr">
        <is>
          <t>Бусины</t>
        </is>
      </c>
      <c r="C1365" s="2">
        <v>229030353</v>
      </c>
      <c r="D1365" s="2" t="inlineStr">
        <is>
          <t>Rond-Ser-6-50</t>
        </is>
      </c>
      <c r="E1365" s="2" t="inlineStr">
        <is>
          <t>2039929772604</t>
        </is>
      </c>
      <c r="F1365" s="2">
        <v>0</v>
      </c>
      <c r="G1365" s="2">
        <v>0</v>
      </c>
      <c r="H1365" s="2" t="inlineStr">
        <is>
          <t/>
        </is>
      </c>
      <c r="I1365" s="2" t="inlineStr">
        <is>
          <t>300</t>
        </is>
      </c>
      <c r="J1365" s="4"/>
      <c r="K1365" s="2">
        <v>0</v>
      </c>
      <c r="L1365" s="6"/>
      <c r="M1365" s="2" t="str">
        <f>IF(J1365="",ROUND(I1365*(1-IF(ISBLANK(L1365),K1365,L1365)/100),2),ROUND(J1365*(1-IF(ISBLANK(L1365),K1365,L1365)/100),2))</f>
      </c>
      <c r="N1365" s="7" t="str">
        <f>IF(NOT(AND(J1365="",L1365="")),IF(OR(AND(L1365&lt;&gt;"",NOT(ISNUMBER(L1365))),IFERROR(MOD(L1365,1),1)&gt;0,AND(ISNUMBER(L1365),OR(L1365&lt;0,L1365&gt;95))),"Введите целое число от 0 до 95",IF(OR(AND(J1365&lt;&gt;"",NOT(ISNUMBER(J1365))),IFERROR(MOD(J1365,1),1)&gt;0,AND(ISNUMBER(J1365),OR(J1365&lt;50,J1365&gt;20000000))),"Введите целое число от 50 до 20000000",IF(NOT(ABS(IFERROR(VALUE(LEFT(M1365,FIND("-",M1365)-1)),M1365)*100-(5000+2000000000)/2)&lt;=ABS(5000-2000000000)/2),"Цена со скидкой должна быть от 50 до 20000000",IF(IFERROR(VALUE(LEFT(M1365,FIND("-",M1365)-1)),M1365)*190&lt;30000,"Вы уменьшили цену в несколько раз, товар попадет в карантин цен","")))),"")</f>
      </c>
    </row>
    <row r="1366">
      <c r="A1366" s="2" t="inlineStr">
        <is>
          <t>CuteShop</t>
        </is>
      </c>
      <c r="B1366" s="2" t="inlineStr">
        <is>
          <t>Держатели для пустышек</t>
        </is>
      </c>
      <c r="C1366" s="2">
        <v>173354738</v>
      </c>
      <c r="D1366" s="2" t="inlineStr">
        <is>
          <t>MishelZay</t>
        </is>
      </c>
      <c r="E1366" s="2" t="inlineStr">
        <is>
          <t>2038381974274</t>
        </is>
      </c>
      <c r="F1366" s="2">
        <v>0</v>
      </c>
      <c r="G1366" s="2">
        <v>1</v>
      </c>
      <c r="H1366" s="2">
        <v>0</v>
      </c>
      <c r="I1366" s="2" t="inlineStr">
        <is>
          <t>1030</t>
        </is>
      </c>
      <c r="J1366" s="4"/>
      <c r="K1366" s="2">
        <v>10</v>
      </c>
      <c r="L1366" s="6"/>
      <c r="M1366" s="2" t="str">
        <f>IF(J1366="",ROUND(I1366*(1-IF(ISBLANK(L1366),K1366,L1366)/100),2),ROUND(J1366*(1-IF(ISBLANK(L1366),K1366,L1366)/100),2))</f>
      </c>
      <c r="N1366" s="7" t="str">
        <f>IF(NOT(AND(J1366="",L1366="")),IF(OR(AND(L1366&lt;&gt;"",NOT(ISNUMBER(L1366))),IFERROR(MOD(L1366,1),1)&gt;0,AND(ISNUMBER(L1366),OR(L1366&lt;0,L1366&gt;95))),"Введите целое число от 0 до 95",IF(OR(AND(J1366&lt;&gt;"",NOT(ISNUMBER(J1366))),IFERROR(MOD(J1366,1),1)&gt;0,AND(ISNUMBER(J1366),OR(J1366&lt;50,J1366&gt;20000000))),"Введите целое число от 50 до 20000000",IF(NOT(ABS(IFERROR(VALUE(LEFT(M1366,FIND("-",M1366)-1)),M1366)*100-(5000+2000000000)/2)&lt;=ABS(5000-2000000000)/2),"Цена со скидкой должна быть от 50 до 20000000",IF(IFERROR(VALUE(LEFT(M1366,FIND("-",M1366)-1)),M1366)*229&lt;92700,"Вы уменьшили цену в несколько раз, товар попадет в карантин цен","")))),"")</f>
      </c>
    </row>
    <row r="1367">
      <c r="A1367" s="2" t="inlineStr">
        <is>
          <t>CuteShop</t>
        </is>
      </c>
      <c r="B1367" s="2" t="inlineStr">
        <is>
          <t>Бусины</t>
        </is>
      </c>
      <c r="C1367" s="2">
        <v>222442842</v>
      </c>
      <c r="D1367" s="2" t="inlineStr">
        <is>
          <t>Rond-NebGol-8-50</t>
        </is>
      </c>
      <c r="E1367" s="2" t="inlineStr">
        <is>
          <t>2039791520099</t>
        </is>
      </c>
      <c r="F1367" s="2">
        <v>0</v>
      </c>
      <c r="G1367" s="2">
        <v>0</v>
      </c>
      <c r="H1367" s="2" t="inlineStr">
        <is>
          <t/>
        </is>
      </c>
      <c r="I1367" s="2" t="inlineStr">
        <is>
          <t>300</t>
        </is>
      </c>
      <c r="J1367" s="4"/>
      <c r="K1367" s="2">
        <v>0</v>
      </c>
      <c r="L1367" s="6"/>
      <c r="M1367" s="2" t="str">
        <f>IF(J1367="",ROUND(I1367*(1-IF(ISBLANK(L1367),K1367,L1367)/100),2),ROUND(J1367*(1-IF(ISBLANK(L1367),K1367,L1367)/100),2))</f>
      </c>
      <c r="N1367" s="7" t="str">
        <f>IF(NOT(AND(J1367="",L1367="")),IF(OR(AND(L1367&lt;&gt;"",NOT(ISNUMBER(L1367))),IFERROR(MOD(L1367,1),1)&gt;0,AND(ISNUMBER(L1367),OR(L1367&lt;0,L1367&gt;95))),"Введите целое число от 0 до 95",IF(OR(AND(J1367&lt;&gt;"",NOT(ISNUMBER(J1367))),IFERROR(MOD(J1367,1),1)&gt;0,AND(ISNUMBER(J1367),OR(J1367&lt;50,J1367&gt;20000000))),"Введите целое число от 50 до 20000000",IF(NOT(ABS(IFERROR(VALUE(LEFT(M1367,FIND("-",M1367)-1)),M1367)*100-(5000+2000000000)/2)&lt;=ABS(5000-2000000000)/2),"Цена со скидкой должна быть от 50 до 20000000",IF(IFERROR(VALUE(LEFT(M1367,FIND("-",M1367)-1)),M1367)*190&lt;30000,"Вы уменьшили цену в несколько раз, товар попадет в карантин цен","")))),"")</f>
      </c>
    </row>
    <row r="1368">
      <c r="A1368" s="2" t="inlineStr">
        <is>
          <t>CuteShop</t>
        </is>
      </c>
      <c r="B1368" s="2" t="inlineStr">
        <is>
          <t>Держатели для пустышек</t>
        </is>
      </c>
      <c r="C1368" s="2">
        <v>179851865</v>
      </c>
      <c r="D1368" s="2" t="inlineStr">
        <is>
          <t>AmirLis</t>
        </is>
      </c>
      <c r="E1368" s="2" t="inlineStr">
        <is>
          <t>2038716194605</t>
        </is>
      </c>
      <c r="F1368" s="2">
        <v>0</v>
      </c>
      <c r="G1368" s="2">
        <v>0</v>
      </c>
      <c r="H1368" s="2" t="inlineStr">
        <is>
          <t/>
        </is>
      </c>
      <c r="I1368" s="2" t="inlineStr">
        <is>
          <t>1030</t>
        </is>
      </c>
      <c r="J1368" s="4"/>
      <c r="K1368" s="2">
        <v>10</v>
      </c>
      <c r="L1368" s="6"/>
      <c r="M1368" s="2" t="str">
        <f>IF(J1368="",ROUND(I1368*(1-IF(ISBLANK(L1368),K1368,L1368)/100),2),ROUND(J1368*(1-IF(ISBLANK(L1368),K1368,L1368)/100),2))</f>
      </c>
      <c r="N1368" s="7" t="str">
        <f>IF(NOT(AND(J1368="",L1368="")),IF(OR(AND(L1368&lt;&gt;"",NOT(ISNUMBER(L1368))),IFERROR(MOD(L1368,1),1)&gt;0,AND(ISNUMBER(L1368),OR(L1368&lt;0,L1368&gt;95))),"Введите целое число от 0 до 95",IF(OR(AND(J1368&lt;&gt;"",NOT(ISNUMBER(J1368))),IFERROR(MOD(J1368,1),1)&gt;0,AND(ISNUMBER(J1368),OR(J1368&lt;50,J1368&gt;20000000))),"Введите целое число от 50 до 20000000",IF(NOT(ABS(IFERROR(VALUE(LEFT(M1368,FIND("-",M1368)-1)),M1368)*100-(5000+2000000000)/2)&lt;=ABS(5000-2000000000)/2),"Цена со скидкой должна быть от 50 до 20000000",IF(IFERROR(VALUE(LEFT(M1368,FIND("-",M1368)-1)),M1368)*229&lt;92700,"Вы уменьшили цену в несколько раз, товар попадет в карантин цен","")))),"")</f>
      </c>
    </row>
    <row r="1369">
      <c r="A1369" s="2" t="inlineStr">
        <is>
          <t>CuteShop</t>
        </is>
      </c>
      <c r="B1369" s="2" t="inlineStr">
        <is>
          <t>Бусины</t>
        </is>
      </c>
      <c r="C1369" s="2">
        <v>222801176</v>
      </c>
      <c r="D1369" s="2" t="inlineStr">
        <is>
          <t>Rond-Gol-6-50</t>
        </is>
      </c>
      <c r="E1369" s="2" t="inlineStr">
        <is>
          <t>2039800757850</t>
        </is>
      </c>
      <c r="F1369" s="2">
        <v>0</v>
      </c>
      <c r="G1369" s="2">
        <v>0</v>
      </c>
      <c r="H1369" s="2" t="inlineStr">
        <is>
          <t/>
        </is>
      </c>
      <c r="I1369" s="2" t="inlineStr">
        <is>
          <t>300</t>
        </is>
      </c>
      <c r="J1369" s="4"/>
      <c r="K1369" s="2">
        <v>0</v>
      </c>
      <c r="L1369" s="6"/>
      <c r="M1369" s="2" t="str">
        <f>IF(J1369="",ROUND(I1369*(1-IF(ISBLANK(L1369),K1369,L1369)/100),2),ROUND(J1369*(1-IF(ISBLANK(L1369),K1369,L1369)/100),2))</f>
      </c>
      <c r="N1369" s="7" t="str">
        <f>IF(NOT(AND(J1369="",L1369="")),IF(OR(AND(L1369&lt;&gt;"",NOT(ISNUMBER(L1369))),IFERROR(MOD(L1369,1),1)&gt;0,AND(ISNUMBER(L1369),OR(L1369&lt;0,L1369&gt;95))),"Введите целое число от 0 до 95",IF(OR(AND(J1369&lt;&gt;"",NOT(ISNUMBER(J1369))),IFERROR(MOD(J1369,1),1)&gt;0,AND(ISNUMBER(J1369),OR(J1369&lt;50,J1369&gt;20000000))),"Введите целое число от 50 до 20000000",IF(NOT(ABS(IFERROR(VALUE(LEFT(M1369,FIND("-",M1369)-1)),M1369)*100-(5000+2000000000)/2)&lt;=ABS(5000-2000000000)/2),"Цена со скидкой должна быть от 50 до 20000000",IF(IFERROR(VALUE(LEFT(M1369,FIND("-",M1369)-1)),M1369)*190&lt;30000,"Вы уменьшили цену в несколько раз, товар попадет в карантин цен","")))),"")</f>
      </c>
    </row>
    <row r="1370">
      <c r="A1370" s="2" t="inlineStr">
        <is>
          <t>CuteShop</t>
        </is>
      </c>
      <c r="B1370" s="2" t="inlineStr">
        <is>
          <t>Держатели для пустышек</t>
        </is>
      </c>
      <c r="C1370" s="2">
        <v>218269289</v>
      </c>
      <c r="D1370" s="2" t="inlineStr">
        <is>
          <t>KamilBG</t>
        </is>
      </c>
      <c r="E1370" s="2" t="inlineStr">
        <is>
          <t>2039683927364</t>
        </is>
      </c>
      <c r="F1370" s="2">
        <v>0</v>
      </c>
      <c r="G1370" s="2">
        <v>1</v>
      </c>
      <c r="H1370" s="2" t="inlineStr">
        <is>
          <t/>
        </is>
      </c>
      <c r="I1370" s="2" t="inlineStr">
        <is>
          <t>790</t>
        </is>
      </c>
      <c r="J1370" s="4"/>
      <c r="K1370" s="2">
        <v>10</v>
      </c>
      <c r="L1370" s="6"/>
      <c r="M1370" s="2" t="str">
        <f>IF(J1370="",ROUND(I1370*(1-IF(ISBLANK(L1370),K1370,L1370)/100),2),ROUND(J1370*(1-IF(ISBLANK(L1370),K1370,L1370)/100),2))</f>
      </c>
      <c r="N1370" s="7" t="str">
        <f>IF(NOT(AND(J1370="",L1370="")),IF(OR(AND(L1370&lt;&gt;"",NOT(ISNUMBER(L1370))),IFERROR(MOD(L1370,1),1)&gt;0,AND(ISNUMBER(L1370),OR(L1370&lt;0,L1370&gt;95))),"Введите целое число от 0 до 95",IF(OR(AND(J1370&lt;&gt;"",NOT(ISNUMBER(J1370))),IFERROR(MOD(J1370,1),1)&gt;0,AND(ISNUMBER(J1370),OR(J1370&lt;50,J1370&gt;20000000))),"Введите целое число от 50 до 20000000",IF(NOT(ABS(IFERROR(VALUE(LEFT(M1370,FIND("-",M1370)-1)),M1370)*100-(5000+2000000000)/2)&lt;=ABS(5000-2000000000)/2),"Цена со скидкой должна быть от 50 до 20000000",IF(IFERROR(VALUE(LEFT(M1370,FIND("-",M1370)-1)),M1370)*229&lt;71100,"Вы уменьшили цену в несколько раз, товар попадет в карантин цен","")))),"")</f>
      </c>
    </row>
    <row r="1371">
      <c r="A1371" s="2" t="inlineStr">
        <is>
          <t>CuteShop</t>
        </is>
      </c>
      <c r="B1371" s="2" t="inlineStr">
        <is>
          <t>Ленты для рукоделия</t>
        </is>
      </c>
      <c r="C1371" s="2">
        <v>212586987</v>
      </c>
      <c r="D1371" s="2" t="inlineStr">
        <is>
          <t>Lenta-Rep-nabor4-10</t>
        </is>
      </c>
      <c r="E1371" s="2" t="inlineStr">
        <is>
          <t>2039562083686</t>
        </is>
      </c>
      <c r="F1371" s="2">
        <v>0</v>
      </c>
      <c r="G1371" s="2">
        <v>0</v>
      </c>
      <c r="H1371" s="2" t="inlineStr">
        <is>
          <t/>
        </is>
      </c>
      <c r="I1371" s="2" t="inlineStr">
        <is>
          <t>370</t>
        </is>
      </c>
      <c r="J1371" s="4"/>
      <c r="K1371" s="2">
        <v>0</v>
      </c>
      <c r="L1371" s="6"/>
      <c r="M1371" s="2" t="str">
        <f>IF(J1371="",ROUND(I1371*(1-IF(ISBLANK(L1371),K1371,L1371)/100),2),ROUND(J1371*(1-IF(ISBLANK(L1371),K1371,L1371)/100),2))</f>
      </c>
      <c r="N1371" s="7" t="str">
        <f>IF(NOT(AND(J1371="",L1371="")),IF(OR(AND(L1371&lt;&gt;"",NOT(ISNUMBER(L1371))),IFERROR(MOD(L1371,1),1)&gt;0,AND(ISNUMBER(L1371),OR(L1371&lt;0,L1371&gt;95))),"Введите целое число от 0 до 95",IF(OR(AND(J1371&lt;&gt;"",NOT(ISNUMBER(J1371))),IFERROR(MOD(J1371,1),1)&gt;0,AND(ISNUMBER(J1371),OR(J1371&lt;50,J1371&gt;20000000))),"Введите целое число от 50 до 20000000",IF(NOT(ABS(IFERROR(VALUE(LEFT(M1371,FIND("-",M1371)-1)),M1371)*100-(5000+2000000000)/2)&lt;=ABS(5000-2000000000)/2),"Цена со скидкой должна быть от 50 до 20000000",IF(IFERROR(VALUE(LEFT(M1371,FIND("-",M1371)-1)),M1371)*190&lt;37000,"Вы уменьшили цену в несколько раз, товар попадет в карантин цен","")))),"")</f>
      </c>
    </row>
    <row r="1372">
      <c r="A1372" s="2" t="inlineStr">
        <is>
          <t>CuteShop</t>
        </is>
      </c>
      <c r="B1372" s="2" t="inlineStr">
        <is>
          <t>Держатели для пустышек</t>
        </is>
      </c>
      <c r="C1372" s="2">
        <v>245135654</v>
      </c>
      <c r="D1372" s="2" t="inlineStr">
        <is>
          <t>TemaBel</t>
        </is>
      </c>
      <c r="E1372" s="2" t="inlineStr">
        <is>
          <t>2040698800849</t>
        </is>
      </c>
      <c r="F1372" s="2">
        <v>0</v>
      </c>
      <c r="G1372" s="2">
        <v>1</v>
      </c>
      <c r="H1372" s="2" t="inlineStr">
        <is>
          <t/>
        </is>
      </c>
      <c r="I1372" s="2" t="inlineStr">
        <is>
          <t>840</t>
        </is>
      </c>
      <c r="J1372" s="4"/>
      <c r="K1372" s="2">
        <v>10</v>
      </c>
      <c r="L1372" s="6"/>
      <c r="M1372" s="2" t="str">
        <f>IF(J1372="",ROUND(I1372*(1-IF(ISBLANK(L1372),K1372,L1372)/100),2),ROUND(J1372*(1-IF(ISBLANK(L1372),K1372,L1372)/100),2))</f>
      </c>
      <c r="N1372" s="7" t="str">
        <f>IF(NOT(AND(J1372="",L1372="")),IF(OR(AND(L1372&lt;&gt;"",NOT(ISNUMBER(L1372))),IFERROR(MOD(L1372,1),1)&gt;0,AND(ISNUMBER(L1372),OR(L1372&lt;0,L1372&gt;95))),"Введите целое число от 0 до 95",IF(OR(AND(J1372&lt;&gt;"",NOT(ISNUMBER(J1372))),IFERROR(MOD(J1372,1),1)&gt;0,AND(ISNUMBER(J1372),OR(J1372&lt;50,J1372&gt;20000000))),"Введите целое число от 50 до 20000000",IF(NOT(ABS(IFERROR(VALUE(LEFT(M1372,FIND("-",M1372)-1)),M1372)*100-(5000+2000000000)/2)&lt;=ABS(5000-2000000000)/2),"Цена со скидкой должна быть от 50 до 20000000",IF(IFERROR(VALUE(LEFT(M1372,FIND("-",M1372)-1)),M1372)*229&lt;75600,"Вы уменьшили цену в несколько раз, товар попадет в карантин цен","")))),"")</f>
      </c>
    </row>
    <row r="1373">
      <c r="A1373" s="2" t="inlineStr">
        <is>
          <t>CuteShop</t>
        </is>
      </c>
      <c r="B1373" s="2" t="inlineStr">
        <is>
          <t>Держатели для пустышек</t>
        </is>
      </c>
      <c r="C1373" s="2">
        <v>201095708</v>
      </c>
      <c r="D1373" s="2" t="inlineStr">
        <is>
          <t>Amal</t>
        </is>
      </c>
      <c r="E1373" s="2" t="inlineStr">
        <is>
          <t>2039326197123</t>
        </is>
      </c>
      <c r="F1373" s="2">
        <v>0</v>
      </c>
      <c r="G1373" s="2">
        <v>0</v>
      </c>
      <c r="H1373" s="2" t="inlineStr">
        <is>
          <t/>
        </is>
      </c>
      <c r="I1373" s="2" t="inlineStr">
        <is>
          <t>1030</t>
        </is>
      </c>
      <c r="J1373" s="4"/>
      <c r="K1373" s="2">
        <v>10</v>
      </c>
      <c r="L1373" s="6"/>
      <c r="M1373" s="2" t="str">
        <f>IF(J1373="",ROUND(I1373*(1-IF(ISBLANK(L1373),K1373,L1373)/100),2),ROUND(J1373*(1-IF(ISBLANK(L1373),K1373,L1373)/100),2))</f>
      </c>
      <c r="N1373" s="7" t="str">
        <f>IF(NOT(AND(J1373="",L1373="")),IF(OR(AND(L1373&lt;&gt;"",NOT(ISNUMBER(L1373))),IFERROR(MOD(L1373,1),1)&gt;0,AND(ISNUMBER(L1373),OR(L1373&lt;0,L1373&gt;95))),"Введите целое число от 0 до 95",IF(OR(AND(J1373&lt;&gt;"",NOT(ISNUMBER(J1373))),IFERROR(MOD(J1373,1),1)&gt;0,AND(ISNUMBER(J1373),OR(J1373&lt;50,J1373&gt;20000000))),"Введите целое число от 50 до 20000000",IF(NOT(ABS(IFERROR(VALUE(LEFT(M1373,FIND("-",M1373)-1)),M1373)*100-(5000+2000000000)/2)&lt;=ABS(5000-2000000000)/2),"Цена со скидкой должна быть от 50 до 20000000",IF(IFERROR(VALUE(LEFT(M1373,FIND("-",M1373)-1)),M1373)*229&lt;92700,"Вы уменьшили цену в несколько раз, товар попадет в карантин цен","")))),"")</f>
      </c>
    </row>
    <row r="1374">
      <c r="A1374" s="2" t="inlineStr">
        <is>
          <t>CuteShop</t>
        </is>
      </c>
      <c r="B1374" s="2" t="inlineStr">
        <is>
          <t>Ленты для рукоделия</t>
        </is>
      </c>
      <c r="C1374" s="2">
        <v>229455720</v>
      </c>
      <c r="D1374" s="2" t="inlineStr">
        <is>
          <t>Kruzhevo-Gol-8</t>
        </is>
      </c>
      <c r="E1374" s="2" t="inlineStr">
        <is>
          <t>2039938089991</t>
        </is>
      </c>
      <c r="F1374" s="2">
        <v>0</v>
      </c>
      <c r="G1374" s="2">
        <v>0</v>
      </c>
      <c r="H1374" s="2" t="inlineStr">
        <is>
          <t/>
        </is>
      </c>
      <c r="I1374" s="2" t="inlineStr">
        <is>
          <t>230</t>
        </is>
      </c>
      <c r="J1374" s="4"/>
      <c r="K1374" s="2">
        <v>0</v>
      </c>
      <c r="L1374" s="6"/>
      <c r="M1374" s="2" t="str">
        <f>IF(J1374="",ROUND(I1374*(1-IF(ISBLANK(L1374),K1374,L1374)/100),2),ROUND(J1374*(1-IF(ISBLANK(L1374),K1374,L1374)/100),2))</f>
      </c>
      <c r="N1374" s="7" t="str">
        <f>IF(NOT(AND(J1374="",L1374="")),IF(OR(AND(L1374&lt;&gt;"",NOT(ISNUMBER(L1374))),IFERROR(MOD(L1374,1),1)&gt;0,AND(ISNUMBER(L1374),OR(L1374&lt;0,L1374&gt;95))),"Введите целое число от 0 до 95",IF(OR(AND(J1374&lt;&gt;"",NOT(ISNUMBER(J1374))),IFERROR(MOD(J1374,1),1)&gt;0,AND(ISNUMBER(J1374),OR(J1374&lt;50,J1374&gt;20000000))),"Введите целое число от 50 до 20000000",IF(NOT(ABS(IFERROR(VALUE(LEFT(M1374,FIND("-",M1374)-1)),M1374)*100-(5000+2000000000)/2)&lt;=ABS(5000-2000000000)/2),"Цена со скидкой должна быть от 50 до 20000000",IF(IFERROR(VALUE(LEFT(M1374,FIND("-",M1374)-1)),M1374)*190&lt;23000,"Вы уменьшили цену в несколько раз, товар попадет в карантин цен","")))),"")</f>
      </c>
    </row>
    <row r="1375">
      <c r="A1375" s="2" t="inlineStr">
        <is>
          <t>CuteShop</t>
        </is>
      </c>
      <c r="B1375" s="2" t="inlineStr">
        <is>
          <t>Держатели для пустышек</t>
        </is>
      </c>
      <c r="C1375" s="2">
        <v>253941033</v>
      </c>
      <c r="D1375" s="2" t="inlineStr">
        <is>
          <t>AdeliyaMish</t>
        </is>
      </c>
      <c r="E1375" s="2" t="inlineStr">
        <is>
          <t>2040964103018</t>
        </is>
      </c>
      <c r="F1375" s="2">
        <v>0</v>
      </c>
      <c r="G1375" s="2">
        <v>1</v>
      </c>
      <c r="H1375" s="2" t="inlineStr">
        <is>
          <t/>
        </is>
      </c>
      <c r="I1375" s="2" t="inlineStr">
        <is>
          <t>1030</t>
        </is>
      </c>
      <c r="J1375" s="4"/>
      <c r="K1375" s="2">
        <v>10</v>
      </c>
      <c r="L1375" s="6"/>
      <c r="M1375" s="2" t="str">
        <f>IF(J1375="",ROUND(I1375*(1-IF(ISBLANK(L1375),K1375,L1375)/100),2),ROUND(J1375*(1-IF(ISBLANK(L1375),K1375,L1375)/100),2))</f>
      </c>
      <c r="N1375" s="7" t="str">
        <f>IF(NOT(AND(J1375="",L1375="")),IF(OR(AND(L1375&lt;&gt;"",NOT(ISNUMBER(L1375))),IFERROR(MOD(L1375,1),1)&gt;0,AND(ISNUMBER(L1375),OR(L1375&lt;0,L1375&gt;95))),"Введите целое число от 0 до 95",IF(OR(AND(J1375&lt;&gt;"",NOT(ISNUMBER(J1375))),IFERROR(MOD(J1375,1),1)&gt;0,AND(ISNUMBER(J1375),OR(J1375&lt;50,J1375&gt;20000000))),"Введите целое число от 50 до 20000000",IF(NOT(ABS(IFERROR(VALUE(LEFT(M1375,FIND("-",M1375)-1)),M1375)*100-(5000+2000000000)/2)&lt;=ABS(5000-2000000000)/2),"Цена со скидкой должна быть от 50 до 20000000",IF(IFERROR(VALUE(LEFT(M1375,FIND("-",M1375)-1)),M1375)*229&lt;92700,"Вы уменьшили цену в несколько раз, товар попадет в карантин цен","")))),"")</f>
      </c>
    </row>
    <row r="1376">
      <c r="A1376" s="2" t="inlineStr">
        <is>
          <t>CuteShop</t>
        </is>
      </c>
      <c r="B1376" s="2" t="inlineStr">
        <is>
          <t>Держатели для пустышек</t>
        </is>
      </c>
      <c r="C1376" s="2">
        <v>254314913</v>
      </c>
      <c r="D1376" s="2" t="inlineStr">
        <is>
          <t>EmiliMish</t>
        </is>
      </c>
      <c r="E1376" s="2" t="inlineStr">
        <is>
          <t>2040977337936</t>
        </is>
      </c>
      <c r="F1376" s="2">
        <v>0</v>
      </c>
      <c r="G1376" s="2">
        <v>1</v>
      </c>
      <c r="H1376" s="2" t="inlineStr">
        <is>
          <t/>
        </is>
      </c>
      <c r="I1376" s="2" t="inlineStr">
        <is>
          <t>1030</t>
        </is>
      </c>
      <c r="J1376" s="4"/>
      <c r="K1376" s="2">
        <v>10</v>
      </c>
      <c r="L1376" s="6"/>
      <c r="M1376" s="2" t="str">
        <f>IF(J1376="",ROUND(I1376*(1-IF(ISBLANK(L1376),K1376,L1376)/100),2),ROUND(J1376*(1-IF(ISBLANK(L1376),K1376,L1376)/100),2))</f>
      </c>
      <c r="N1376" s="7" t="str">
        <f>IF(NOT(AND(J1376="",L1376="")),IF(OR(AND(L1376&lt;&gt;"",NOT(ISNUMBER(L1376))),IFERROR(MOD(L1376,1),1)&gt;0,AND(ISNUMBER(L1376),OR(L1376&lt;0,L1376&gt;95))),"Введите целое число от 0 до 95",IF(OR(AND(J1376&lt;&gt;"",NOT(ISNUMBER(J1376))),IFERROR(MOD(J1376,1),1)&gt;0,AND(ISNUMBER(J1376),OR(J1376&lt;50,J1376&gt;20000000))),"Введите целое число от 50 до 20000000",IF(NOT(ABS(IFERROR(VALUE(LEFT(M1376,FIND("-",M1376)-1)),M1376)*100-(5000+2000000000)/2)&lt;=ABS(5000-2000000000)/2),"Цена со скидкой должна быть от 50 до 20000000",IF(IFERROR(VALUE(LEFT(M1376,FIND("-",M1376)-1)),M1376)*229&lt;92700,"Вы уменьшили цену в несколько раз, товар попадет в карантин цен","")))),"")</f>
      </c>
    </row>
    <row r="1377">
      <c r="A1377" s="2" t="inlineStr">
        <is>
          <t>CuteShop</t>
        </is>
      </c>
      <c r="B1377" s="2" t="inlineStr">
        <is>
          <t>Ленты для рукоделия</t>
        </is>
      </c>
      <c r="C1377" s="2">
        <v>277333396</v>
      </c>
      <c r="D1377" s="2" t="inlineStr">
        <is>
          <t>Lenta-Rep-LurexAtlas-Bordo</t>
        </is>
      </c>
      <c r="E1377" s="2" t="inlineStr">
        <is>
          <t>2041639371442</t>
        </is>
      </c>
      <c r="F1377" s="2">
        <v>0</v>
      </c>
      <c r="G1377" s="2">
        <v>0</v>
      </c>
      <c r="H1377" s="2" t="inlineStr">
        <is>
          <t/>
        </is>
      </c>
      <c r="I1377" s="2" t="inlineStr">
        <is>
          <t>310</t>
        </is>
      </c>
      <c r="J1377" s="4"/>
      <c r="K1377" s="2">
        <v>10</v>
      </c>
      <c r="L1377" s="6"/>
      <c r="M1377" s="2" t="str">
        <f>IF(J1377="",ROUND(I1377*(1-IF(ISBLANK(L1377),K1377,L1377)/100),2),ROUND(J1377*(1-IF(ISBLANK(L1377),K1377,L1377)/100),2))</f>
      </c>
      <c r="N1377" s="7" t="str">
        <f>IF(NOT(AND(J1377="",L1377="")),IF(OR(AND(L1377&lt;&gt;"",NOT(ISNUMBER(L1377))),IFERROR(MOD(L1377,1),1)&gt;0,AND(ISNUMBER(L1377),OR(L1377&lt;0,L1377&gt;95))),"Введите целое число от 0 до 95",IF(OR(AND(J1377&lt;&gt;"",NOT(ISNUMBER(J1377))),IFERROR(MOD(J1377,1),1)&gt;0,AND(ISNUMBER(J1377),OR(J1377&lt;50,J1377&gt;20000000))),"Введите целое число от 50 до 20000000",IF(NOT(ABS(IFERROR(VALUE(LEFT(M1377,FIND("-",M1377)-1)),M1377)*100-(5000+2000000000)/2)&lt;=ABS(5000-2000000000)/2),"Цена со скидкой должна быть от 50 до 20000000",IF(IFERROR(VALUE(LEFT(M1377,FIND("-",M1377)-1)),M1377)*190&lt;27900,"Вы уменьшили цену в несколько раз, товар попадет в карантин цен","")))),"")</f>
      </c>
    </row>
    <row r="1378">
      <c r="A1378" s="2" t="inlineStr">
        <is>
          <t>CuteShop</t>
        </is>
      </c>
      <c r="B1378" s="2" t="inlineStr">
        <is>
          <t>Держатели для пустышек</t>
        </is>
      </c>
      <c r="C1378" s="2">
        <v>275705063</v>
      </c>
      <c r="D1378" s="2" t="inlineStr">
        <is>
          <t>Derzh-Nab6</t>
        </is>
      </c>
      <c r="E1378" s="2" t="inlineStr">
        <is>
          <t>2041602021756</t>
        </is>
      </c>
      <c r="F1378" s="2">
        <v>0</v>
      </c>
      <c r="G1378" s="2">
        <v>0</v>
      </c>
      <c r="H1378" s="2" t="inlineStr">
        <is>
          <t/>
        </is>
      </c>
      <c r="I1378" s="2" t="inlineStr">
        <is>
          <t>580</t>
        </is>
      </c>
      <c r="J1378" s="4"/>
      <c r="K1378" s="2">
        <v>10</v>
      </c>
      <c r="L1378" s="6"/>
      <c r="M1378" s="2" t="str">
        <f>IF(J1378="",ROUND(I1378*(1-IF(ISBLANK(L1378),K1378,L1378)/100),2),ROUND(J1378*(1-IF(ISBLANK(L1378),K1378,L1378)/100),2))</f>
      </c>
      <c r="N1378" s="7" t="str">
        <f>IF(NOT(AND(J1378="",L1378="")),IF(OR(AND(L1378&lt;&gt;"",NOT(ISNUMBER(L1378))),IFERROR(MOD(L1378,1),1)&gt;0,AND(ISNUMBER(L1378),OR(L1378&lt;0,L1378&gt;95))),"Введите целое число от 0 до 95",IF(OR(AND(J1378&lt;&gt;"",NOT(ISNUMBER(J1378))),IFERROR(MOD(J1378,1),1)&gt;0,AND(ISNUMBER(J1378),OR(J1378&lt;50,J1378&gt;20000000))),"Введите целое число от 50 до 20000000",IF(NOT(ABS(IFERROR(VALUE(LEFT(M1378,FIND("-",M1378)-1)),M1378)*100-(5000+2000000000)/2)&lt;=ABS(5000-2000000000)/2),"Цена со скидкой должна быть от 50 до 20000000",IF(IFERROR(VALUE(LEFT(M1378,FIND("-",M1378)-1)),M1378)*229&lt;52200,"Вы уменьшили цену в несколько раз, товар попадет в карантин цен","")))),"")</f>
      </c>
    </row>
    <row r="1379">
      <c r="A1379" s="2" t="inlineStr">
        <is>
          <t/>
        </is>
      </c>
      <c r="B1379" s="2" t="inlineStr">
        <is>
          <t>Ткани для рукоделия</t>
        </is>
      </c>
      <c r="C1379" s="2">
        <v>190303904</v>
      </c>
      <c r="D1379" s="2" t="inlineStr">
        <is>
          <t>Fatin-15-Bel-11,5</t>
        </is>
      </c>
      <c r="E1379" s="2" t="inlineStr">
        <is>
          <t>2039005574443</t>
        </is>
      </c>
      <c r="F1379" s="2">
        <v>0</v>
      </c>
      <c r="G1379" s="2">
        <v>0</v>
      </c>
      <c r="H1379" s="2" t="inlineStr">
        <is>
          <t/>
        </is>
      </c>
      <c r="I1379" s="2" t="inlineStr">
        <is>
          <t>400</t>
        </is>
      </c>
      <c r="J1379" s="4"/>
      <c r="K1379" s="2">
        <v>0</v>
      </c>
      <c r="L1379" s="6"/>
      <c r="M1379" s="2" t="str">
        <f>IF(J1379="",ROUND(I1379*(1-IF(ISBLANK(L1379),K1379,L1379)/100),2),ROUND(J1379*(1-IF(ISBLANK(L1379),K1379,L1379)/100),2))</f>
      </c>
      <c r="N1379" s="7" t="str">
        <f>IF(NOT(AND(J1379="",L1379="")),IF(OR(AND(L1379&lt;&gt;"",NOT(ISNUMBER(L1379))),IFERROR(MOD(L1379,1),1)&gt;0,AND(ISNUMBER(L1379),OR(L1379&lt;0,L1379&gt;95))),"Введите целое число от 0 до 95",IF(OR(AND(J1379&lt;&gt;"",NOT(ISNUMBER(J1379))),IFERROR(MOD(J1379,1),1)&gt;0,AND(ISNUMBER(J1379),OR(J1379&lt;50,J1379&gt;20000000))),"Введите целое число от 50 до 20000000",IF(NOT(ABS(IFERROR(VALUE(LEFT(M1379,FIND("-",M1379)-1)),M1379)*100-(5000+2000000000)/2)&lt;=ABS(5000-2000000000)/2),"Цена со скидкой должна быть от 50 до 20000000",IF(IFERROR(VALUE(LEFT(M1379,FIND("-",M1379)-1)),M1379)*190&lt;40000,"Вы уменьшили цену в несколько раз, товар попадет в карантин цен","")))),"")</f>
      </c>
    </row>
    <row r="1380">
      <c r="A1380" s="2" t="inlineStr">
        <is>
          <t>CuteShop</t>
        </is>
      </c>
      <c r="B1380" s="2" t="inlineStr">
        <is>
          <t>Держатели для пустышек</t>
        </is>
      </c>
      <c r="C1380" s="2">
        <v>218267108</v>
      </c>
      <c r="D1380" s="2" t="inlineStr">
        <is>
          <t>MishaMish</t>
        </is>
      </c>
      <c r="E1380" s="2" t="inlineStr">
        <is>
          <t>2039683889273</t>
        </is>
      </c>
      <c r="F1380" s="2">
        <v>0</v>
      </c>
      <c r="G1380" s="2">
        <v>1</v>
      </c>
      <c r="H1380" s="2" t="inlineStr">
        <is>
          <t/>
        </is>
      </c>
      <c r="I1380" s="2" t="inlineStr">
        <is>
          <t>1030</t>
        </is>
      </c>
      <c r="J1380" s="4"/>
      <c r="K1380" s="2">
        <v>10</v>
      </c>
      <c r="L1380" s="6"/>
      <c r="M1380" s="2" t="str">
        <f>IF(J1380="",ROUND(I1380*(1-IF(ISBLANK(L1380),K1380,L1380)/100),2),ROUND(J1380*(1-IF(ISBLANK(L1380),K1380,L1380)/100),2))</f>
      </c>
      <c r="N1380" s="7" t="str">
        <f>IF(NOT(AND(J1380="",L1380="")),IF(OR(AND(L1380&lt;&gt;"",NOT(ISNUMBER(L1380))),IFERROR(MOD(L1380,1),1)&gt;0,AND(ISNUMBER(L1380),OR(L1380&lt;0,L1380&gt;95))),"Введите целое число от 0 до 95",IF(OR(AND(J1380&lt;&gt;"",NOT(ISNUMBER(J1380))),IFERROR(MOD(J1380,1),1)&gt;0,AND(ISNUMBER(J1380),OR(J1380&lt;50,J1380&gt;20000000))),"Введите целое число от 50 до 20000000",IF(NOT(ABS(IFERROR(VALUE(LEFT(M1380,FIND("-",M1380)-1)),M1380)*100-(5000+2000000000)/2)&lt;=ABS(5000-2000000000)/2),"Цена со скидкой должна быть от 50 до 20000000",IF(IFERROR(VALUE(LEFT(M1380,FIND("-",M1380)-1)),M1380)*229&lt;92700,"Вы уменьшили цену в несколько раз, товар попадет в карантин цен","")))),"")</f>
      </c>
    </row>
    <row r="1381">
      <c r="A1381" s="2" t="inlineStr">
        <is>
          <t>CuteShop</t>
        </is>
      </c>
      <c r="B1381" s="2" t="inlineStr">
        <is>
          <t>Держатели для пустышек</t>
        </is>
      </c>
      <c r="C1381" s="2">
        <v>272525923</v>
      </c>
      <c r="D1381" s="2" t="inlineStr">
        <is>
          <t>PolechkaEdin</t>
        </is>
      </c>
      <c r="E1381" s="2" t="inlineStr">
        <is>
          <t>2041508064727</t>
        </is>
      </c>
      <c r="F1381" s="2">
        <v>0</v>
      </c>
      <c r="G1381" s="2">
        <v>0</v>
      </c>
      <c r="H1381" s="2" t="inlineStr">
        <is>
          <t/>
        </is>
      </c>
      <c r="I1381" s="2" t="inlineStr">
        <is>
          <t>1030</t>
        </is>
      </c>
      <c r="J1381" s="4"/>
      <c r="K1381" s="2">
        <v>10</v>
      </c>
      <c r="L1381" s="6"/>
      <c r="M1381" s="2" t="str">
        <f>IF(J1381="",ROUND(I1381*(1-IF(ISBLANK(L1381),K1381,L1381)/100),2),ROUND(J1381*(1-IF(ISBLANK(L1381),K1381,L1381)/100),2))</f>
      </c>
      <c r="N1381" s="7" t="str">
        <f>IF(NOT(AND(J1381="",L1381="")),IF(OR(AND(L1381&lt;&gt;"",NOT(ISNUMBER(L1381))),IFERROR(MOD(L1381,1),1)&gt;0,AND(ISNUMBER(L1381),OR(L1381&lt;0,L1381&gt;95))),"Введите целое число от 0 до 95",IF(OR(AND(J1381&lt;&gt;"",NOT(ISNUMBER(J1381))),IFERROR(MOD(J1381,1),1)&gt;0,AND(ISNUMBER(J1381),OR(J1381&lt;50,J1381&gt;20000000))),"Введите целое число от 50 до 20000000",IF(NOT(ABS(IFERROR(VALUE(LEFT(M1381,FIND("-",M1381)-1)),M1381)*100-(5000+2000000000)/2)&lt;=ABS(5000-2000000000)/2),"Цена со скидкой должна быть от 50 до 20000000",IF(IFERROR(VALUE(LEFT(M1381,FIND("-",M1381)-1)),M1381)*229&lt;92700,"Вы уменьшили цену в несколько раз, товар попадет в карантин цен","")))),"")</f>
      </c>
    </row>
    <row r="1382">
      <c r="A1382" s="2" t="inlineStr">
        <is>
          <t>CuteShop</t>
        </is>
      </c>
      <c r="B1382" s="2" t="inlineStr">
        <is>
          <t>Ленты для рукоделия</t>
        </is>
      </c>
      <c r="C1382" s="2">
        <v>229389117</v>
      </c>
      <c r="D1382" s="2" t="inlineStr">
        <is>
          <t>Kruzhevo-Roz-3-5</t>
        </is>
      </c>
      <c r="E1382" s="2" t="inlineStr">
        <is>
          <t>2039935671441</t>
        </is>
      </c>
      <c r="F1382" s="2">
        <v>0</v>
      </c>
      <c r="G1382" s="2">
        <v>0</v>
      </c>
      <c r="H1382" s="2" t="inlineStr">
        <is>
          <t/>
        </is>
      </c>
      <c r="I1382" s="2" t="inlineStr">
        <is>
          <t>200</t>
        </is>
      </c>
      <c r="J1382" s="4"/>
      <c r="K1382" s="2">
        <v>0</v>
      </c>
      <c r="L1382" s="6"/>
      <c r="M1382" s="2" t="str">
        <f>IF(J1382="",ROUND(I1382*(1-IF(ISBLANK(L1382),K1382,L1382)/100),2),ROUND(J1382*(1-IF(ISBLANK(L1382),K1382,L1382)/100),2))</f>
      </c>
      <c r="N1382" s="7" t="str">
        <f>IF(NOT(AND(J1382="",L1382="")),IF(OR(AND(L1382&lt;&gt;"",NOT(ISNUMBER(L1382))),IFERROR(MOD(L1382,1),1)&gt;0,AND(ISNUMBER(L1382),OR(L1382&lt;0,L1382&gt;95))),"Введите целое число от 0 до 95",IF(OR(AND(J1382&lt;&gt;"",NOT(ISNUMBER(J1382))),IFERROR(MOD(J1382,1),1)&gt;0,AND(ISNUMBER(J1382),OR(J1382&lt;50,J1382&gt;20000000))),"Введите целое число от 50 до 20000000",IF(NOT(ABS(IFERROR(VALUE(LEFT(M1382,FIND("-",M1382)-1)),M1382)*100-(5000+2000000000)/2)&lt;=ABS(5000-2000000000)/2),"Цена со скидкой должна быть от 50 до 20000000",IF(IFERROR(VALUE(LEFT(M1382,FIND("-",M1382)-1)),M1382)*190&lt;20000,"Вы уменьшили цену в несколько раз, товар попадет в карантин цен","")))),"")</f>
      </c>
    </row>
    <row r="1383">
      <c r="A1383" s="2" t="inlineStr">
        <is>
          <t>CuteShop</t>
        </is>
      </c>
      <c r="B1383" s="2" t="inlineStr">
        <is>
          <t>Ленты для рукоделия</t>
        </is>
      </c>
      <c r="C1383" s="2">
        <v>229389118</v>
      </c>
      <c r="D1383" s="2" t="inlineStr">
        <is>
          <t>Kruzhevo-Roz-3-10</t>
        </is>
      </c>
      <c r="E1383" s="2" t="inlineStr">
        <is>
          <t>2039935686384</t>
        </is>
      </c>
      <c r="F1383" s="2">
        <v>0</v>
      </c>
      <c r="G1383" s="2">
        <v>0</v>
      </c>
      <c r="H1383" s="2" t="inlineStr">
        <is>
          <t/>
        </is>
      </c>
      <c r="I1383" s="2" t="inlineStr">
        <is>
          <t>250</t>
        </is>
      </c>
      <c r="J1383" s="4"/>
      <c r="K1383" s="2">
        <v>0</v>
      </c>
      <c r="L1383" s="6"/>
      <c r="M1383" s="2" t="str">
        <f>IF(J1383="",ROUND(I1383*(1-IF(ISBLANK(L1383),K1383,L1383)/100),2),ROUND(J1383*(1-IF(ISBLANK(L1383),K1383,L1383)/100),2))</f>
      </c>
      <c r="N1383" s="7" t="str">
        <f>IF(NOT(AND(J1383="",L1383="")),IF(OR(AND(L1383&lt;&gt;"",NOT(ISNUMBER(L1383))),IFERROR(MOD(L1383,1),1)&gt;0,AND(ISNUMBER(L1383),OR(L1383&lt;0,L1383&gt;95))),"Введите целое число от 0 до 95",IF(OR(AND(J1383&lt;&gt;"",NOT(ISNUMBER(J1383))),IFERROR(MOD(J1383,1),1)&gt;0,AND(ISNUMBER(J1383),OR(J1383&lt;50,J1383&gt;20000000))),"Введите целое число от 50 до 20000000",IF(NOT(ABS(IFERROR(VALUE(LEFT(M1383,FIND("-",M1383)-1)),M1383)*100-(5000+2000000000)/2)&lt;=ABS(5000-2000000000)/2),"Цена со скидкой должна быть от 50 до 20000000",IF(IFERROR(VALUE(LEFT(M1383,FIND("-",M1383)-1)),M1383)*190&lt;25000,"Вы уменьшили цену в несколько раз, товар попадет в карантин цен","")))),"")</f>
      </c>
    </row>
    <row r="1384">
      <c r="A1384" s="2" t="inlineStr">
        <is>
          <t>CuteShop</t>
        </is>
      </c>
      <c r="B1384" s="2" t="inlineStr">
        <is>
          <t>Держатели для пустышек</t>
        </is>
      </c>
      <c r="C1384" s="2">
        <v>230345617</v>
      </c>
      <c r="D1384" s="2" t="inlineStr">
        <is>
          <t>MariyaMashenkaZay</t>
        </is>
      </c>
      <c r="E1384" s="2" t="inlineStr">
        <is>
          <t>2039967585068</t>
        </is>
      </c>
      <c r="F1384" s="2">
        <v>0</v>
      </c>
      <c r="G1384" s="2">
        <v>1</v>
      </c>
      <c r="H1384" s="2" t="inlineStr">
        <is>
          <t/>
        </is>
      </c>
      <c r="I1384" s="2" t="inlineStr">
        <is>
          <t>1030</t>
        </is>
      </c>
      <c r="J1384" s="4"/>
      <c r="K1384" s="2">
        <v>10</v>
      </c>
      <c r="L1384" s="6"/>
      <c r="M1384" s="2" t="str">
        <f>IF(J1384="",ROUND(I1384*(1-IF(ISBLANK(L1384),K1384,L1384)/100),2),ROUND(J1384*(1-IF(ISBLANK(L1384),K1384,L1384)/100),2))</f>
      </c>
      <c r="N1384" s="7" t="str">
        <f>IF(NOT(AND(J1384="",L1384="")),IF(OR(AND(L1384&lt;&gt;"",NOT(ISNUMBER(L1384))),IFERROR(MOD(L1384,1),1)&gt;0,AND(ISNUMBER(L1384),OR(L1384&lt;0,L1384&gt;95))),"Введите целое число от 0 до 95",IF(OR(AND(J1384&lt;&gt;"",NOT(ISNUMBER(J1384))),IFERROR(MOD(J1384,1),1)&gt;0,AND(ISNUMBER(J1384),OR(J1384&lt;50,J1384&gt;20000000))),"Введите целое число от 50 до 20000000",IF(NOT(ABS(IFERROR(VALUE(LEFT(M1384,FIND("-",M1384)-1)),M1384)*100-(5000+2000000000)/2)&lt;=ABS(5000-2000000000)/2),"Цена со скидкой должна быть от 50 до 20000000",IF(IFERROR(VALUE(LEFT(M1384,FIND("-",M1384)-1)),M1384)*229&lt;92700,"Вы уменьшили цену в несколько раз, товар попадет в карантин цен","")))),"")</f>
      </c>
    </row>
    <row r="1385">
      <c r="A1385" s="2" t="inlineStr">
        <is>
          <t>CuteShop</t>
        </is>
      </c>
      <c r="B1385" s="2" t="inlineStr">
        <is>
          <t>Ленты для рукоделия</t>
        </is>
      </c>
      <c r="C1385" s="2">
        <v>229393148</v>
      </c>
      <c r="D1385" s="2" t="inlineStr">
        <is>
          <t>Kruzhevo-Sin-3-5</t>
        </is>
      </c>
      <c r="E1385" s="2" t="inlineStr">
        <is>
          <t>2039935716227</t>
        </is>
      </c>
      <c r="F1385" s="2">
        <v>0</v>
      </c>
      <c r="G1385" s="2">
        <v>0</v>
      </c>
      <c r="H1385" s="2" t="inlineStr">
        <is>
          <t/>
        </is>
      </c>
      <c r="I1385" s="2" t="inlineStr">
        <is>
          <t>200</t>
        </is>
      </c>
      <c r="J1385" s="4"/>
      <c r="K1385" s="2">
        <v>0</v>
      </c>
      <c r="L1385" s="6"/>
      <c r="M1385" s="2" t="str">
        <f>IF(J1385="",ROUND(I1385*(1-IF(ISBLANK(L1385),K1385,L1385)/100),2),ROUND(J1385*(1-IF(ISBLANK(L1385),K1385,L1385)/100),2))</f>
      </c>
      <c r="N1385" s="7" t="str">
        <f>IF(NOT(AND(J1385="",L1385="")),IF(OR(AND(L1385&lt;&gt;"",NOT(ISNUMBER(L1385))),IFERROR(MOD(L1385,1),1)&gt;0,AND(ISNUMBER(L1385),OR(L1385&lt;0,L1385&gt;95))),"Введите целое число от 0 до 95",IF(OR(AND(J1385&lt;&gt;"",NOT(ISNUMBER(J1385))),IFERROR(MOD(J1385,1),1)&gt;0,AND(ISNUMBER(J1385),OR(J1385&lt;50,J1385&gt;20000000))),"Введите целое число от 50 до 20000000",IF(NOT(ABS(IFERROR(VALUE(LEFT(M1385,FIND("-",M1385)-1)),M1385)*100-(5000+2000000000)/2)&lt;=ABS(5000-2000000000)/2),"Цена со скидкой должна быть от 50 до 20000000",IF(IFERROR(VALUE(LEFT(M1385,FIND("-",M1385)-1)),M1385)*190&lt;20000,"Вы уменьшили цену в несколько раз, товар попадет в карантин цен","")))),"")</f>
      </c>
    </row>
    <row r="1386">
      <c r="A1386" s="2" t="inlineStr">
        <is>
          <t>CuteShop</t>
        </is>
      </c>
      <c r="B1386" s="2" t="inlineStr">
        <is>
          <t>Держатели для пустышек</t>
        </is>
      </c>
      <c r="C1386" s="2">
        <v>230344210</v>
      </c>
      <c r="D1386" s="2" t="inlineStr">
        <is>
          <t>KamilaBel</t>
        </is>
      </c>
      <c r="E1386" s="2" t="inlineStr">
        <is>
          <t>2039967530204</t>
        </is>
      </c>
      <c r="F1386" s="2">
        <v>0</v>
      </c>
      <c r="G1386" s="2">
        <v>1</v>
      </c>
      <c r="H1386" s="2" t="inlineStr">
        <is>
          <t/>
        </is>
      </c>
      <c r="I1386" s="2" t="inlineStr">
        <is>
          <t>1030</t>
        </is>
      </c>
      <c r="J1386" s="4"/>
      <c r="K1386" s="2">
        <v>10</v>
      </c>
      <c r="L1386" s="6"/>
      <c r="M1386" s="2" t="str">
        <f>IF(J1386="",ROUND(I1386*(1-IF(ISBLANK(L1386),K1386,L1386)/100),2),ROUND(J1386*(1-IF(ISBLANK(L1386),K1386,L1386)/100),2))</f>
      </c>
      <c r="N1386" s="7" t="str">
        <f>IF(NOT(AND(J1386="",L1386="")),IF(OR(AND(L1386&lt;&gt;"",NOT(ISNUMBER(L1386))),IFERROR(MOD(L1386,1),1)&gt;0,AND(ISNUMBER(L1386),OR(L1386&lt;0,L1386&gt;95))),"Введите целое число от 0 до 95",IF(OR(AND(J1386&lt;&gt;"",NOT(ISNUMBER(J1386))),IFERROR(MOD(J1386,1),1)&gt;0,AND(ISNUMBER(J1386),OR(J1386&lt;50,J1386&gt;20000000))),"Введите целое число от 50 до 20000000",IF(NOT(ABS(IFERROR(VALUE(LEFT(M1386,FIND("-",M1386)-1)),M1386)*100-(5000+2000000000)/2)&lt;=ABS(5000-2000000000)/2),"Цена со скидкой должна быть от 50 до 20000000",IF(IFERROR(VALUE(LEFT(M1386,FIND("-",M1386)-1)),M1386)*229&lt;92700,"Вы уменьшили цену в несколько раз, товар попадет в карантин цен","")))),"")</f>
      </c>
    </row>
    <row r="1387">
      <c r="A1387" s="2" t="inlineStr">
        <is>
          <t>CuteShop</t>
        </is>
      </c>
      <c r="B1387" s="2" t="inlineStr">
        <is>
          <t>Ленты для рукоделия</t>
        </is>
      </c>
      <c r="C1387" s="2">
        <v>229393149</v>
      </c>
      <c r="D1387" s="2" t="inlineStr">
        <is>
          <t>Kruzhevo-Sin-3-10</t>
        </is>
      </c>
      <c r="E1387" s="2" t="inlineStr">
        <is>
          <t>2039935720392</t>
        </is>
      </c>
      <c r="F1387" s="2">
        <v>0</v>
      </c>
      <c r="G1387" s="2">
        <v>0</v>
      </c>
      <c r="H1387" s="2" t="inlineStr">
        <is>
          <t/>
        </is>
      </c>
      <c r="I1387" s="2" t="inlineStr">
        <is>
          <t>250</t>
        </is>
      </c>
      <c r="J1387" s="4"/>
      <c r="K1387" s="2">
        <v>0</v>
      </c>
      <c r="L1387" s="6"/>
      <c r="M1387" s="2" t="str">
        <f>IF(J1387="",ROUND(I1387*(1-IF(ISBLANK(L1387),K1387,L1387)/100),2),ROUND(J1387*(1-IF(ISBLANK(L1387),K1387,L1387)/100),2))</f>
      </c>
      <c r="N1387" s="7" t="str">
        <f>IF(NOT(AND(J1387="",L1387="")),IF(OR(AND(L1387&lt;&gt;"",NOT(ISNUMBER(L1387))),IFERROR(MOD(L1387,1),1)&gt;0,AND(ISNUMBER(L1387),OR(L1387&lt;0,L1387&gt;95))),"Введите целое число от 0 до 95",IF(OR(AND(J1387&lt;&gt;"",NOT(ISNUMBER(J1387))),IFERROR(MOD(J1387,1),1)&gt;0,AND(ISNUMBER(J1387),OR(J1387&lt;50,J1387&gt;20000000))),"Введите целое число от 50 до 20000000",IF(NOT(ABS(IFERROR(VALUE(LEFT(M1387,FIND("-",M1387)-1)),M1387)*100-(5000+2000000000)/2)&lt;=ABS(5000-2000000000)/2),"Цена со скидкой должна быть от 50 до 20000000",IF(IFERROR(VALUE(LEFT(M1387,FIND("-",M1387)-1)),M1387)*190&lt;25000,"Вы уменьшили цену в несколько раз, товар попадет в карантин цен","")))),"")</f>
      </c>
    </row>
    <row r="1388">
      <c r="A1388" s="2" t="inlineStr">
        <is>
          <t>CuteShop</t>
        </is>
      </c>
      <c r="B1388" s="2" t="inlineStr">
        <is>
          <t>Держатели для пустышек</t>
        </is>
      </c>
      <c r="C1388" s="2">
        <v>245140631</v>
      </c>
      <c r="D1388" s="2" t="inlineStr">
        <is>
          <t>TimurMishSin2</t>
        </is>
      </c>
      <c r="E1388" s="2" t="inlineStr">
        <is>
          <t>2040698920950</t>
        </is>
      </c>
      <c r="F1388" s="2">
        <v>0</v>
      </c>
      <c r="G1388" s="2">
        <v>1</v>
      </c>
      <c r="H1388" s="2" t="inlineStr">
        <is>
          <t/>
        </is>
      </c>
      <c r="I1388" s="2" t="inlineStr">
        <is>
          <t>1030</t>
        </is>
      </c>
      <c r="J1388" s="4"/>
      <c r="K1388" s="2">
        <v>10</v>
      </c>
      <c r="L1388" s="6"/>
      <c r="M1388" s="2" t="str">
        <f>IF(J1388="",ROUND(I1388*(1-IF(ISBLANK(L1388),K1388,L1388)/100),2),ROUND(J1388*(1-IF(ISBLANK(L1388),K1388,L1388)/100),2))</f>
      </c>
      <c r="N1388" s="7" t="str">
        <f>IF(NOT(AND(J1388="",L1388="")),IF(OR(AND(L1388&lt;&gt;"",NOT(ISNUMBER(L1388))),IFERROR(MOD(L1388,1),1)&gt;0,AND(ISNUMBER(L1388),OR(L1388&lt;0,L1388&gt;95))),"Введите целое число от 0 до 95",IF(OR(AND(J1388&lt;&gt;"",NOT(ISNUMBER(J1388))),IFERROR(MOD(J1388,1),1)&gt;0,AND(ISNUMBER(J1388),OR(J1388&lt;50,J1388&gt;20000000))),"Введите целое число от 50 до 20000000",IF(NOT(ABS(IFERROR(VALUE(LEFT(M1388,FIND("-",M1388)-1)),M1388)*100-(5000+2000000000)/2)&lt;=ABS(5000-2000000000)/2),"Цена со скидкой должна быть от 50 до 20000000",IF(IFERROR(VALUE(LEFT(M1388,FIND("-",M1388)-1)),M1388)*229&lt;92700,"Вы уменьшили цену в несколько раз, товар попадет в карантин цен","")))),"")</f>
      </c>
    </row>
    <row r="1389">
      <c r="A1389" s="2" t="inlineStr">
        <is>
          <t>CuteShop</t>
        </is>
      </c>
      <c r="B1389" s="2" t="inlineStr">
        <is>
          <t>Держатели для пустышек</t>
        </is>
      </c>
      <c r="C1389" s="2">
        <v>245134272</v>
      </c>
      <c r="D1389" s="2" t="inlineStr">
        <is>
          <t>RuslanBG2</t>
        </is>
      </c>
      <c r="E1389" s="2" t="inlineStr">
        <is>
          <t>2040698738036</t>
        </is>
      </c>
      <c r="F1389" s="2">
        <v>0</v>
      </c>
      <c r="G1389" s="2">
        <v>1</v>
      </c>
      <c r="H1389" s="2" t="inlineStr">
        <is>
          <t/>
        </is>
      </c>
      <c r="I1389" s="2" t="inlineStr">
        <is>
          <t>790</t>
        </is>
      </c>
      <c r="J1389" s="4"/>
      <c r="K1389" s="2">
        <v>10</v>
      </c>
      <c r="L1389" s="6"/>
      <c r="M1389" s="2" t="str">
        <f>IF(J1389="",ROUND(I1389*(1-IF(ISBLANK(L1389),K1389,L1389)/100),2),ROUND(J1389*(1-IF(ISBLANK(L1389),K1389,L1389)/100),2))</f>
      </c>
      <c r="N1389" s="7" t="str">
        <f>IF(NOT(AND(J1389="",L1389="")),IF(OR(AND(L1389&lt;&gt;"",NOT(ISNUMBER(L1389))),IFERROR(MOD(L1389,1),1)&gt;0,AND(ISNUMBER(L1389),OR(L1389&lt;0,L1389&gt;95))),"Введите целое число от 0 до 95",IF(OR(AND(J1389&lt;&gt;"",NOT(ISNUMBER(J1389))),IFERROR(MOD(J1389,1),1)&gt;0,AND(ISNUMBER(J1389),OR(J1389&lt;50,J1389&gt;20000000))),"Введите целое число от 50 до 20000000",IF(NOT(ABS(IFERROR(VALUE(LEFT(M1389,FIND("-",M1389)-1)),M1389)*100-(5000+2000000000)/2)&lt;=ABS(5000-2000000000)/2),"Цена со скидкой должна быть от 50 до 20000000",IF(IFERROR(VALUE(LEFT(M1389,FIND("-",M1389)-1)),M1389)*229&lt;71100,"Вы уменьшили цену в несколько раз, товар попадет в карантин цен","")))),"")</f>
      </c>
    </row>
    <row r="1390">
      <c r="A1390" s="2" t="inlineStr">
        <is>
          <t>CuteShop</t>
        </is>
      </c>
      <c r="B1390" s="2" t="inlineStr">
        <is>
          <t>Ленты для рукоделия</t>
        </is>
      </c>
      <c r="C1390" s="2">
        <v>229467360</v>
      </c>
      <c r="D1390" s="2" t="inlineStr">
        <is>
          <t>Kruzhevo-Ser-3-10</t>
        </is>
      </c>
      <c r="E1390" s="2" t="inlineStr">
        <is>
          <t>2039938298973</t>
        </is>
      </c>
      <c r="F1390" s="2">
        <v>0</v>
      </c>
      <c r="G1390" s="2">
        <v>0</v>
      </c>
      <c r="H1390" s="2" t="inlineStr">
        <is>
          <t/>
        </is>
      </c>
      <c r="I1390" s="2" t="inlineStr">
        <is>
          <t>250</t>
        </is>
      </c>
      <c r="J1390" s="4"/>
      <c r="K1390" s="2">
        <v>0</v>
      </c>
      <c r="L1390" s="6"/>
      <c r="M1390" s="2" t="str">
        <f>IF(J1390="",ROUND(I1390*(1-IF(ISBLANK(L1390),K1390,L1390)/100),2),ROUND(J1390*(1-IF(ISBLANK(L1390),K1390,L1390)/100),2))</f>
      </c>
      <c r="N1390" s="7" t="str">
        <f>IF(NOT(AND(J1390="",L1390="")),IF(OR(AND(L1390&lt;&gt;"",NOT(ISNUMBER(L1390))),IFERROR(MOD(L1390,1),1)&gt;0,AND(ISNUMBER(L1390),OR(L1390&lt;0,L1390&gt;95))),"Введите целое число от 0 до 95",IF(OR(AND(J1390&lt;&gt;"",NOT(ISNUMBER(J1390))),IFERROR(MOD(J1390,1),1)&gt;0,AND(ISNUMBER(J1390),OR(J1390&lt;50,J1390&gt;20000000))),"Введите целое число от 50 до 20000000",IF(NOT(ABS(IFERROR(VALUE(LEFT(M1390,FIND("-",M1390)-1)),M1390)*100-(5000+2000000000)/2)&lt;=ABS(5000-2000000000)/2),"Цена со скидкой должна быть от 50 до 20000000",IF(IFERROR(VALUE(LEFT(M1390,FIND("-",M1390)-1)),M1390)*190&lt;25000,"Вы уменьшили цену в несколько раз, товар попадет в карантин цен","")))),"")</f>
      </c>
    </row>
    <row r="1391">
      <c r="A1391" s="2" t="inlineStr">
        <is>
          <t>CuteShop</t>
        </is>
      </c>
      <c r="B1391" s="2" t="inlineStr">
        <is>
          <t>Держатели для пустышек</t>
        </is>
      </c>
      <c r="C1391" s="2">
        <v>245145417</v>
      </c>
      <c r="D1391" s="2" t="inlineStr">
        <is>
          <t>SaveliyOlen</t>
        </is>
      </c>
      <c r="E1391" s="2" t="inlineStr">
        <is>
          <t>2040699059000</t>
        </is>
      </c>
      <c r="F1391" s="2">
        <v>0</v>
      </c>
      <c r="G1391" s="2">
        <v>0</v>
      </c>
      <c r="H1391" s="2" t="inlineStr">
        <is>
          <t/>
        </is>
      </c>
      <c r="I1391" s="2" t="inlineStr">
        <is>
          <t>1030</t>
        </is>
      </c>
      <c r="J1391" s="4"/>
      <c r="K1391" s="2">
        <v>10</v>
      </c>
      <c r="L1391" s="6"/>
      <c r="M1391" s="2" t="str">
        <f>IF(J1391="",ROUND(I1391*(1-IF(ISBLANK(L1391),K1391,L1391)/100),2),ROUND(J1391*(1-IF(ISBLANK(L1391),K1391,L1391)/100),2))</f>
      </c>
      <c r="N1391" s="7" t="str">
        <f>IF(NOT(AND(J1391="",L1391="")),IF(OR(AND(L1391&lt;&gt;"",NOT(ISNUMBER(L1391))),IFERROR(MOD(L1391,1),1)&gt;0,AND(ISNUMBER(L1391),OR(L1391&lt;0,L1391&gt;95))),"Введите целое число от 0 до 95",IF(OR(AND(J1391&lt;&gt;"",NOT(ISNUMBER(J1391))),IFERROR(MOD(J1391,1),1)&gt;0,AND(ISNUMBER(J1391),OR(J1391&lt;50,J1391&gt;20000000))),"Введите целое число от 50 до 20000000",IF(NOT(ABS(IFERROR(VALUE(LEFT(M1391,FIND("-",M1391)-1)),M1391)*100-(5000+2000000000)/2)&lt;=ABS(5000-2000000000)/2),"Цена со скидкой должна быть от 50 до 20000000",IF(IFERROR(VALUE(LEFT(M1391,FIND("-",M1391)-1)),M1391)*229&lt;92700,"Вы уменьшили цену в несколько раз, товар попадет в карантин цен","")))),"")</f>
      </c>
    </row>
    <row r="1392">
      <c r="A1392" s="2" t="inlineStr">
        <is>
          <t>CuteShop</t>
        </is>
      </c>
      <c r="B1392" s="2" t="inlineStr">
        <is>
          <t>Ленты для рукоделия</t>
        </is>
      </c>
      <c r="C1392" s="2">
        <v>229469766</v>
      </c>
      <c r="D1392" s="2" t="inlineStr">
        <is>
          <t>Kruzhevo-Temno-Sin-3-10</t>
        </is>
      </c>
      <c r="E1392" s="2" t="inlineStr">
        <is>
          <t>2039938325273</t>
        </is>
      </c>
      <c r="F1392" s="2">
        <v>0</v>
      </c>
      <c r="G1392" s="2">
        <v>0</v>
      </c>
      <c r="H1392" s="2" t="inlineStr">
        <is>
          <t/>
        </is>
      </c>
      <c r="I1392" s="2" t="inlineStr">
        <is>
          <t>250</t>
        </is>
      </c>
      <c r="J1392" s="4"/>
      <c r="K1392" s="2">
        <v>0</v>
      </c>
      <c r="L1392" s="6"/>
      <c r="M1392" s="2" t="str">
        <f>IF(J1392="",ROUND(I1392*(1-IF(ISBLANK(L1392),K1392,L1392)/100),2),ROUND(J1392*(1-IF(ISBLANK(L1392),K1392,L1392)/100),2))</f>
      </c>
      <c r="N1392" s="7" t="str">
        <f>IF(NOT(AND(J1392="",L1392="")),IF(OR(AND(L1392&lt;&gt;"",NOT(ISNUMBER(L1392))),IFERROR(MOD(L1392,1),1)&gt;0,AND(ISNUMBER(L1392),OR(L1392&lt;0,L1392&gt;95))),"Введите целое число от 0 до 95",IF(OR(AND(J1392&lt;&gt;"",NOT(ISNUMBER(J1392))),IFERROR(MOD(J1392,1),1)&gt;0,AND(ISNUMBER(J1392),OR(J1392&lt;50,J1392&gt;20000000))),"Введите целое число от 50 до 20000000",IF(NOT(ABS(IFERROR(VALUE(LEFT(M1392,FIND("-",M1392)-1)),M1392)*100-(5000+2000000000)/2)&lt;=ABS(5000-2000000000)/2),"Цена со скидкой должна быть от 50 до 20000000",IF(IFERROR(VALUE(LEFT(M1392,FIND("-",M1392)-1)),M1392)*190&lt;25000,"Вы уменьшили цену в несколько раз, товар попадет в карантин цен","")))),"")</f>
      </c>
    </row>
    <row r="1393">
      <c r="A1393" s="2" t="inlineStr">
        <is>
          <t>CuteShop</t>
        </is>
      </c>
      <c r="B1393" s="2" t="inlineStr">
        <is>
          <t>Держатели для пустышек</t>
        </is>
      </c>
      <c r="C1393" s="2">
        <v>272963913</v>
      </c>
      <c r="D1393" s="2" t="inlineStr">
        <is>
          <t>PolyaSlon</t>
        </is>
      </c>
      <c r="E1393" s="2" t="inlineStr">
        <is>
          <t>2041518914272</t>
        </is>
      </c>
      <c r="F1393" s="2">
        <v>0</v>
      </c>
      <c r="G1393" s="2">
        <v>1</v>
      </c>
      <c r="H1393" s="2" t="inlineStr">
        <is>
          <t/>
        </is>
      </c>
      <c r="I1393" s="2" t="inlineStr">
        <is>
          <t>1030</t>
        </is>
      </c>
      <c r="J1393" s="4"/>
      <c r="K1393" s="2">
        <v>10</v>
      </c>
      <c r="L1393" s="6"/>
      <c r="M1393" s="2" t="str">
        <f>IF(J1393="",ROUND(I1393*(1-IF(ISBLANK(L1393),K1393,L1393)/100),2),ROUND(J1393*(1-IF(ISBLANK(L1393),K1393,L1393)/100),2))</f>
      </c>
      <c r="N1393" s="7" t="str">
        <f>IF(NOT(AND(J1393="",L1393="")),IF(OR(AND(L1393&lt;&gt;"",NOT(ISNUMBER(L1393))),IFERROR(MOD(L1393,1),1)&gt;0,AND(ISNUMBER(L1393),OR(L1393&lt;0,L1393&gt;95))),"Введите целое число от 0 до 95",IF(OR(AND(J1393&lt;&gt;"",NOT(ISNUMBER(J1393))),IFERROR(MOD(J1393,1),1)&gt;0,AND(ISNUMBER(J1393),OR(J1393&lt;50,J1393&gt;20000000))),"Введите целое число от 50 до 20000000",IF(NOT(ABS(IFERROR(VALUE(LEFT(M1393,FIND("-",M1393)-1)),M1393)*100-(5000+2000000000)/2)&lt;=ABS(5000-2000000000)/2),"Цена со скидкой должна быть от 50 до 20000000",IF(IFERROR(VALUE(LEFT(M1393,FIND("-",M1393)-1)),M1393)*229&lt;92700,"Вы уменьшили цену в несколько раз, товар попадет в карантин цен","")))),"")</f>
      </c>
    </row>
    <row r="1394">
      <c r="A1394" s="2" t="inlineStr">
        <is>
          <t>CuteShop</t>
        </is>
      </c>
      <c r="B1394" s="2" t="inlineStr">
        <is>
          <t>Держатели для пустышек</t>
        </is>
      </c>
      <c r="C1394" s="2">
        <v>287888794</v>
      </c>
      <c r="D1394" s="2" t="inlineStr">
        <is>
          <t>MatveyMishBir</t>
        </is>
      </c>
      <c r="E1394" s="2" t="inlineStr">
        <is>
          <t>2041939870546</t>
        </is>
      </c>
      <c r="F1394" s="2">
        <v>0</v>
      </c>
      <c r="G1394" s="2">
        <v>1</v>
      </c>
      <c r="H1394" s="2" t="inlineStr">
        <is>
          <t/>
        </is>
      </c>
      <c r="I1394" s="2" t="inlineStr">
        <is>
          <t>1030</t>
        </is>
      </c>
      <c r="J1394" s="4"/>
      <c r="K1394" s="2">
        <v>10</v>
      </c>
      <c r="L1394" s="6"/>
      <c r="M1394" s="2" t="str">
        <f>IF(J1394="",ROUND(I1394*(1-IF(ISBLANK(L1394),K1394,L1394)/100),2),ROUND(J1394*(1-IF(ISBLANK(L1394),K1394,L1394)/100),2))</f>
      </c>
      <c r="N1394" s="7" t="str">
        <f>IF(NOT(AND(J1394="",L1394="")),IF(OR(AND(L1394&lt;&gt;"",NOT(ISNUMBER(L1394))),IFERROR(MOD(L1394,1),1)&gt;0,AND(ISNUMBER(L1394),OR(L1394&lt;0,L1394&gt;95))),"Введите целое число от 0 до 95",IF(OR(AND(J1394&lt;&gt;"",NOT(ISNUMBER(J1394))),IFERROR(MOD(J1394,1),1)&gt;0,AND(ISNUMBER(J1394),OR(J1394&lt;50,J1394&gt;20000000))),"Введите целое число от 50 до 20000000",IF(NOT(ABS(IFERROR(VALUE(LEFT(M1394,FIND("-",M1394)-1)),M1394)*100-(5000+2000000000)/2)&lt;=ABS(5000-2000000000)/2),"Цена со скидкой должна быть от 50 до 20000000",IF(IFERROR(VALUE(LEFT(M1394,FIND("-",M1394)-1)),M1394)*229&lt;92700,"Вы уменьшили цену в несколько раз, товар попадет в карантин цен","")))),"")</f>
      </c>
    </row>
    <row r="1395">
      <c r="A1395" s="2" t="inlineStr">
        <is>
          <t>CuteShop</t>
        </is>
      </c>
      <c r="B1395" s="2" t="inlineStr">
        <is>
          <t>Держатели для пустышек</t>
        </is>
      </c>
      <c r="C1395" s="2">
        <v>287891963</v>
      </c>
      <c r="D1395" s="2" t="inlineStr">
        <is>
          <t>MatveyKoala</t>
        </is>
      </c>
      <c r="E1395" s="2" t="inlineStr">
        <is>
          <t>2041939904715</t>
        </is>
      </c>
      <c r="F1395" s="2">
        <v>0</v>
      </c>
      <c r="G1395" s="2">
        <v>1</v>
      </c>
      <c r="H1395" s="2" t="inlineStr">
        <is>
          <t/>
        </is>
      </c>
      <c r="I1395" s="2" t="inlineStr">
        <is>
          <t>1030</t>
        </is>
      </c>
      <c r="J1395" s="4"/>
      <c r="K1395" s="2">
        <v>10</v>
      </c>
      <c r="L1395" s="6"/>
      <c r="M1395" s="2" t="str">
        <f>IF(J1395="",ROUND(I1395*(1-IF(ISBLANK(L1395),K1395,L1395)/100),2),ROUND(J1395*(1-IF(ISBLANK(L1395),K1395,L1395)/100),2))</f>
      </c>
      <c r="N1395" s="7" t="str">
        <f>IF(NOT(AND(J1395="",L1395="")),IF(OR(AND(L1395&lt;&gt;"",NOT(ISNUMBER(L1395))),IFERROR(MOD(L1395,1),1)&gt;0,AND(ISNUMBER(L1395),OR(L1395&lt;0,L1395&gt;95))),"Введите целое число от 0 до 95",IF(OR(AND(J1395&lt;&gt;"",NOT(ISNUMBER(J1395))),IFERROR(MOD(J1395,1),1)&gt;0,AND(ISNUMBER(J1395),OR(J1395&lt;50,J1395&gt;20000000))),"Введите целое число от 50 до 20000000",IF(NOT(ABS(IFERROR(VALUE(LEFT(M1395,FIND("-",M1395)-1)),M1395)*100-(5000+2000000000)/2)&lt;=ABS(5000-2000000000)/2),"Цена со скидкой должна быть от 50 до 20000000",IF(IFERROR(VALUE(LEFT(M1395,FIND("-",M1395)-1)),M1395)*229&lt;92700,"Вы уменьшили цену в несколько раз, товар попадет в карантин цен","")))),"")</f>
      </c>
    </row>
    <row r="1396">
      <c r="A1396" s="2" t="inlineStr">
        <is>
          <t>CuteShop</t>
        </is>
      </c>
      <c r="B1396" s="2" t="inlineStr">
        <is>
          <t>Держатели для пустышек</t>
        </is>
      </c>
      <c r="C1396" s="2">
        <v>111034715</v>
      </c>
      <c r="D1396" s="2" t="inlineStr">
        <is>
          <t>NikitaMishSin</t>
        </is>
      </c>
      <c r="E1396" s="2" t="inlineStr">
        <is>
          <t>2037470490626</t>
        </is>
      </c>
      <c r="F1396" s="2">
        <v>0</v>
      </c>
      <c r="G1396" s="2">
        <v>1</v>
      </c>
      <c r="H1396" s="2">
        <v>0</v>
      </c>
      <c r="I1396" s="2" t="inlineStr">
        <is>
          <t>1030</t>
        </is>
      </c>
      <c r="J1396" s="4"/>
      <c r="K1396" s="2">
        <v>10</v>
      </c>
      <c r="L1396" s="6"/>
      <c r="M1396" s="2" t="str">
        <f>IF(J1396="",ROUND(I1396*(1-IF(ISBLANK(L1396),K1396,L1396)/100),2),ROUND(J1396*(1-IF(ISBLANK(L1396),K1396,L1396)/100),2))</f>
      </c>
      <c r="N1396" s="7" t="str">
        <f>IF(NOT(AND(J1396="",L1396="")),IF(OR(AND(L1396&lt;&gt;"",NOT(ISNUMBER(L1396))),IFERROR(MOD(L1396,1),1)&gt;0,AND(ISNUMBER(L1396),OR(L1396&lt;0,L1396&gt;95))),"Введите целое число от 0 до 95",IF(OR(AND(J1396&lt;&gt;"",NOT(ISNUMBER(J1396))),IFERROR(MOD(J1396,1),1)&gt;0,AND(ISNUMBER(J1396),OR(J1396&lt;50,J1396&gt;20000000))),"Введите целое число от 50 до 20000000",IF(NOT(ABS(IFERROR(VALUE(LEFT(M1396,FIND("-",M1396)-1)),M1396)*100-(5000+2000000000)/2)&lt;=ABS(5000-2000000000)/2),"Цена со скидкой должна быть от 50 до 20000000",IF(IFERROR(VALUE(LEFT(M1396,FIND("-",M1396)-1)),M1396)*229&lt;92700,"Вы уменьшили цену в несколько раз, товар попадет в карантин цен","")))),"")</f>
      </c>
    </row>
    <row r="1397">
      <c r="A1397" s="2" t="inlineStr">
        <is>
          <t>CuteShop</t>
        </is>
      </c>
      <c r="B1397" s="2" t="inlineStr">
        <is>
          <t>Ленты для рукоделия</t>
        </is>
      </c>
      <c r="C1397" s="2">
        <v>229484545</v>
      </c>
      <c r="D1397" s="2" t="inlineStr">
        <is>
          <t>Kruzhevo-Temno-Ser-3-10</t>
        </is>
      </c>
      <c r="E1397" s="2" t="inlineStr">
        <is>
          <t>2039938564542</t>
        </is>
      </c>
      <c r="F1397" s="2">
        <v>0</v>
      </c>
      <c r="G1397" s="2">
        <v>0</v>
      </c>
      <c r="H1397" s="2" t="inlineStr">
        <is>
          <t/>
        </is>
      </c>
      <c r="I1397" s="2" t="inlineStr">
        <is>
          <t>250</t>
        </is>
      </c>
      <c r="J1397" s="4"/>
      <c r="K1397" s="2">
        <v>0</v>
      </c>
      <c r="L1397" s="6"/>
      <c r="M1397" s="2" t="str">
        <f>IF(J1397="",ROUND(I1397*(1-IF(ISBLANK(L1397),K1397,L1397)/100),2),ROUND(J1397*(1-IF(ISBLANK(L1397),K1397,L1397)/100),2))</f>
      </c>
      <c r="N1397" s="7" t="str">
        <f>IF(NOT(AND(J1397="",L1397="")),IF(OR(AND(L1397&lt;&gt;"",NOT(ISNUMBER(L1397))),IFERROR(MOD(L1397,1),1)&gt;0,AND(ISNUMBER(L1397),OR(L1397&lt;0,L1397&gt;95))),"Введите целое число от 0 до 95",IF(OR(AND(J1397&lt;&gt;"",NOT(ISNUMBER(J1397))),IFERROR(MOD(J1397,1),1)&gt;0,AND(ISNUMBER(J1397),OR(J1397&lt;50,J1397&gt;20000000))),"Введите целое число от 50 до 20000000",IF(NOT(ABS(IFERROR(VALUE(LEFT(M1397,FIND("-",M1397)-1)),M1397)*100-(5000+2000000000)/2)&lt;=ABS(5000-2000000000)/2),"Цена со скидкой должна быть от 50 до 20000000",IF(IFERROR(VALUE(LEFT(M1397,FIND("-",M1397)-1)),M1397)*190&lt;25000,"Вы уменьшили цену в несколько раз, товар попадет в карантин цен","")))),"")</f>
      </c>
    </row>
    <row r="1398">
      <c r="A1398" s="2" t="inlineStr">
        <is>
          <t>CuteShop</t>
        </is>
      </c>
      <c r="B1398" s="2" t="inlineStr">
        <is>
          <t>Держатели для пустышек</t>
        </is>
      </c>
      <c r="C1398" s="2">
        <v>253498783</v>
      </c>
      <c r="D1398" s="2" t="inlineStr">
        <is>
          <t>NikitaBG2</t>
        </is>
      </c>
      <c r="E1398" s="2" t="inlineStr">
        <is>
          <t>2040954474791</t>
        </is>
      </c>
      <c r="F1398" s="2">
        <v>0</v>
      </c>
      <c r="G1398" s="2">
        <v>1</v>
      </c>
      <c r="H1398" s="2" t="inlineStr">
        <is>
          <t/>
        </is>
      </c>
      <c r="I1398" s="2" t="inlineStr">
        <is>
          <t>790</t>
        </is>
      </c>
      <c r="J1398" s="4"/>
      <c r="K1398" s="2">
        <v>10</v>
      </c>
      <c r="L1398" s="6"/>
      <c r="M1398" s="2" t="str">
        <f>IF(J1398="",ROUND(I1398*(1-IF(ISBLANK(L1398),K1398,L1398)/100),2),ROUND(J1398*(1-IF(ISBLANK(L1398),K1398,L1398)/100),2))</f>
      </c>
      <c r="N1398" s="7" t="str">
        <f>IF(NOT(AND(J1398="",L1398="")),IF(OR(AND(L1398&lt;&gt;"",NOT(ISNUMBER(L1398))),IFERROR(MOD(L1398,1),1)&gt;0,AND(ISNUMBER(L1398),OR(L1398&lt;0,L1398&gt;95))),"Введите целое число от 0 до 95",IF(OR(AND(J1398&lt;&gt;"",NOT(ISNUMBER(J1398))),IFERROR(MOD(J1398,1),1)&gt;0,AND(ISNUMBER(J1398),OR(J1398&lt;50,J1398&gt;20000000))),"Введите целое число от 50 до 20000000",IF(NOT(ABS(IFERROR(VALUE(LEFT(M1398,FIND("-",M1398)-1)),M1398)*100-(5000+2000000000)/2)&lt;=ABS(5000-2000000000)/2),"Цена со скидкой должна быть от 50 до 20000000",IF(IFERROR(VALUE(LEFT(M1398,FIND("-",M1398)-1)),M1398)*229&lt;71100,"Вы уменьшили цену в несколько раз, товар попадет в карантин цен","")))),"")</f>
      </c>
    </row>
    <row r="1399">
      <c r="A1399" s="2" t="inlineStr">
        <is>
          <t>CuteShop</t>
        </is>
      </c>
      <c r="B1399" s="2" t="inlineStr">
        <is>
          <t>Держатели для пустышек</t>
        </is>
      </c>
      <c r="C1399" s="2">
        <v>253498785</v>
      </c>
      <c r="D1399" s="2" t="inlineStr">
        <is>
          <t>NikitaOlen</t>
        </is>
      </c>
      <c r="E1399" s="2" t="inlineStr">
        <is>
          <t>2040954476849</t>
        </is>
      </c>
      <c r="F1399" s="2">
        <v>0</v>
      </c>
      <c r="G1399" s="2">
        <v>0</v>
      </c>
      <c r="H1399" s="2" t="inlineStr">
        <is>
          <t/>
        </is>
      </c>
      <c r="I1399" s="2" t="inlineStr">
        <is>
          <t>1030</t>
        </is>
      </c>
      <c r="J1399" s="4"/>
      <c r="K1399" s="2">
        <v>10</v>
      </c>
      <c r="L1399" s="6"/>
      <c r="M1399" s="2" t="str">
        <f>IF(J1399="",ROUND(I1399*(1-IF(ISBLANK(L1399),K1399,L1399)/100),2),ROUND(J1399*(1-IF(ISBLANK(L1399),K1399,L1399)/100),2))</f>
      </c>
      <c r="N1399" s="7" t="str">
        <f>IF(NOT(AND(J1399="",L1399="")),IF(OR(AND(L1399&lt;&gt;"",NOT(ISNUMBER(L1399))),IFERROR(MOD(L1399,1),1)&gt;0,AND(ISNUMBER(L1399),OR(L1399&lt;0,L1399&gt;95))),"Введите целое число от 0 до 95",IF(OR(AND(J1399&lt;&gt;"",NOT(ISNUMBER(J1399))),IFERROR(MOD(J1399,1),1)&gt;0,AND(ISNUMBER(J1399),OR(J1399&lt;50,J1399&gt;20000000))),"Введите целое число от 50 до 20000000",IF(NOT(ABS(IFERROR(VALUE(LEFT(M1399,FIND("-",M1399)-1)),M1399)*100-(5000+2000000000)/2)&lt;=ABS(5000-2000000000)/2),"Цена со скидкой должна быть от 50 до 20000000",IF(IFERROR(VALUE(LEFT(M1399,FIND("-",M1399)-1)),M1399)*229&lt;92700,"Вы уменьшили цену в несколько раз, товар попадет в карантин цен","")))),"")</f>
      </c>
    </row>
    <row r="1400">
      <c r="A1400" s="2" t="inlineStr">
        <is>
          <t>CuteShop</t>
        </is>
      </c>
      <c r="B1400" s="2" t="inlineStr">
        <is>
          <t>Держатели для пустышек</t>
        </is>
      </c>
      <c r="C1400" s="2">
        <v>253498786</v>
      </c>
      <c r="D1400" s="2" t="inlineStr">
        <is>
          <t>NikitaKit</t>
        </is>
      </c>
      <c r="E1400" s="2" t="inlineStr">
        <is>
          <t>2040954477594</t>
        </is>
      </c>
      <c r="F1400" s="2">
        <v>0</v>
      </c>
      <c r="G1400" s="2">
        <v>0</v>
      </c>
      <c r="H1400" s="2" t="inlineStr">
        <is>
          <t/>
        </is>
      </c>
      <c r="I1400" s="2" t="inlineStr">
        <is>
          <t>1030</t>
        </is>
      </c>
      <c r="J1400" s="4"/>
      <c r="K1400" s="2">
        <v>10</v>
      </c>
      <c r="L1400" s="6"/>
      <c r="M1400" s="2" t="str">
        <f>IF(J1400="",ROUND(I1400*(1-IF(ISBLANK(L1400),K1400,L1400)/100),2),ROUND(J1400*(1-IF(ISBLANK(L1400),K1400,L1400)/100),2))</f>
      </c>
      <c r="N1400" s="7" t="str">
        <f>IF(NOT(AND(J1400="",L1400="")),IF(OR(AND(L1400&lt;&gt;"",NOT(ISNUMBER(L1400))),IFERROR(MOD(L1400,1),1)&gt;0,AND(ISNUMBER(L1400),OR(L1400&lt;0,L1400&gt;95))),"Введите целое число от 0 до 95",IF(OR(AND(J1400&lt;&gt;"",NOT(ISNUMBER(J1400))),IFERROR(MOD(J1400,1),1)&gt;0,AND(ISNUMBER(J1400),OR(J1400&lt;50,J1400&gt;20000000))),"Введите целое число от 50 до 20000000",IF(NOT(ABS(IFERROR(VALUE(LEFT(M1400,FIND("-",M1400)-1)),M1400)*100-(5000+2000000000)/2)&lt;=ABS(5000-2000000000)/2),"Цена со скидкой должна быть от 50 до 20000000",IF(IFERROR(VALUE(LEFT(M1400,FIND("-",M1400)-1)),M1400)*229&lt;92700,"Вы уменьшили цену в несколько раз, товар попадет в карантин цен","")))),"")</f>
      </c>
    </row>
    <row r="1401">
      <c r="A1401" s="2" t="inlineStr">
        <is>
          <t>CuteShop</t>
        </is>
      </c>
      <c r="B1401" s="2" t="inlineStr">
        <is>
          <t>Держатели для пустышек</t>
        </is>
      </c>
      <c r="C1401" s="2">
        <v>439659306</v>
      </c>
      <c r="D1401" s="2" t="inlineStr">
        <is>
          <t>AnaraBG</t>
        </is>
      </c>
      <c r="E1401" s="2" t="inlineStr">
        <is>
          <t>2044388732137</t>
        </is>
      </c>
      <c r="F1401" s="2">
        <v>0</v>
      </c>
      <c r="G1401" s="2">
        <v>1</v>
      </c>
      <c r="H1401" s="2" t="inlineStr">
        <is>
          <t/>
        </is>
      </c>
      <c r="I1401" s="2" t="inlineStr">
        <is>
          <t>790</t>
        </is>
      </c>
      <c r="J1401" s="4"/>
      <c r="K1401" s="2">
        <v>10</v>
      </c>
      <c r="L1401" s="6"/>
      <c r="M1401" s="2" t="str">
        <f>IF(J1401="",ROUND(I1401*(1-IF(ISBLANK(L1401),K1401,L1401)/100),2),ROUND(J1401*(1-IF(ISBLANK(L1401),K1401,L1401)/100),2))</f>
      </c>
      <c r="N1401" s="7" t="str">
        <f>IF(NOT(AND(J1401="",L1401="")),IF(OR(AND(L1401&lt;&gt;"",NOT(ISNUMBER(L1401))),IFERROR(MOD(L1401,1),1)&gt;0,AND(ISNUMBER(L1401),OR(L1401&lt;0,L1401&gt;95))),"Введите целое число от 0 до 95",IF(OR(AND(J1401&lt;&gt;"",NOT(ISNUMBER(J1401))),IFERROR(MOD(J1401,1),1)&gt;0,AND(ISNUMBER(J1401),OR(J1401&lt;50,J1401&gt;20000000))),"Введите целое число от 50 до 20000000",IF(NOT(ABS(IFERROR(VALUE(LEFT(M1401,FIND("-",M1401)-1)),M1401)*100-(5000+2000000000)/2)&lt;=ABS(5000-2000000000)/2),"Цена со скидкой должна быть от 50 до 20000000",IF(IFERROR(VALUE(LEFT(M1401,FIND("-",M1401)-1)),M1401)*229&lt;71100,"Вы уменьшили цену в несколько раз, товар попадет в карантин цен","")))),"")</f>
      </c>
    </row>
    <row r="1402">
      <c r="A1402" s="2" t="inlineStr">
        <is>
          <t>CuteShop</t>
        </is>
      </c>
      <c r="B1402" s="2" t="inlineStr">
        <is>
          <t>Держатели для пустышек</t>
        </is>
      </c>
      <c r="C1402" s="2">
        <v>439702110</v>
      </c>
      <c r="D1402" s="2" t="inlineStr">
        <is>
          <t>AnaraBel2</t>
        </is>
      </c>
      <c r="E1402" s="2" t="inlineStr">
        <is>
          <t>2044390260536</t>
        </is>
      </c>
      <c r="F1402" s="2">
        <v>0</v>
      </c>
      <c r="G1402" s="2">
        <v>1</v>
      </c>
      <c r="H1402" s="2" t="inlineStr">
        <is>
          <t/>
        </is>
      </c>
      <c r="I1402" s="2" t="inlineStr">
        <is>
          <t>1029</t>
        </is>
      </c>
      <c r="J1402" s="4"/>
      <c r="K1402" s="2">
        <v>0</v>
      </c>
      <c r="L1402" s="6"/>
      <c r="M1402" s="2" t="str">
        <f>IF(J1402="",ROUND(I1402*(1-IF(ISBLANK(L1402),K1402,L1402)/100),2),ROUND(J1402*(1-IF(ISBLANK(L1402),K1402,L1402)/100),2))</f>
      </c>
      <c r="N1402" s="7" t="str">
        <f>IF(NOT(AND(J1402="",L1402="")),IF(OR(AND(L1402&lt;&gt;"",NOT(ISNUMBER(L1402))),IFERROR(MOD(L1402,1),1)&gt;0,AND(ISNUMBER(L1402),OR(L1402&lt;0,L1402&gt;95))),"Введите целое число от 0 до 95",IF(OR(AND(J1402&lt;&gt;"",NOT(ISNUMBER(J1402))),IFERROR(MOD(J1402,1),1)&gt;0,AND(ISNUMBER(J1402),OR(J1402&lt;50,J1402&gt;20000000))),"Введите целое число от 50 до 20000000",IF(NOT(ABS(IFERROR(VALUE(LEFT(M1402,FIND("-",M1402)-1)),M1402)*100-(5000+2000000000)/2)&lt;=ABS(5000-2000000000)/2),"Цена со скидкой должна быть от 50 до 20000000",IF(IFERROR(VALUE(LEFT(M1402,FIND("-",M1402)-1)),M1402)*229&lt;102900,"Вы уменьшили цену в несколько раз, товар попадет в карантин цен","")))),"")</f>
      </c>
    </row>
    <row r="1403">
      <c r="A1403" s="2" t="inlineStr">
        <is>
          <t>CuteShop</t>
        </is>
      </c>
      <c r="B1403" s="2" t="inlineStr">
        <is>
          <t>Ленты для рукоделия</t>
        </is>
      </c>
      <c r="C1403" s="2">
        <v>229499855</v>
      </c>
      <c r="D1403" s="2" t="inlineStr">
        <is>
          <t>Kruzhevo-Bel-3,7-8</t>
        </is>
      </c>
      <c r="E1403" s="2" t="inlineStr">
        <is>
          <t>2039938812599</t>
        </is>
      </c>
      <c r="F1403" s="2">
        <v>0</v>
      </c>
      <c r="G1403" s="2">
        <v>0</v>
      </c>
      <c r="H1403" s="2" t="inlineStr">
        <is>
          <t/>
        </is>
      </c>
      <c r="I1403" s="2" t="inlineStr">
        <is>
          <t>330</t>
        </is>
      </c>
      <c r="J1403" s="4"/>
      <c r="K1403" s="2">
        <v>10</v>
      </c>
      <c r="L1403" s="6"/>
      <c r="M1403" s="2" t="str">
        <f>IF(J1403="",ROUND(I1403*(1-IF(ISBLANK(L1403),K1403,L1403)/100),2),ROUND(J1403*(1-IF(ISBLANK(L1403),K1403,L1403)/100),2))</f>
      </c>
      <c r="N1403" s="7" t="str">
        <f>IF(NOT(AND(J1403="",L1403="")),IF(OR(AND(L1403&lt;&gt;"",NOT(ISNUMBER(L1403))),IFERROR(MOD(L1403,1),1)&gt;0,AND(ISNUMBER(L1403),OR(L1403&lt;0,L1403&gt;95))),"Введите целое число от 0 до 95",IF(OR(AND(J1403&lt;&gt;"",NOT(ISNUMBER(J1403))),IFERROR(MOD(J1403,1),1)&gt;0,AND(ISNUMBER(J1403),OR(J1403&lt;50,J1403&gt;20000000))),"Введите целое число от 50 до 20000000",IF(NOT(ABS(IFERROR(VALUE(LEFT(M1403,FIND("-",M1403)-1)),M1403)*100-(5000+2000000000)/2)&lt;=ABS(5000-2000000000)/2),"Цена со скидкой должна быть от 50 до 20000000",IF(IFERROR(VALUE(LEFT(M1403,FIND("-",M1403)-1)),M1403)*190&lt;29700,"Вы уменьшили цену в несколько раз, товар попадет в карантин цен","")))),"")</f>
      </c>
    </row>
    <row r="1404">
      <c r="A1404" s="2" t="inlineStr">
        <is>
          <t>CuteShop</t>
        </is>
      </c>
      <c r="B1404" s="2" t="inlineStr">
        <is>
          <t>Ленты для рукоделия</t>
        </is>
      </c>
      <c r="C1404" s="2">
        <v>229500442</v>
      </c>
      <c r="D1404" s="2" t="inlineStr">
        <is>
          <t>Kruzhevo-Bel-3-4</t>
        </is>
      </c>
      <c r="E1404" s="2" t="inlineStr">
        <is>
          <t>2039938823618</t>
        </is>
      </c>
      <c r="F1404" s="2">
        <v>0</v>
      </c>
      <c r="G1404" s="2">
        <v>0</v>
      </c>
      <c r="H1404" s="2" t="inlineStr">
        <is>
          <t/>
        </is>
      </c>
      <c r="I1404" s="2" t="inlineStr">
        <is>
          <t>200</t>
        </is>
      </c>
      <c r="J1404" s="4"/>
      <c r="K1404" s="2">
        <v>0</v>
      </c>
      <c r="L1404" s="6"/>
      <c r="M1404" s="2" t="str">
        <f>IF(J1404="",ROUND(I1404*(1-IF(ISBLANK(L1404),K1404,L1404)/100),2),ROUND(J1404*(1-IF(ISBLANK(L1404),K1404,L1404)/100),2))</f>
      </c>
      <c r="N1404" s="7" t="str">
        <f>IF(NOT(AND(J1404="",L1404="")),IF(OR(AND(L1404&lt;&gt;"",NOT(ISNUMBER(L1404))),IFERROR(MOD(L1404,1),1)&gt;0,AND(ISNUMBER(L1404),OR(L1404&lt;0,L1404&gt;95))),"Введите целое число от 0 до 95",IF(OR(AND(J1404&lt;&gt;"",NOT(ISNUMBER(J1404))),IFERROR(MOD(J1404,1),1)&gt;0,AND(ISNUMBER(J1404),OR(J1404&lt;50,J1404&gt;20000000))),"Введите целое число от 50 до 20000000",IF(NOT(ABS(IFERROR(VALUE(LEFT(M1404,FIND("-",M1404)-1)),M1404)*100-(5000+2000000000)/2)&lt;=ABS(5000-2000000000)/2),"Цена со скидкой должна быть от 50 до 20000000",IF(IFERROR(VALUE(LEFT(M1404,FIND("-",M1404)-1)),M1404)*190&lt;20000,"Вы уменьшили цену в несколько раз, товар попадет в карантин цен","")))),"")</f>
      </c>
    </row>
    <row r="1405">
      <c r="A1405" s="2" t="inlineStr">
        <is>
          <t>CuteShop</t>
        </is>
      </c>
      <c r="B1405" s="2" t="inlineStr">
        <is>
          <t>Ленты для рукоделия</t>
        </is>
      </c>
      <c r="C1405" s="2">
        <v>229501787</v>
      </c>
      <c r="D1405" s="2" t="inlineStr">
        <is>
          <t>Kruzhevo-Mix-4-10,7</t>
        </is>
      </c>
      <c r="E1405" s="2" t="inlineStr">
        <is>
          <t>2039938843074</t>
        </is>
      </c>
      <c r="F1405" s="2">
        <v>0</v>
      </c>
      <c r="G1405" s="2">
        <v>0</v>
      </c>
      <c r="H1405" s="2" t="inlineStr">
        <is>
          <t/>
        </is>
      </c>
      <c r="I1405" s="2" t="inlineStr">
        <is>
          <t>300</t>
        </is>
      </c>
      <c r="J1405" s="4"/>
      <c r="K1405" s="2">
        <v>0</v>
      </c>
      <c r="L1405" s="6"/>
      <c r="M1405" s="2" t="str">
        <f>IF(J1405="",ROUND(I1405*(1-IF(ISBLANK(L1405),K1405,L1405)/100),2),ROUND(J1405*(1-IF(ISBLANK(L1405),K1405,L1405)/100),2))</f>
      </c>
      <c r="N1405" s="7" t="str">
        <f>IF(NOT(AND(J1405="",L1405="")),IF(OR(AND(L1405&lt;&gt;"",NOT(ISNUMBER(L1405))),IFERROR(MOD(L1405,1),1)&gt;0,AND(ISNUMBER(L1405),OR(L1405&lt;0,L1405&gt;95))),"Введите целое число от 0 до 95",IF(OR(AND(J1405&lt;&gt;"",NOT(ISNUMBER(J1405))),IFERROR(MOD(J1405,1),1)&gt;0,AND(ISNUMBER(J1405),OR(J1405&lt;50,J1405&gt;20000000))),"Введите целое число от 50 до 20000000",IF(NOT(ABS(IFERROR(VALUE(LEFT(M1405,FIND("-",M1405)-1)),M1405)*100-(5000+2000000000)/2)&lt;=ABS(5000-2000000000)/2),"Цена со скидкой должна быть от 50 до 20000000",IF(IFERROR(VALUE(LEFT(M1405,FIND("-",M1405)-1)),M1405)*190&lt;30000,"Вы уменьшили цену в несколько раз, товар попадет в карантин цен","")))),"")</f>
      </c>
    </row>
    <row r="1406">
      <c r="A1406" s="2" t="inlineStr">
        <is>
          <t>CuteShop</t>
        </is>
      </c>
      <c r="B1406" s="2" t="inlineStr">
        <is>
          <t>Держатели для пустышек</t>
        </is>
      </c>
      <c r="C1406" s="2">
        <v>439653270</v>
      </c>
      <c r="D1406" s="2" t="inlineStr">
        <is>
          <t>AnaraBel</t>
        </is>
      </c>
      <c r="E1406" s="2" t="inlineStr">
        <is>
          <t>2044388654774</t>
        </is>
      </c>
      <c r="F1406" s="2">
        <v>0</v>
      </c>
      <c r="G1406" s="2">
        <v>1</v>
      </c>
      <c r="H1406" s="2" t="inlineStr">
        <is>
          <t/>
        </is>
      </c>
      <c r="I1406" s="2" t="inlineStr">
        <is>
          <t>1030</t>
        </is>
      </c>
      <c r="J1406" s="4"/>
      <c r="K1406" s="2">
        <v>10</v>
      </c>
      <c r="L1406" s="6"/>
      <c r="M1406" s="2" t="str">
        <f>IF(J1406="",ROUND(I1406*(1-IF(ISBLANK(L1406),K1406,L1406)/100),2),ROUND(J1406*(1-IF(ISBLANK(L1406),K1406,L1406)/100),2))</f>
      </c>
      <c r="N1406" s="7" t="str">
        <f>IF(NOT(AND(J1406="",L1406="")),IF(OR(AND(L1406&lt;&gt;"",NOT(ISNUMBER(L1406))),IFERROR(MOD(L1406,1),1)&gt;0,AND(ISNUMBER(L1406),OR(L1406&lt;0,L1406&gt;95))),"Введите целое число от 0 до 95",IF(OR(AND(J1406&lt;&gt;"",NOT(ISNUMBER(J1406))),IFERROR(MOD(J1406,1),1)&gt;0,AND(ISNUMBER(J1406),OR(J1406&lt;50,J1406&gt;20000000))),"Введите целое число от 50 до 20000000",IF(NOT(ABS(IFERROR(VALUE(LEFT(M1406,FIND("-",M1406)-1)),M1406)*100-(5000+2000000000)/2)&lt;=ABS(5000-2000000000)/2),"Цена со скидкой должна быть от 50 до 20000000",IF(IFERROR(VALUE(LEFT(M1406,FIND("-",M1406)-1)),M1406)*229&lt;92700,"Вы уменьшили цену в несколько раз, товар попадет в карантин цен","")))),"")</f>
      </c>
    </row>
    <row r="1407">
      <c r="A1407" s="2" t="inlineStr">
        <is>
          <t>CuteShop</t>
        </is>
      </c>
      <c r="B1407" s="2" t="inlineStr">
        <is>
          <t>Держатели для пустышек</t>
        </is>
      </c>
      <c r="C1407" s="2">
        <v>111023785</v>
      </c>
      <c r="D1407" s="2" t="inlineStr">
        <is>
          <t>EvochkaEdin2</t>
        </is>
      </c>
      <c r="E1407" s="2" t="inlineStr">
        <is>
          <t>2037451778620</t>
        </is>
      </c>
      <c r="F1407" s="2">
        <v>0</v>
      </c>
      <c r="G1407" s="2">
        <v>0</v>
      </c>
      <c r="H1407" s="2">
        <v>0</v>
      </c>
      <c r="I1407" s="2" t="inlineStr">
        <is>
          <t>1030</t>
        </is>
      </c>
      <c r="J1407" s="4"/>
      <c r="K1407" s="2">
        <v>10</v>
      </c>
      <c r="L1407" s="6"/>
      <c r="M1407" s="2" t="str">
        <f>IF(J1407="",ROUND(I1407*(1-IF(ISBLANK(L1407),K1407,L1407)/100),2),ROUND(J1407*(1-IF(ISBLANK(L1407),K1407,L1407)/100),2))</f>
      </c>
      <c r="N1407" s="7" t="str">
        <f>IF(NOT(AND(J1407="",L1407="")),IF(OR(AND(L1407&lt;&gt;"",NOT(ISNUMBER(L1407))),IFERROR(MOD(L1407,1),1)&gt;0,AND(ISNUMBER(L1407),OR(L1407&lt;0,L1407&gt;95))),"Введите целое число от 0 до 95",IF(OR(AND(J1407&lt;&gt;"",NOT(ISNUMBER(J1407))),IFERROR(MOD(J1407,1),1)&gt;0,AND(ISNUMBER(J1407),OR(J1407&lt;50,J1407&gt;20000000))),"Введите целое число от 50 до 20000000",IF(NOT(ABS(IFERROR(VALUE(LEFT(M1407,FIND("-",M1407)-1)),M1407)*100-(5000+2000000000)/2)&lt;=ABS(5000-2000000000)/2),"Цена со скидкой должна быть от 50 до 20000000",IF(IFERROR(VALUE(LEFT(M1407,FIND("-",M1407)-1)),M1407)*229&lt;92700,"Вы уменьшили цену в несколько раз, товар попадет в карантин цен","")))),"")</f>
      </c>
    </row>
    <row r="1408">
      <c r="A1408" s="2" t="inlineStr">
        <is>
          <t>CuteShop</t>
        </is>
      </c>
      <c r="B1408" s="2" t="inlineStr">
        <is>
          <t>Аксессуары для рукоделия</t>
        </is>
      </c>
      <c r="C1408" s="2">
        <v>343278492</v>
      </c>
      <c r="D1408" s="2" t="inlineStr">
        <is>
          <t>Kab-Zver3</t>
        </is>
      </c>
      <c r="E1408" s="2" t="inlineStr">
        <is>
          <t>2043021035383</t>
        </is>
      </c>
      <c r="F1408" s="2">
        <v>0</v>
      </c>
      <c r="G1408" s="2">
        <v>0</v>
      </c>
      <c r="H1408" s="2" t="inlineStr">
        <is>
          <t/>
        </is>
      </c>
      <c r="I1408" s="2" t="inlineStr">
        <is>
          <t>340</t>
        </is>
      </c>
      <c r="J1408" s="4"/>
      <c r="K1408" s="2">
        <v>10</v>
      </c>
      <c r="L1408" s="6"/>
      <c r="M1408" s="2" t="str">
        <f>IF(J1408="",ROUND(I1408*(1-IF(ISBLANK(L1408),K1408,L1408)/100),2),ROUND(J1408*(1-IF(ISBLANK(L1408),K1408,L1408)/100),2))</f>
      </c>
      <c r="N1408" s="7" t="str">
        <f>IF(NOT(AND(J1408="",L1408="")),IF(OR(AND(L1408&lt;&gt;"",NOT(ISNUMBER(L1408))),IFERROR(MOD(L1408,1),1)&gt;0,AND(ISNUMBER(L1408),OR(L1408&lt;0,L1408&gt;95))),"Введите целое число от 0 до 95",IF(OR(AND(J1408&lt;&gt;"",NOT(ISNUMBER(J1408))),IFERROR(MOD(J1408,1),1)&gt;0,AND(ISNUMBER(J1408),OR(J1408&lt;50,J1408&gt;20000000))),"Введите целое число от 50 до 20000000",IF(NOT(ABS(IFERROR(VALUE(LEFT(M1408,FIND("-",M1408)-1)),M1408)*100-(5000+2000000000)/2)&lt;=ABS(5000-2000000000)/2),"Цена со скидкой должна быть от 50 до 20000000",IF(IFERROR(VALUE(LEFT(M1408,FIND("-",M1408)-1)),M1408)*190&lt;30600,"Вы уменьшили цену в несколько раз, товар попадет в карантин цен","")))),"")</f>
      </c>
    </row>
    <row r="1409">
      <c r="A1409" s="2" t="inlineStr">
        <is>
          <t>CuteShop</t>
        </is>
      </c>
      <c r="B1409" s="2" t="inlineStr">
        <is>
          <t>Держатели для пустышек</t>
        </is>
      </c>
      <c r="C1409" s="2">
        <v>111023784</v>
      </c>
      <c r="D1409" s="2" t="inlineStr">
        <is>
          <t>EvochkaEdin1</t>
        </is>
      </c>
      <c r="E1409" s="2" t="inlineStr">
        <is>
          <t>2037451652623</t>
        </is>
      </c>
      <c r="F1409" s="2">
        <v>0</v>
      </c>
      <c r="G1409" s="2">
        <v>0</v>
      </c>
      <c r="H1409" s="2">
        <v>1</v>
      </c>
      <c r="I1409" s="2" t="inlineStr">
        <is>
          <t>1030</t>
        </is>
      </c>
      <c r="J1409" s="4"/>
      <c r="K1409" s="2">
        <v>10</v>
      </c>
      <c r="L1409" s="6"/>
      <c r="M1409" s="2" t="str">
        <f>IF(J1409="",ROUND(I1409*(1-IF(ISBLANK(L1409),K1409,L1409)/100),2),ROUND(J1409*(1-IF(ISBLANK(L1409),K1409,L1409)/100),2))</f>
      </c>
      <c r="N1409" s="7" t="str">
        <f>IF(NOT(AND(J1409="",L1409="")),IF(OR(AND(L1409&lt;&gt;"",NOT(ISNUMBER(L1409))),IFERROR(MOD(L1409,1),1)&gt;0,AND(ISNUMBER(L1409),OR(L1409&lt;0,L1409&gt;95))),"Введите целое число от 0 до 95",IF(OR(AND(J1409&lt;&gt;"",NOT(ISNUMBER(J1409))),IFERROR(MOD(J1409,1),1)&gt;0,AND(ISNUMBER(J1409),OR(J1409&lt;50,J1409&gt;20000000))),"Введите целое число от 50 до 20000000",IF(NOT(ABS(IFERROR(VALUE(LEFT(M1409,FIND("-",M1409)-1)),M1409)*100-(5000+2000000000)/2)&lt;=ABS(5000-2000000000)/2),"Цена со скидкой должна быть от 50 до 20000000",IF(IFERROR(VALUE(LEFT(M1409,FIND("-",M1409)-1)),M1409)*229&lt;92700,"Вы уменьшили цену в несколько раз, товар попадет в карантин цен","")))),"")</f>
      </c>
    </row>
    <row r="1410">
      <c r="A1410" s="2" t="inlineStr">
        <is>
          <t>CuteShop</t>
        </is>
      </c>
      <c r="B1410" s="2" t="inlineStr">
        <is>
          <t>Держатели для пустышек</t>
        </is>
      </c>
      <c r="C1410" s="2">
        <v>111023786</v>
      </c>
      <c r="D1410" s="2" t="inlineStr">
        <is>
          <t>EvochkaEvaBel</t>
        </is>
      </c>
      <c r="E1410" s="2" t="inlineStr">
        <is>
          <t>2037452064623</t>
        </is>
      </c>
      <c r="F1410" s="2">
        <v>0</v>
      </c>
      <c r="G1410" s="2">
        <v>1</v>
      </c>
      <c r="H1410" s="2">
        <v>0</v>
      </c>
      <c r="I1410" s="2" t="inlineStr">
        <is>
          <t>1030</t>
        </is>
      </c>
      <c r="J1410" s="4"/>
      <c r="K1410" s="2">
        <v>10</v>
      </c>
      <c r="L1410" s="6"/>
      <c r="M1410" s="2" t="str">
        <f>IF(J1410="",ROUND(I1410*(1-IF(ISBLANK(L1410),K1410,L1410)/100),2),ROUND(J1410*(1-IF(ISBLANK(L1410),K1410,L1410)/100),2))</f>
      </c>
      <c r="N1410" s="7" t="str">
        <f>IF(NOT(AND(J1410="",L1410="")),IF(OR(AND(L1410&lt;&gt;"",NOT(ISNUMBER(L1410))),IFERROR(MOD(L1410,1),1)&gt;0,AND(ISNUMBER(L1410),OR(L1410&lt;0,L1410&gt;95))),"Введите целое число от 0 до 95",IF(OR(AND(J1410&lt;&gt;"",NOT(ISNUMBER(J1410))),IFERROR(MOD(J1410,1),1)&gt;0,AND(ISNUMBER(J1410),OR(J1410&lt;50,J1410&gt;20000000))),"Введите целое число от 50 до 20000000",IF(NOT(ABS(IFERROR(VALUE(LEFT(M1410,FIND("-",M1410)-1)),M1410)*100-(5000+2000000000)/2)&lt;=ABS(5000-2000000000)/2),"Цена со скидкой должна быть от 50 до 20000000",IF(IFERROR(VALUE(LEFT(M1410,FIND("-",M1410)-1)),M1410)*229&lt;92700,"Вы уменьшили цену в несколько раз, товар попадет в карантин цен","")))),"")</f>
      </c>
    </row>
    <row r="1411">
      <c r="A1411" s="2" t="inlineStr">
        <is>
          <t>CuteShop</t>
        </is>
      </c>
      <c r="B1411" s="2" t="inlineStr">
        <is>
          <t>Держатели для пустышек</t>
        </is>
      </c>
      <c r="C1411" s="2">
        <v>111023792</v>
      </c>
      <c r="D1411" s="2" t="inlineStr">
        <is>
          <t>EvochkaMish</t>
        </is>
      </c>
      <c r="E1411" s="2" t="inlineStr">
        <is>
          <t>2037449781625</t>
        </is>
      </c>
      <c r="F1411" s="2">
        <v>0</v>
      </c>
      <c r="G1411" s="2">
        <v>1</v>
      </c>
      <c r="H1411" s="2">
        <v>0</v>
      </c>
      <c r="I1411" s="2" t="inlineStr">
        <is>
          <t>1030</t>
        </is>
      </c>
      <c r="J1411" s="4"/>
      <c r="K1411" s="2">
        <v>10</v>
      </c>
      <c r="L1411" s="6"/>
      <c r="M1411" s="2" t="str">
        <f>IF(J1411="",ROUND(I1411*(1-IF(ISBLANK(L1411),K1411,L1411)/100),2),ROUND(J1411*(1-IF(ISBLANK(L1411),K1411,L1411)/100),2))</f>
      </c>
      <c r="N1411" s="7" t="str">
        <f>IF(NOT(AND(J1411="",L1411="")),IF(OR(AND(L1411&lt;&gt;"",NOT(ISNUMBER(L1411))),IFERROR(MOD(L1411,1),1)&gt;0,AND(ISNUMBER(L1411),OR(L1411&lt;0,L1411&gt;95))),"Введите целое число от 0 до 95",IF(OR(AND(J1411&lt;&gt;"",NOT(ISNUMBER(J1411))),IFERROR(MOD(J1411,1),1)&gt;0,AND(ISNUMBER(J1411),OR(J1411&lt;50,J1411&gt;20000000))),"Введите целое число от 50 до 20000000",IF(NOT(ABS(IFERROR(VALUE(LEFT(M1411,FIND("-",M1411)-1)),M1411)*100-(5000+2000000000)/2)&lt;=ABS(5000-2000000000)/2),"Цена со скидкой должна быть от 50 до 20000000",IF(IFERROR(VALUE(LEFT(M1411,FIND("-",M1411)-1)),M1411)*229&lt;92700,"Вы уменьшили цену в несколько раз, товар попадет в карантин цен","")))),"")</f>
      </c>
    </row>
    <row r="1412">
      <c r="A1412" s="2" t="inlineStr">
        <is>
          <t/>
        </is>
      </c>
      <c r="B1412" s="2" t="inlineStr">
        <is>
          <t>Держатели для пустышек</t>
        </is>
      </c>
      <c r="C1412" s="2">
        <v>439789282</v>
      </c>
      <c r="D1412" s="2" t="inlineStr">
        <is>
          <t>AnaraBel_</t>
        </is>
      </c>
      <c r="E1412" s="2" t="inlineStr">
        <is>
          <t>2044393295597</t>
        </is>
      </c>
      <c r="F1412" s="2">
        <v>0</v>
      </c>
      <c r="G1412" s="2">
        <v>1</v>
      </c>
      <c r="H1412" s="2" t="inlineStr">
        <is>
          <t/>
        </is>
      </c>
      <c r="I1412" s="2" t="inlineStr">
        <is>
          <t>1030</t>
        </is>
      </c>
      <c r="J1412" s="4"/>
      <c r="K1412" s="2">
        <v>0</v>
      </c>
      <c r="L1412" s="6"/>
      <c r="M1412" s="2" t="str">
        <f>IF(J1412="",ROUND(I1412*(1-IF(ISBLANK(L1412),K1412,L1412)/100),2),ROUND(J1412*(1-IF(ISBLANK(L1412),K1412,L1412)/100),2))</f>
      </c>
      <c r="N1412" s="7" t="str">
        <f>IF(NOT(AND(J1412="",L1412="")),IF(OR(AND(L1412&lt;&gt;"",NOT(ISNUMBER(L1412))),IFERROR(MOD(L1412,1),1)&gt;0,AND(ISNUMBER(L1412),OR(L1412&lt;0,L1412&gt;95))),"Введите целое число от 0 до 95",IF(OR(AND(J1412&lt;&gt;"",NOT(ISNUMBER(J1412))),IFERROR(MOD(J1412,1),1)&gt;0,AND(ISNUMBER(J1412),OR(J1412&lt;50,J1412&gt;20000000))),"Введите целое число от 50 до 20000000",IF(NOT(ABS(IFERROR(VALUE(LEFT(M1412,FIND("-",M1412)-1)),M1412)*100-(5000+2000000000)/2)&lt;=ABS(5000-2000000000)/2),"Цена со скидкой должна быть от 50 до 20000000",IF(IFERROR(VALUE(LEFT(M1412,FIND("-",M1412)-1)),M1412)*229&lt;103000,"Вы уменьшили цену в несколько раз, товар попадет в карантин цен","")))),"")</f>
      </c>
    </row>
    <row r="1413">
      <c r="A1413" s="2" t="inlineStr">
        <is>
          <t>CuteShop</t>
        </is>
      </c>
      <c r="B1413" s="2" t="inlineStr">
        <is>
          <t>Держатели для пустышек</t>
        </is>
      </c>
      <c r="C1413" s="2">
        <v>112364053</v>
      </c>
      <c r="D1413" s="2" t="inlineStr">
        <is>
          <t>KristinaBel</t>
        </is>
      </c>
      <c r="E1413" s="2" t="inlineStr">
        <is>
          <t>2038781710625</t>
        </is>
      </c>
      <c r="F1413" s="2">
        <v>0</v>
      </c>
      <c r="G1413" s="2">
        <v>1</v>
      </c>
      <c r="H1413" s="2">
        <v>0</v>
      </c>
      <c r="I1413" s="2" t="inlineStr">
        <is>
          <t>1030</t>
        </is>
      </c>
      <c r="J1413" s="4"/>
      <c r="K1413" s="2">
        <v>10</v>
      </c>
      <c r="L1413" s="6"/>
      <c r="M1413" s="2" t="str">
        <f>IF(J1413="",ROUND(I1413*(1-IF(ISBLANK(L1413),K1413,L1413)/100),2),ROUND(J1413*(1-IF(ISBLANK(L1413),K1413,L1413)/100),2))</f>
      </c>
      <c r="N1413" s="7" t="str">
        <f>IF(NOT(AND(J1413="",L1413="")),IF(OR(AND(L1413&lt;&gt;"",NOT(ISNUMBER(L1413))),IFERROR(MOD(L1413,1),1)&gt;0,AND(ISNUMBER(L1413),OR(L1413&lt;0,L1413&gt;95))),"Введите целое число от 0 до 95",IF(OR(AND(J1413&lt;&gt;"",NOT(ISNUMBER(J1413))),IFERROR(MOD(J1413,1),1)&gt;0,AND(ISNUMBER(J1413),OR(J1413&lt;50,J1413&gt;20000000))),"Введите целое число от 50 до 20000000",IF(NOT(ABS(IFERROR(VALUE(LEFT(M1413,FIND("-",M1413)-1)),M1413)*100-(5000+2000000000)/2)&lt;=ABS(5000-2000000000)/2),"Цена со скидкой должна быть от 50 до 20000000",IF(IFERROR(VALUE(LEFT(M1413,FIND("-",M1413)-1)),M1413)*229&lt;92700,"Вы уменьшили цену в несколько раз, товар попадет в карантин цен","")))),"")</f>
      </c>
    </row>
    <row r="1414">
      <c r="A1414" s="2" t="inlineStr">
        <is>
          <t>CuteShop</t>
        </is>
      </c>
      <c r="B1414" s="2" t="inlineStr">
        <is>
          <t>Держатели для пустышек</t>
        </is>
      </c>
      <c r="C1414" s="2">
        <v>112388132</v>
      </c>
      <c r="D1414" s="2" t="inlineStr">
        <is>
          <t>DimaOl</t>
        </is>
      </c>
      <c r="E1414" s="2" t="inlineStr">
        <is>
          <t>2038784093626</t>
        </is>
      </c>
      <c r="F1414" s="2">
        <v>0</v>
      </c>
      <c r="G1414" s="2">
        <v>0</v>
      </c>
      <c r="H1414" s="2" t="inlineStr">
        <is>
          <t/>
        </is>
      </c>
      <c r="I1414" s="2" t="inlineStr">
        <is>
          <t>1030</t>
        </is>
      </c>
      <c r="J1414" s="4"/>
      <c r="K1414" s="2">
        <v>10</v>
      </c>
      <c r="L1414" s="6"/>
      <c r="M1414" s="2" t="str">
        <f>IF(J1414="",ROUND(I1414*(1-IF(ISBLANK(L1414),K1414,L1414)/100),2),ROUND(J1414*(1-IF(ISBLANK(L1414),K1414,L1414)/100),2))</f>
      </c>
      <c r="N1414" s="7" t="str">
        <f>IF(NOT(AND(J1414="",L1414="")),IF(OR(AND(L1414&lt;&gt;"",NOT(ISNUMBER(L1414))),IFERROR(MOD(L1414,1),1)&gt;0,AND(ISNUMBER(L1414),OR(L1414&lt;0,L1414&gt;95))),"Введите целое число от 0 до 95",IF(OR(AND(J1414&lt;&gt;"",NOT(ISNUMBER(J1414))),IFERROR(MOD(J1414,1),1)&gt;0,AND(ISNUMBER(J1414),OR(J1414&lt;50,J1414&gt;20000000))),"Введите целое число от 50 до 20000000",IF(NOT(ABS(IFERROR(VALUE(LEFT(M1414,FIND("-",M1414)-1)),M1414)*100-(5000+2000000000)/2)&lt;=ABS(5000-2000000000)/2),"Цена со скидкой должна быть от 50 до 20000000",IF(IFERROR(VALUE(LEFT(M1414,FIND("-",M1414)-1)),M1414)*229&lt;92700,"Вы уменьшили цену в несколько раз, товар попадет в карантин цен","")))),"")</f>
      </c>
    </row>
    <row r="1415">
      <c r="A1415" s="2" t="inlineStr">
        <is>
          <t>CuteShop</t>
        </is>
      </c>
      <c r="B1415" s="2" t="inlineStr">
        <is>
          <t>Держатели для пустышек</t>
        </is>
      </c>
      <c r="C1415" s="2">
        <v>156239097</v>
      </c>
      <c r="D1415" s="2" t="inlineStr">
        <is>
          <t>AmeliyaBG2</t>
        </is>
      </c>
      <c r="E1415" s="2" t="inlineStr">
        <is>
          <t>2037706294639</t>
        </is>
      </c>
      <c r="F1415" s="2">
        <v>0</v>
      </c>
      <c r="G1415" s="2">
        <v>1</v>
      </c>
      <c r="H1415" s="2">
        <v>0</v>
      </c>
      <c r="I1415" s="2" t="inlineStr">
        <is>
          <t>790</t>
        </is>
      </c>
      <c r="J1415" s="4"/>
      <c r="K1415" s="2">
        <v>10</v>
      </c>
      <c r="L1415" s="6"/>
      <c r="M1415" s="2" t="str">
        <f>IF(J1415="",ROUND(I1415*(1-IF(ISBLANK(L1415),K1415,L1415)/100),2),ROUND(J1415*(1-IF(ISBLANK(L1415),K1415,L1415)/100),2))</f>
      </c>
      <c r="N1415" s="7" t="str">
        <f>IF(NOT(AND(J1415="",L1415="")),IF(OR(AND(L1415&lt;&gt;"",NOT(ISNUMBER(L1415))),IFERROR(MOD(L1415,1),1)&gt;0,AND(ISNUMBER(L1415),OR(L1415&lt;0,L1415&gt;95))),"Введите целое число от 0 до 95",IF(OR(AND(J1415&lt;&gt;"",NOT(ISNUMBER(J1415))),IFERROR(MOD(J1415,1),1)&gt;0,AND(ISNUMBER(J1415),OR(J1415&lt;50,J1415&gt;20000000))),"Введите целое число от 50 до 20000000",IF(NOT(ABS(IFERROR(VALUE(LEFT(M1415,FIND("-",M1415)-1)),M1415)*100-(5000+2000000000)/2)&lt;=ABS(5000-2000000000)/2),"Цена со скидкой должна быть от 50 до 20000000",IF(IFERROR(VALUE(LEFT(M1415,FIND("-",M1415)-1)),M1415)*229&lt;71100,"Вы уменьшили цену в несколько раз, товар попадет в карантин цен","")))),"")</f>
      </c>
    </row>
    <row r="1416">
      <c r="A1416" s="2" t="inlineStr">
        <is>
          <t/>
        </is>
      </c>
      <c r="B1416" s="2" t="inlineStr">
        <is>
          <t>Ткани для рукоделия</t>
        </is>
      </c>
      <c r="C1416" s="2">
        <v>192204079</v>
      </c>
      <c r="D1416" s="2" t="inlineStr">
        <is>
          <t>Fatin-15-Gol-8</t>
        </is>
      </c>
      <c r="E1416" s="2" t="inlineStr">
        <is>
          <t>2039064913481</t>
        </is>
      </c>
      <c r="F1416" s="2">
        <v>0</v>
      </c>
      <c r="G1416" s="2">
        <v>0</v>
      </c>
      <c r="H1416" s="2" t="inlineStr">
        <is>
          <t/>
        </is>
      </c>
      <c r="I1416" s="2" t="inlineStr">
        <is>
          <t>320</t>
        </is>
      </c>
      <c r="J1416" s="4"/>
      <c r="K1416" s="2">
        <v>0</v>
      </c>
      <c r="L1416" s="6"/>
      <c r="M1416" s="2" t="str">
        <f>IF(J1416="",ROUND(I1416*(1-IF(ISBLANK(L1416),K1416,L1416)/100),2),ROUND(J1416*(1-IF(ISBLANK(L1416),K1416,L1416)/100),2))</f>
      </c>
      <c r="N1416" s="7" t="str">
        <f>IF(NOT(AND(J1416="",L1416="")),IF(OR(AND(L1416&lt;&gt;"",NOT(ISNUMBER(L1416))),IFERROR(MOD(L1416,1),1)&gt;0,AND(ISNUMBER(L1416),OR(L1416&lt;0,L1416&gt;95))),"Введите целое число от 0 до 95",IF(OR(AND(J1416&lt;&gt;"",NOT(ISNUMBER(J1416))),IFERROR(MOD(J1416,1),1)&gt;0,AND(ISNUMBER(J1416),OR(J1416&lt;50,J1416&gt;20000000))),"Введите целое число от 50 до 20000000",IF(NOT(ABS(IFERROR(VALUE(LEFT(M1416,FIND("-",M1416)-1)),M1416)*100-(5000+2000000000)/2)&lt;=ABS(5000-2000000000)/2),"Цена со скидкой должна быть от 50 до 20000000",IF(IFERROR(VALUE(LEFT(M1416,FIND("-",M1416)-1)),M1416)*190&lt;32000,"Вы уменьшили цену в несколько раз, товар попадет в карантин цен","")))),"")</f>
      </c>
    </row>
    <row r="1417">
      <c r="A1417" s="2" t="inlineStr">
        <is>
          <t>CuteShop</t>
        </is>
      </c>
      <c r="B1417" s="2" t="inlineStr">
        <is>
          <t>Держатели для пустышек</t>
        </is>
      </c>
      <c r="C1417" s="2">
        <v>112399649</v>
      </c>
      <c r="D1417" s="2" t="inlineStr">
        <is>
          <t>MiyaLama</t>
        </is>
      </c>
      <c r="E1417" s="2" t="inlineStr">
        <is>
          <t>2038790275627</t>
        </is>
      </c>
      <c r="F1417" s="2">
        <v>0</v>
      </c>
      <c r="G1417" s="2">
        <v>1</v>
      </c>
      <c r="H1417" s="2">
        <v>0</v>
      </c>
      <c r="I1417" s="2" t="inlineStr">
        <is>
          <t>1030</t>
        </is>
      </c>
      <c r="J1417" s="4"/>
      <c r="K1417" s="2">
        <v>10</v>
      </c>
      <c r="L1417" s="6"/>
      <c r="M1417" s="2" t="str">
        <f>IF(J1417="",ROUND(I1417*(1-IF(ISBLANK(L1417),K1417,L1417)/100),2),ROUND(J1417*(1-IF(ISBLANK(L1417),K1417,L1417)/100),2))</f>
      </c>
      <c r="N1417" s="7" t="str">
        <f>IF(NOT(AND(J1417="",L1417="")),IF(OR(AND(L1417&lt;&gt;"",NOT(ISNUMBER(L1417))),IFERROR(MOD(L1417,1),1)&gt;0,AND(ISNUMBER(L1417),OR(L1417&lt;0,L1417&gt;95))),"Введите целое число от 0 до 95",IF(OR(AND(J1417&lt;&gt;"",NOT(ISNUMBER(J1417))),IFERROR(MOD(J1417,1),1)&gt;0,AND(ISNUMBER(J1417),OR(J1417&lt;50,J1417&gt;20000000))),"Введите целое число от 50 до 20000000",IF(NOT(ABS(IFERROR(VALUE(LEFT(M1417,FIND("-",M1417)-1)),M1417)*100-(5000+2000000000)/2)&lt;=ABS(5000-2000000000)/2),"Цена со скидкой должна быть от 50 до 20000000",IF(IFERROR(VALUE(LEFT(M1417,FIND("-",M1417)-1)),M1417)*229&lt;92700,"Вы уменьшили цену в несколько раз, товар попадет в карантин цен","")))),"")</f>
      </c>
    </row>
    <row r="1418">
      <c r="A1418" s="2" t="inlineStr">
        <is>
          <t>CuteShop</t>
        </is>
      </c>
      <c r="B1418" s="2" t="inlineStr">
        <is>
          <t>Держатели для пустышек</t>
        </is>
      </c>
      <c r="C1418" s="2">
        <v>217865756</v>
      </c>
      <c r="D1418" s="2" t="inlineStr">
        <is>
          <t>EvgBG2</t>
        </is>
      </c>
      <c r="E1418" s="2" t="inlineStr">
        <is>
          <t>2039672014013</t>
        </is>
      </c>
      <c r="F1418" s="2">
        <v>0</v>
      </c>
      <c r="G1418" s="2">
        <v>1</v>
      </c>
      <c r="H1418" s="2" t="inlineStr">
        <is>
          <t/>
        </is>
      </c>
      <c r="I1418" s="2" t="inlineStr">
        <is>
          <t>790</t>
        </is>
      </c>
      <c r="J1418" s="4"/>
      <c r="K1418" s="2">
        <v>10</v>
      </c>
      <c r="L1418" s="6"/>
      <c r="M1418" s="2" t="str">
        <f>IF(J1418="",ROUND(I1418*(1-IF(ISBLANK(L1418),K1418,L1418)/100),2),ROUND(J1418*(1-IF(ISBLANK(L1418),K1418,L1418)/100),2))</f>
      </c>
      <c r="N1418" s="7" t="str">
        <f>IF(NOT(AND(J1418="",L1418="")),IF(OR(AND(L1418&lt;&gt;"",NOT(ISNUMBER(L1418))),IFERROR(MOD(L1418,1),1)&gt;0,AND(ISNUMBER(L1418),OR(L1418&lt;0,L1418&gt;95))),"Введите целое число от 0 до 95",IF(OR(AND(J1418&lt;&gt;"",NOT(ISNUMBER(J1418))),IFERROR(MOD(J1418,1),1)&gt;0,AND(ISNUMBER(J1418),OR(J1418&lt;50,J1418&gt;20000000))),"Введите целое число от 50 до 20000000",IF(NOT(ABS(IFERROR(VALUE(LEFT(M1418,FIND("-",M1418)-1)),M1418)*100-(5000+2000000000)/2)&lt;=ABS(5000-2000000000)/2),"Цена со скидкой должна быть от 50 до 20000000",IF(IFERROR(VALUE(LEFT(M1418,FIND("-",M1418)-1)),M1418)*229&lt;71100,"Вы уменьшили цену в несколько раз, товар попадет в карантин цен","")))),"")</f>
      </c>
    </row>
    <row r="1419">
      <c r="A1419" s="2" t="inlineStr">
        <is>
          <t/>
        </is>
      </c>
      <c r="B1419" s="2" t="inlineStr">
        <is>
          <t>Ткани для рукоделия</t>
        </is>
      </c>
      <c r="C1419" s="2">
        <v>289880733</v>
      </c>
      <c r="D1419" s="2" t="inlineStr">
        <is>
          <t>Fatin-15-Bel-23</t>
        </is>
      </c>
      <c r="E1419" s="2" t="inlineStr">
        <is>
          <t>2041978740220</t>
        </is>
      </c>
      <c r="F1419" s="2">
        <v>0</v>
      </c>
      <c r="G1419" s="2">
        <v>0</v>
      </c>
      <c r="H1419" s="2" t="inlineStr">
        <is>
          <t/>
        </is>
      </c>
      <c r="I1419" s="2" t="inlineStr">
        <is>
          <t>500</t>
        </is>
      </c>
      <c r="J1419" s="4"/>
      <c r="K1419" s="2">
        <v>10</v>
      </c>
      <c r="L1419" s="6"/>
      <c r="M1419" s="2" t="str">
        <f>IF(J1419="",ROUND(I1419*(1-IF(ISBLANK(L1419),K1419,L1419)/100),2),ROUND(J1419*(1-IF(ISBLANK(L1419),K1419,L1419)/100),2))</f>
      </c>
      <c r="N1419" s="7" t="str">
        <f>IF(NOT(AND(J1419="",L1419="")),IF(OR(AND(L1419&lt;&gt;"",NOT(ISNUMBER(L1419))),IFERROR(MOD(L1419,1),1)&gt;0,AND(ISNUMBER(L1419),OR(L1419&lt;0,L1419&gt;95))),"Введите целое число от 0 до 95",IF(OR(AND(J1419&lt;&gt;"",NOT(ISNUMBER(J1419))),IFERROR(MOD(J1419,1),1)&gt;0,AND(ISNUMBER(J1419),OR(J1419&lt;50,J1419&gt;20000000))),"Введите целое число от 50 до 20000000",IF(NOT(ABS(IFERROR(VALUE(LEFT(M1419,FIND("-",M1419)-1)),M1419)*100-(5000+2000000000)/2)&lt;=ABS(5000-2000000000)/2),"Цена со скидкой должна быть от 50 до 20000000",IF(IFERROR(VALUE(LEFT(M1419,FIND("-",M1419)-1)),M1419)*190&lt;45000,"Вы уменьшили цену в несколько раз, товар попадет в карантин цен","")))),"")</f>
      </c>
    </row>
    <row r="1420">
      <c r="A1420" s="2" t="inlineStr">
        <is>
          <t>CuteShop</t>
        </is>
      </c>
      <c r="B1420" s="2" t="inlineStr">
        <is>
          <t>Держатели для пустышек</t>
        </is>
      </c>
      <c r="C1420" s="2">
        <v>217870050</v>
      </c>
      <c r="D1420" s="2" t="inlineStr">
        <is>
          <t>EvgMish2</t>
        </is>
      </c>
      <c r="E1420" s="2" t="inlineStr">
        <is>
          <t>2039672075151</t>
        </is>
      </c>
      <c r="F1420" s="2">
        <v>0</v>
      </c>
      <c r="G1420" s="2">
        <v>1</v>
      </c>
      <c r="H1420" s="2" t="inlineStr">
        <is>
          <t/>
        </is>
      </c>
      <c r="I1420" s="2" t="inlineStr">
        <is>
          <t>1030</t>
        </is>
      </c>
      <c r="J1420" s="4"/>
      <c r="K1420" s="2">
        <v>10</v>
      </c>
      <c r="L1420" s="6"/>
      <c r="M1420" s="2" t="str">
        <f>IF(J1420="",ROUND(I1420*(1-IF(ISBLANK(L1420),K1420,L1420)/100),2),ROUND(J1420*(1-IF(ISBLANK(L1420),K1420,L1420)/100),2))</f>
      </c>
      <c r="N1420" s="7" t="str">
        <f>IF(NOT(AND(J1420="",L1420="")),IF(OR(AND(L1420&lt;&gt;"",NOT(ISNUMBER(L1420))),IFERROR(MOD(L1420,1),1)&gt;0,AND(ISNUMBER(L1420),OR(L1420&lt;0,L1420&gt;95))),"Введите целое число от 0 до 95",IF(OR(AND(J1420&lt;&gt;"",NOT(ISNUMBER(J1420))),IFERROR(MOD(J1420,1),1)&gt;0,AND(ISNUMBER(J1420),OR(J1420&lt;50,J1420&gt;20000000))),"Введите целое число от 50 до 20000000",IF(NOT(ABS(IFERROR(VALUE(LEFT(M1420,FIND("-",M1420)-1)),M1420)*100-(5000+2000000000)/2)&lt;=ABS(5000-2000000000)/2),"Цена со скидкой должна быть от 50 до 20000000",IF(IFERROR(VALUE(LEFT(M1420,FIND("-",M1420)-1)),M1420)*229&lt;92700,"Вы уменьшили цену в несколько раз, товар попадет в карантин цен","")))),"")</f>
      </c>
    </row>
    <row r="1421">
      <c r="A1421" s="2" t="inlineStr">
        <is>
          <t/>
        </is>
      </c>
      <c r="B1421" s="2" t="inlineStr">
        <is>
          <t>Ткани для рукоделия</t>
        </is>
      </c>
      <c r="C1421" s="2">
        <v>289880734</v>
      </c>
      <c r="D1421" s="2" t="inlineStr">
        <is>
          <t>Fatin-15-Sir-23</t>
        </is>
      </c>
      <c r="E1421" s="2" t="inlineStr">
        <is>
          <t>2041978747038</t>
        </is>
      </c>
      <c r="F1421" s="2">
        <v>0</v>
      </c>
      <c r="G1421" s="2">
        <v>0</v>
      </c>
      <c r="H1421" s="2" t="inlineStr">
        <is>
          <t/>
        </is>
      </c>
      <c r="I1421" s="2" t="inlineStr">
        <is>
          <t>500</t>
        </is>
      </c>
      <c r="J1421" s="4"/>
      <c r="K1421" s="2">
        <v>10</v>
      </c>
      <c r="L1421" s="6"/>
      <c r="M1421" s="2" t="str">
        <f>IF(J1421="",ROUND(I1421*(1-IF(ISBLANK(L1421),K1421,L1421)/100),2),ROUND(J1421*(1-IF(ISBLANK(L1421),K1421,L1421)/100),2))</f>
      </c>
      <c r="N1421" s="7" t="str">
        <f>IF(NOT(AND(J1421="",L1421="")),IF(OR(AND(L1421&lt;&gt;"",NOT(ISNUMBER(L1421))),IFERROR(MOD(L1421,1),1)&gt;0,AND(ISNUMBER(L1421),OR(L1421&lt;0,L1421&gt;95))),"Введите целое число от 0 до 95",IF(OR(AND(J1421&lt;&gt;"",NOT(ISNUMBER(J1421))),IFERROR(MOD(J1421,1),1)&gt;0,AND(ISNUMBER(J1421),OR(J1421&lt;50,J1421&gt;20000000))),"Введите целое число от 50 до 20000000",IF(NOT(ABS(IFERROR(VALUE(LEFT(M1421,FIND("-",M1421)-1)),M1421)*100-(5000+2000000000)/2)&lt;=ABS(5000-2000000000)/2),"Цена со скидкой должна быть от 50 до 20000000",IF(IFERROR(VALUE(LEFT(M1421,FIND("-",M1421)-1)),M1421)*190&lt;45000,"Вы уменьшили цену в несколько раз, товар попадет в карантин цен","")))),"")</f>
      </c>
    </row>
    <row r="1422">
      <c r="A1422" s="2" t="inlineStr">
        <is>
          <t>CuteShop</t>
        </is>
      </c>
      <c r="B1422" s="2" t="inlineStr">
        <is>
          <t>Держатели для пустышек</t>
        </is>
      </c>
      <c r="C1422" s="2">
        <v>112385491</v>
      </c>
      <c r="D1422" s="2" t="inlineStr">
        <is>
          <t>IvanMishGol</t>
        </is>
      </c>
      <c r="E1422" s="2" t="inlineStr">
        <is>
          <t>2038783257623</t>
        </is>
      </c>
      <c r="F1422" s="2">
        <v>0</v>
      </c>
      <c r="G1422" s="2">
        <v>1</v>
      </c>
      <c r="H1422" s="2">
        <v>5</v>
      </c>
      <c r="I1422" s="2" t="inlineStr">
        <is>
          <t>1030</t>
        </is>
      </c>
      <c r="J1422" s="4"/>
      <c r="K1422" s="2">
        <v>10</v>
      </c>
      <c r="L1422" s="6"/>
      <c r="M1422" s="2" t="str">
        <f>IF(J1422="",ROUND(I1422*(1-IF(ISBLANK(L1422),K1422,L1422)/100),2),ROUND(J1422*(1-IF(ISBLANK(L1422),K1422,L1422)/100),2))</f>
      </c>
      <c r="N1422" s="7" t="str">
        <f>IF(NOT(AND(J1422="",L1422="")),IF(OR(AND(L1422&lt;&gt;"",NOT(ISNUMBER(L1422))),IFERROR(MOD(L1422,1),1)&gt;0,AND(ISNUMBER(L1422),OR(L1422&lt;0,L1422&gt;95))),"Введите целое число от 0 до 95",IF(OR(AND(J1422&lt;&gt;"",NOT(ISNUMBER(J1422))),IFERROR(MOD(J1422,1),1)&gt;0,AND(ISNUMBER(J1422),OR(J1422&lt;50,J1422&gt;20000000))),"Введите целое число от 50 до 20000000",IF(NOT(ABS(IFERROR(VALUE(LEFT(M1422,FIND("-",M1422)-1)),M1422)*100-(5000+2000000000)/2)&lt;=ABS(5000-2000000000)/2),"Цена со скидкой должна быть от 50 до 20000000",IF(IFERROR(VALUE(LEFT(M1422,FIND("-",M1422)-1)),M1422)*229&lt;92700,"Вы уменьшили цену в несколько раз, товар попадет в карантин цен","")))),"")</f>
      </c>
    </row>
    <row r="1423">
      <c r="A1423" s="2" t="inlineStr">
        <is>
          <t/>
        </is>
      </c>
      <c r="B1423" s="2" t="inlineStr">
        <is>
          <t>Ткани для рукоделия</t>
        </is>
      </c>
      <c r="C1423" s="2">
        <v>289881352</v>
      </c>
      <c r="D1423" s="2" t="inlineStr">
        <is>
          <t>Fatin-15-Zel-11</t>
        </is>
      </c>
      <c r="E1423" s="2" t="inlineStr">
        <is>
          <t>2041978823367</t>
        </is>
      </c>
      <c r="F1423" s="2">
        <v>0</v>
      </c>
      <c r="G1423" s="2">
        <v>0</v>
      </c>
      <c r="H1423" s="2">
        <v>1</v>
      </c>
      <c r="I1423" s="2" t="inlineStr">
        <is>
          <t>390</t>
        </is>
      </c>
      <c r="J1423" s="4"/>
      <c r="K1423" s="2">
        <v>0</v>
      </c>
      <c r="L1423" s="6"/>
      <c r="M1423" s="2" t="str">
        <f>IF(J1423="",ROUND(I1423*(1-IF(ISBLANK(L1423),K1423,L1423)/100),2),ROUND(J1423*(1-IF(ISBLANK(L1423),K1423,L1423)/100),2))</f>
      </c>
      <c r="N1423" s="7" t="str">
        <f>IF(NOT(AND(J1423="",L1423="")),IF(OR(AND(L1423&lt;&gt;"",NOT(ISNUMBER(L1423))),IFERROR(MOD(L1423,1),1)&gt;0,AND(ISNUMBER(L1423),OR(L1423&lt;0,L1423&gt;95))),"Введите целое число от 0 до 95",IF(OR(AND(J1423&lt;&gt;"",NOT(ISNUMBER(J1423))),IFERROR(MOD(J1423,1),1)&gt;0,AND(ISNUMBER(J1423),OR(J1423&lt;50,J1423&gt;20000000))),"Введите целое число от 50 до 20000000",IF(NOT(ABS(IFERROR(VALUE(LEFT(M1423,FIND("-",M1423)-1)),M1423)*100-(5000+2000000000)/2)&lt;=ABS(5000-2000000000)/2),"Цена со скидкой должна быть от 50 до 20000000",IF(IFERROR(VALUE(LEFT(M1423,FIND("-",M1423)-1)),M1423)*190&lt;39000,"Вы уменьшили цену в несколько раз, товар попадет в карантин цен","")))),"")</f>
      </c>
    </row>
    <row r="1424">
      <c r="A1424" s="2" t="inlineStr">
        <is>
          <t>CuteShop</t>
        </is>
      </c>
      <c r="B1424" s="2" t="inlineStr">
        <is>
          <t>Держатели для пустышек</t>
        </is>
      </c>
      <c r="C1424" s="2">
        <v>112401360</v>
      </c>
      <c r="D1424" s="2" t="inlineStr">
        <is>
          <t>KatyushaMedv1</t>
        </is>
      </c>
      <c r="E1424" s="2" t="inlineStr">
        <is>
          <t>2038791000624</t>
        </is>
      </c>
      <c r="F1424" s="2">
        <v>0</v>
      </c>
      <c r="G1424" s="2">
        <v>1</v>
      </c>
      <c r="H1424" s="2">
        <v>0</v>
      </c>
      <c r="I1424" s="2" t="inlineStr">
        <is>
          <t>1030</t>
        </is>
      </c>
      <c r="J1424" s="4"/>
      <c r="K1424" s="2">
        <v>10</v>
      </c>
      <c r="L1424" s="6"/>
      <c r="M1424" s="2" t="str">
        <f>IF(J1424="",ROUND(I1424*(1-IF(ISBLANK(L1424),K1424,L1424)/100),2),ROUND(J1424*(1-IF(ISBLANK(L1424),K1424,L1424)/100),2))</f>
      </c>
      <c r="N1424" s="7" t="str">
        <f>IF(NOT(AND(J1424="",L1424="")),IF(OR(AND(L1424&lt;&gt;"",NOT(ISNUMBER(L1424))),IFERROR(MOD(L1424,1),1)&gt;0,AND(ISNUMBER(L1424),OR(L1424&lt;0,L1424&gt;95))),"Введите целое число от 0 до 95",IF(OR(AND(J1424&lt;&gt;"",NOT(ISNUMBER(J1424))),IFERROR(MOD(J1424,1),1)&gt;0,AND(ISNUMBER(J1424),OR(J1424&lt;50,J1424&gt;20000000))),"Введите целое число от 50 до 20000000",IF(NOT(ABS(IFERROR(VALUE(LEFT(M1424,FIND("-",M1424)-1)),M1424)*100-(5000+2000000000)/2)&lt;=ABS(5000-2000000000)/2),"Цена со скидкой должна быть от 50 до 20000000",IF(IFERROR(VALUE(LEFT(M1424,FIND("-",M1424)-1)),M1424)*229&lt;92700,"Вы уменьшили цену в несколько раз, товар попадет в карантин цен","")))),"")</f>
      </c>
    </row>
    <row r="1425">
      <c r="A1425" s="2" t="inlineStr">
        <is>
          <t>CuteShop</t>
        </is>
      </c>
      <c r="B1425" s="2" t="inlineStr">
        <is>
          <t>Держатели для пустышек</t>
        </is>
      </c>
      <c r="C1425" s="2">
        <v>217878967</v>
      </c>
      <c r="D1425" s="2" t="inlineStr">
        <is>
          <t>KosSob</t>
        </is>
      </c>
      <c r="E1425" s="2" t="inlineStr">
        <is>
          <t>2039672212495</t>
        </is>
      </c>
      <c r="F1425" s="2">
        <v>0</v>
      </c>
      <c r="G1425" s="2">
        <v>0</v>
      </c>
      <c r="H1425" s="2" t="inlineStr">
        <is>
          <t/>
        </is>
      </c>
      <c r="I1425" s="2" t="inlineStr">
        <is>
          <t>1030</t>
        </is>
      </c>
      <c r="J1425" s="4"/>
      <c r="K1425" s="2">
        <v>10</v>
      </c>
      <c r="L1425" s="6"/>
      <c r="M1425" s="2" t="str">
        <f>IF(J1425="",ROUND(I1425*(1-IF(ISBLANK(L1425),K1425,L1425)/100),2),ROUND(J1425*(1-IF(ISBLANK(L1425),K1425,L1425)/100),2))</f>
      </c>
      <c r="N1425" s="7" t="str">
        <f>IF(NOT(AND(J1425="",L1425="")),IF(OR(AND(L1425&lt;&gt;"",NOT(ISNUMBER(L1425))),IFERROR(MOD(L1425,1),1)&gt;0,AND(ISNUMBER(L1425),OR(L1425&lt;0,L1425&gt;95))),"Введите целое число от 0 до 95",IF(OR(AND(J1425&lt;&gt;"",NOT(ISNUMBER(J1425))),IFERROR(MOD(J1425,1),1)&gt;0,AND(ISNUMBER(J1425),OR(J1425&lt;50,J1425&gt;20000000))),"Введите целое число от 50 до 20000000",IF(NOT(ABS(IFERROR(VALUE(LEFT(M1425,FIND("-",M1425)-1)),M1425)*100-(5000+2000000000)/2)&lt;=ABS(5000-2000000000)/2),"Цена со скидкой должна быть от 50 до 20000000",IF(IFERROR(VALUE(LEFT(M1425,FIND("-",M1425)-1)),M1425)*229&lt;92700,"Вы уменьшили цену в несколько раз, товар попадет в карантин цен","")))),"")</f>
      </c>
    </row>
    <row r="1426">
      <c r="A1426" s="2" t="inlineStr">
        <is>
          <t>CuteShop</t>
        </is>
      </c>
      <c r="B1426" s="2" t="inlineStr">
        <is>
          <t>Аксессуары для рукоделия</t>
        </is>
      </c>
      <c r="C1426" s="2">
        <v>136518661</v>
      </c>
      <c r="D1426" s="2" t="inlineStr">
        <is>
          <t>Kab-Lol-10</t>
        </is>
      </c>
      <c r="E1426" s="2" t="inlineStr">
        <is>
          <t>2037187982483</t>
        </is>
      </c>
      <c r="F1426" s="2">
        <v>0</v>
      </c>
      <c r="G1426" s="2">
        <v>0</v>
      </c>
      <c r="H1426" s="2">
        <v>0</v>
      </c>
      <c r="I1426" s="2" t="inlineStr">
        <is>
          <t>380</t>
        </is>
      </c>
      <c r="J1426" s="4"/>
      <c r="K1426" s="2">
        <v>5</v>
      </c>
      <c r="L1426" s="6"/>
      <c r="M1426" s="2" t="str">
        <f>IF(J1426="",ROUND(I1426*(1-IF(ISBLANK(L1426),K1426,L1426)/100),2),ROUND(J1426*(1-IF(ISBLANK(L1426),K1426,L1426)/100),2))</f>
      </c>
      <c r="N1426" s="7" t="str">
        <f>IF(NOT(AND(J1426="",L1426="")),IF(OR(AND(L1426&lt;&gt;"",NOT(ISNUMBER(L1426))),IFERROR(MOD(L1426,1),1)&gt;0,AND(ISNUMBER(L1426),OR(L1426&lt;0,L1426&gt;95))),"Введите целое число от 0 до 95",IF(OR(AND(J1426&lt;&gt;"",NOT(ISNUMBER(J1426))),IFERROR(MOD(J1426,1),1)&gt;0,AND(ISNUMBER(J1426),OR(J1426&lt;50,J1426&gt;20000000))),"Введите целое число от 50 до 20000000",IF(NOT(ABS(IFERROR(VALUE(LEFT(M1426,FIND("-",M1426)-1)),M1426)*100-(5000+2000000000)/2)&lt;=ABS(5000-2000000000)/2),"Цена со скидкой должна быть от 50 до 20000000",IF(IFERROR(VALUE(LEFT(M1426,FIND("-",M1426)-1)),M1426)*190&lt;36100,"Вы уменьшили цену в несколько раз, товар попадет в карантин цен","")))),"")</f>
      </c>
    </row>
    <row r="1427">
      <c r="A1427" s="2" t="inlineStr">
        <is>
          <t/>
        </is>
      </c>
      <c r="B1427" s="2" t="inlineStr">
        <is>
          <t>Пакеты упаковочные</t>
        </is>
      </c>
      <c r="C1427" s="2">
        <v>148232243</v>
      </c>
      <c r="D1427" s="2" t="inlineStr">
        <is>
          <t>PakvpBelx10</t>
        </is>
      </c>
      <c r="E1427" s="2" t="inlineStr">
        <is>
          <t>2037513184222</t>
        </is>
      </c>
      <c r="F1427" s="2">
        <v>0</v>
      </c>
      <c r="G1427" s="2">
        <v>0</v>
      </c>
      <c r="H1427" s="2">
        <v>0</v>
      </c>
      <c r="I1427" s="2" t="inlineStr">
        <is>
          <t>390</t>
        </is>
      </c>
      <c r="J1427" s="4"/>
      <c r="K1427" s="2">
        <v>0</v>
      </c>
      <c r="L1427" s="6"/>
      <c r="M1427" s="2" t="str">
        <f>IF(J1427="",ROUND(I1427*(1-IF(ISBLANK(L1427),K1427,L1427)/100),2),ROUND(J1427*(1-IF(ISBLANK(L1427),K1427,L1427)/100),2))</f>
      </c>
      <c r="N1427" s="7" t="str">
        <f>IF(NOT(AND(J1427="",L1427="")),IF(OR(AND(L1427&lt;&gt;"",NOT(ISNUMBER(L1427))),IFERROR(MOD(L1427,1),1)&gt;0,AND(ISNUMBER(L1427),OR(L1427&lt;0,L1427&gt;95))),"Введите целое число от 0 до 95",IF(OR(AND(J1427&lt;&gt;"",NOT(ISNUMBER(J1427))),IFERROR(MOD(J1427,1),1)&gt;0,AND(ISNUMBER(J1427),OR(J1427&lt;50,J1427&gt;20000000))),"Введите целое число от 50 до 20000000",IF(NOT(ABS(IFERROR(VALUE(LEFT(M1427,FIND("-",M1427)-1)),M1427)*100-(5000+2000000000)/2)&lt;=ABS(5000-2000000000)/2),"Цена со скидкой должна быть от 50 до 20000000",IF(IFERROR(VALUE(LEFT(M1427,FIND("-",M1427)-1)),M1427)*200&lt;39000,"Вы уменьшили цену в несколько раз, товар попадет в карантин цен","")))),"")</f>
      </c>
    </row>
    <row r="1428">
      <c r="A1428" s="2" t="inlineStr">
        <is>
          <t>CuteShop</t>
        </is>
      </c>
      <c r="B1428" s="2" t="inlineStr">
        <is>
          <t>Аксессуары для рукоделия</t>
        </is>
      </c>
      <c r="C1428" s="2">
        <v>136518666</v>
      </c>
      <c r="D1428" s="2" t="inlineStr">
        <is>
          <t>Kab-Lol2-10</t>
        </is>
      </c>
      <c r="E1428" s="2" t="inlineStr">
        <is>
          <t>2037187992758</t>
        </is>
      </c>
      <c r="F1428" s="2">
        <v>0</v>
      </c>
      <c r="G1428" s="2">
        <v>0</v>
      </c>
      <c r="H1428" s="2">
        <v>0</v>
      </c>
      <c r="I1428" s="2" t="inlineStr">
        <is>
          <t>380</t>
        </is>
      </c>
      <c r="J1428" s="4"/>
      <c r="K1428" s="2">
        <v>5</v>
      </c>
      <c r="L1428" s="6"/>
      <c r="M1428" s="2" t="str">
        <f>IF(J1428="",ROUND(I1428*(1-IF(ISBLANK(L1428),K1428,L1428)/100),2),ROUND(J1428*(1-IF(ISBLANK(L1428),K1428,L1428)/100),2))</f>
      </c>
      <c r="N1428" s="7" t="str">
        <f>IF(NOT(AND(J1428="",L1428="")),IF(OR(AND(L1428&lt;&gt;"",NOT(ISNUMBER(L1428))),IFERROR(MOD(L1428,1),1)&gt;0,AND(ISNUMBER(L1428),OR(L1428&lt;0,L1428&gt;95))),"Введите целое число от 0 до 95",IF(OR(AND(J1428&lt;&gt;"",NOT(ISNUMBER(J1428))),IFERROR(MOD(J1428,1),1)&gt;0,AND(ISNUMBER(J1428),OR(J1428&lt;50,J1428&gt;20000000))),"Введите целое число от 50 до 20000000",IF(NOT(ABS(IFERROR(VALUE(LEFT(M1428,FIND("-",M1428)-1)),M1428)*100-(5000+2000000000)/2)&lt;=ABS(5000-2000000000)/2),"Цена со скидкой должна быть от 50 до 20000000",IF(IFERROR(VALUE(LEFT(M1428,FIND("-",M1428)-1)),M1428)*190&lt;36100,"Вы уменьшили цену в несколько раз, товар попадет в карантин цен","")))),"")</f>
      </c>
    </row>
    <row r="1429">
      <c r="A1429" s="2" t="inlineStr">
        <is>
          <t>CuteShop</t>
        </is>
      </c>
      <c r="B1429" s="2" t="inlineStr">
        <is>
          <t>Аксессуары для рукоделия</t>
        </is>
      </c>
      <c r="C1429" s="2">
        <v>136518667</v>
      </c>
      <c r="D1429" s="2" t="inlineStr">
        <is>
          <t>Kab-Lol4-10</t>
        </is>
      </c>
      <c r="E1429" s="2" t="inlineStr">
        <is>
          <t>2037187993823</t>
        </is>
      </c>
      <c r="F1429" s="2">
        <v>0</v>
      </c>
      <c r="G1429" s="2">
        <v>0</v>
      </c>
      <c r="H1429" s="2" t="inlineStr">
        <is>
          <t/>
        </is>
      </c>
      <c r="I1429" s="2" t="inlineStr">
        <is>
          <t>380</t>
        </is>
      </c>
      <c r="J1429" s="4"/>
      <c r="K1429" s="2">
        <v>0</v>
      </c>
      <c r="L1429" s="6"/>
      <c r="M1429" s="2" t="str">
        <f>IF(J1429="",ROUND(I1429*(1-IF(ISBLANK(L1429),K1429,L1429)/100),2),ROUND(J1429*(1-IF(ISBLANK(L1429),K1429,L1429)/100),2))</f>
      </c>
      <c r="N1429" s="7" t="str">
        <f>IF(NOT(AND(J1429="",L1429="")),IF(OR(AND(L1429&lt;&gt;"",NOT(ISNUMBER(L1429))),IFERROR(MOD(L1429,1),1)&gt;0,AND(ISNUMBER(L1429),OR(L1429&lt;0,L1429&gt;95))),"Введите целое число от 0 до 95",IF(OR(AND(J1429&lt;&gt;"",NOT(ISNUMBER(J1429))),IFERROR(MOD(J1429,1),1)&gt;0,AND(ISNUMBER(J1429),OR(J1429&lt;50,J1429&gt;20000000))),"Введите целое число от 50 до 20000000",IF(NOT(ABS(IFERROR(VALUE(LEFT(M1429,FIND("-",M1429)-1)),M1429)*100-(5000+2000000000)/2)&lt;=ABS(5000-2000000000)/2),"Цена со скидкой должна быть от 50 до 20000000",IF(IFERROR(VALUE(LEFT(M1429,FIND("-",M1429)-1)),M1429)*190&lt;38000,"Вы уменьшили цену в несколько раз, товар попадет в карантин цен","")))),"")</f>
      </c>
    </row>
    <row r="1430">
      <c r="A1430" s="2" t="inlineStr">
        <is>
          <t/>
        </is>
      </c>
      <c r="B1430" s="2" t="inlineStr">
        <is>
          <t>Пакеты упаковочные</t>
        </is>
      </c>
      <c r="C1430" s="2">
        <v>148236155</v>
      </c>
      <c r="D1430" s="2" t="inlineStr">
        <is>
          <t>PakvpZelx20</t>
        </is>
      </c>
      <c r="E1430" s="2" t="inlineStr">
        <is>
          <t>2037513295614</t>
        </is>
      </c>
      <c r="F1430" s="2">
        <v>0</v>
      </c>
      <c r="G1430" s="2">
        <v>0</v>
      </c>
      <c r="H1430" s="2" t="inlineStr">
        <is>
          <t/>
        </is>
      </c>
      <c r="I1430" s="2" t="inlineStr">
        <is>
          <t>690</t>
        </is>
      </c>
      <c r="J1430" s="4"/>
      <c r="K1430" s="2">
        <v>0</v>
      </c>
      <c r="L1430" s="6"/>
      <c r="M1430" s="2" t="str">
        <f>IF(J1430="",ROUND(I1430*(1-IF(ISBLANK(L1430),K1430,L1430)/100),2),ROUND(J1430*(1-IF(ISBLANK(L1430),K1430,L1430)/100),2))</f>
      </c>
      <c r="N1430" s="7" t="str">
        <f>IF(NOT(AND(J1430="",L1430="")),IF(OR(AND(L1430&lt;&gt;"",NOT(ISNUMBER(L1430))),IFERROR(MOD(L1430,1),1)&gt;0,AND(ISNUMBER(L1430),OR(L1430&lt;0,L1430&gt;95))),"Введите целое число от 0 до 95",IF(OR(AND(J1430&lt;&gt;"",NOT(ISNUMBER(J1430))),IFERROR(MOD(J1430,1),1)&gt;0,AND(ISNUMBER(J1430),OR(J1430&lt;50,J1430&gt;20000000))),"Введите целое число от 50 до 20000000",IF(NOT(ABS(IFERROR(VALUE(LEFT(M1430,FIND("-",M1430)-1)),M1430)*100-(5000+2000000000)/2)&lt;=ABS(5000-2000000000)/2),"Цена со скидкой должна быть от 50 до 20000000",IF(IFERROR(VALUE(LEFT(M1430,FIND("-",M1430)-1)),M1430)*200&lt;69000,"Вы уменьшили цену в несколько раз, товар попадет в карантин цен","")))),"")</f>
      </c>
    </row>
    <row r="1431">
      <c r="A1431" s="2" t="inlineStr">
        <is>
          <t>CuteShop</t>
        </is>
      </c>
      <c r="B1431" s="2" t="inlineStr">
        <is>
          <t>Аксессуары для рукоделия</t>
        </is>
      </c>
      <c r="C1431" s="2">
        <v>136518678</v>
      </c>
      <c r="D1431" s="2" t="inlineStr">
        <is>
          <t>Kab-Lol3-12</t>
        </is>
      </c>
      <c r="E1431" s="2" t="inlineStr">
        <is>
          <t>2037187989567</t>
        </is>
      </c>
      <c r="F1431" s="2">
        <v>0</v>
      </c>
      <c r="G1431" s="2">
        <v>0</v>
      </c>
      <c r="H1431" s="2">
        <v>0</v>
      </c>
      <c r="I1431" s="2" t="inlineStr">
        <is>
          <t>410</t>
        </is>
      </c>
      <c r="J1431" s="4"/>
      <c r="K1431" s="2">
        <v>0</v>
      </c>
      <c r="L1431" s="6"/>
      <c r="M1431" s="2" t="str">
        <f>IF(J1431="",ROUND(I1431*(1-IF(ISBLANK(L1431),K1431,L1431)/100),2),ROUND(J1431*(1-IF(ISBLANK(L1431),K1431,L1431)/100),2))</f>
      </c>
      <c r="N1431" s="7" t="str">
        <f>IF(NOT(AND(J1431="",L1431="")),IF(OR(AND(L1431&lt;&gt;"",NOT(ISNUMBER(L1431))),IFERROR(MOD(L1431,1),1)&gt;0,AND(ISNUMBER(L1431),OR(L1431&lt;0,L1431&gt;95))),"Введите целое число от 0 до 95",IF(OR(AND(J1431&lt;&gt;"",NOT(ISNUMBER(J1431))),IFERROR(MOD(J1431,1),1)&gt;0,AND(ISNUMBER(J1431),OR(J1431&lt;50,J1431&gt;20000000))),"Введите целое число от 50 до 20000000",IF(NOT(ABS(IFERROR(VALUE(LEFT(M1431,FIND("-",M1431)-1)),M1431)*100-(5000+2000000000)/2)&lt;=ABS(5000-2000000000)/2),"Цена со скидкой должна быть от 50 до 20000000",IF(IFERROR(VALUE(LEFT(M1431,FIND("-",M1431)-1)),M1431)*190&lt;41000,"Вы уменьшили цену в несколько раз, товар попадет в карантин цен","")))),"")</f>
      </c>
    </row>
    <row r="1432">
      <c r="A1432" s="2" t="inlineStr">
        <is>
          <t>CuteShop</t>
        </is>
      </c>
      <c r="B1432" s="2" t="inlineStr">
        <is>
          <t>Ленты для рукоделия</t>
        </is>
      </c>
      <c r="C1432" s="2">
        <v>213889899</v>
      </c>
      <c r="D1432" s="2" t="inlineStr">
        <is>
          <t>Lenta-Rep-9May-1</t>
        </is>
      </c>
      <c r="E1432" s="2" t="inlineStr">
        <is>
          <t>2039583665960</t>
        </is>
      </c>
      <c r="F1432" s="2">
        <v>0</v>
      </c>
      <c r="G1432" s="2">
        <v>0</v>
      </c>
      <c r="H1432" s="2" t="inlineStr">
        <is>
          <t/>
        </is>
      </c>
      <c r="I1432" s="2" t="inlineStr">
        <is>
          <t>310</t>
        </is>
      </c>
      <c r="J1432" s="4"/>
      <c r="K1432" s="2">
        <v>0</v>
      </c>
      <c r="L1432" s="6"/>
      <c r="M1432" s="2" t="str">
        <f>IF(J1432="",ROUND(I1432*(1-IF(ISBLANK(L1432),K1432,L1432)/100),2),ROUND(J1432*(1-IF(ISBLANK(L1432),K1432,L1432)/100),2))</f>
      </c>
      <c r="N1432" s="7" t="str">
        <f>IF(NOT(AND(J1432="",L1432="")),IF(OR(AND(L1432&lt;&gt;"",NOT(ISNUMBER(L1432))),IFERROR(MOD(L1432,1),1)&gt;0,AND(ISNUMBER(L1432),OR(L1432&lt;0,L1432&gt;95))),"Введите целое число от 0 до 95",IF(OR(AND(J1432&lt;&gt;"",NOT(ISNUMBER(J1432))),IFERROR(MOD(J1432,1),1)&gt;0,AND(ISNUMBER(J1432),OR(J1432&lt;50,J1432&gt;20000000))),"Введите целое число от 50 до 20000000",IF(NOT(ABS(IFERROR(VALUE(LEFT(M1432,FIND("-",M1432)-1)),M1432)*100-(5000+2000000000)/2)&lt;=ABS(5000-2000000000)/2),"Цена со скидкой должна быть от 50 до 20000000",IF(IFERROR(VALUE(LEFT(M1432,FIND("-",M1432)-1)),M1432)*190&lt;31000,"Вы уменьшили цену в несколько раз, товар попадет в карантин цен","")))),"")</f>
      </c>
    </row>
    <row r="1433">
      <c r="A1433" s="2" t="inlineStr">
        <is>
          <t>CuteShop</t>
        </is>
      </c>
      <c r="B1433" s="2" t="inlineStr">
        <is>
          <t>Ленты для рукоделия</t>
        </is>
      </c>
      <c r="C1433" s="2">
        <v>213889900</v>
      </c>
      <c r="D1433" s="2" t="inlineStr">
        <is>
          <t>Lenta-Rep-9May-2</t>
        </is>
      </c>
      <c r="E1433" s="2" t="inlineStr">
        <is>
          <t>2039583685883</t>
        </is>
      </c>
      <c r="F1433" s="2">
        <v>0</v>
      </c>
      <c r="G1433" s="2">
        <v>0</v>
      </c>
      <c r="H1433" s="2" t="inlineStr">
        <is>
          <t/>
        </is>
      </c>
      <c r="I1433" s="2" t="inlineStr">
        <is>
          <t>320</t>
        </is>
      </c>
      <c r="J1433" s="4"/>
      <c r="K1433" s="2">
        <v>8</v>
      </c>
      <c r="L1433" s="6"/>
      <c r="M1433" s="2" t="str">
        <f>IF(J1433="",ROUND(I1433*(1-IF(ISBLANK(L1433),K1433,L1433)/100),2),ROUND(J1433*(1-IF(ISBLANK(L1433),K1433,L1433)/100),2))</f>
      </c>
      <c r="N1433" s="7" t="str">
        <f>IF(NOT(AND(J1433="",L1433="")),IF(OR(AND(L1433&lt;&gt;"",NOT(ISNUMBER(L1433))),IFERROR(MOD(L1433,1),1)&gt;0,AND(ISNUMBER(L1433),OR(L1433&lt;0,L1433&gt;95))),"Введите целое число от 0 до 95",IF(OR(AND(J1433&lt;&gt;"",NOT(ISNUMBER(J1433))),IFERROR(MOD(J1433,1),1)&gt;0,AND(ISNUMBER(J1433),OR(J1433&lt;50,J1433&gt;20000000))),"Введите целое число от 50 до 20000000",IF(NOT(ABS(IFERROR(VALUE(LEFT(M1433,FIND("-",M1433)-1)),M1433)*100-(5000+2000000000)/2)&lt;=ABS(5000-2000000000)/2),"Цена со скидкой должна быть от 50 до 20000000",IF(IFERROR(VALUE(LEFT(M1433,FIND("-",M1433)-1)),M1433)*190&lt;29440,"Вы уменьшили цену в несколько раз, товар попадет в карантин цен","")))),"")</f>
      </c>
    </row>
    <row r="1434">
      <c r="A1434" s="2" t="inlineStr">
        <is>
          <t>CuteShop</t>
        </is>
      </c>
      <c r="B1434" s="2" t="inlineStr">
        <is>
          <t>Ленты для рукоделия</t>
        </is>
      </c>
      <c r="C1434" s="2">
        <v>212586986</v>
      </c>
      <c r="D1434" s="2" t="inlineStr">
        <is>
          <t>Lenta-Rep-nabor4-15</t>
        </is>
      </c>
      <c r="E1434" s="2" t="inlineStr">
        <is>
          <t>2039562080777</t>
        </is>
      </c>
      <c r="F1434" s="2">
        <v>0</v>
      </c>
      <c r="G1434" s="2">
        <v>0</v>
      </c>
      <c r="H1434" s="2" t="inlineStr">
        <is>
          <t/>
        </is>
      </c>
      <c r="I1434" s="2" t="inlineStr">
        <is>
          <t>450</t>
        </is>
      </c>
      <c r="J1434" s="4"/>
      <c r="K1434" s="2">
        <v>0</v>
      </c>
      <c r="L1434" s="6"/>
      <c r="M1434" s="2" t="str">
        <f>IF(J1434="",ROUND(I1434*(1-IF(ISBLANK(L1434),K1434,L1434)/100),2),ROUND(J1434*(1-IF(ISBLANK(L1434),K1434,L1434)/100),2))</f>
      </c>
      <c r="N1434" s="7" t="str">
        <f>IF(NOT(AND(J1434="",L1434="")),IF(OR(AND(L1434&lt;&gt;"",NOT(ISNUMBER(L1434))),IFERROR(MOD(L1434,1),1)&gt;0,AND(ISNUMBER(L1434),OR(L1434&lt;0,L1434&gt;95))),"Введите целое число от 0 до 95",IF(OR(AND(J1434&lt;&gt;"",NOT(ISNUMBER(J1434))),IFERROR(MOD(J1434,1),1)&gt;0,AND(ISNUMBER(J1434),OR(J1434&lt;50,J1434&gt;20000000))),"Введите целое число от 50 до 20000000",IF(NOT(ABS(IFERROR(VALUE(LEFT(M1434,FIND("-",M1434)-1)),M1434)*100-(5000+2000000000)/2)&lt;=ABS(5000-2000000000)/2),"Цена со скидкой должна быть от 50 до 20000000",IF(IFERROR(VALUE(LEFT(M1434,FIND("-",M1434)-1)),M1434)*190&lt;45000,"Вы уменьшили цену в несколько раз, товар попадет в карантин цен","")))),"")</f>
      </c>
    </row>
    <row r="1435">
      <c r="A1435" s="2" t="inlineStr">
        <is>
          <t>CuteShop</t>
        </is>
      </c>
      <c r="B1435" s="2" t="inlineStr">
        <is>
          <t>Ленты для рукоделия</t>
        </is>
      </c>
      <c r="C1435" s="2">
        <v>215899924</v>
      </c>
      <c r="D1435" s="2" t="inlineStr">
        <is>
          <t>Lenta-Rep-Serdechki-Roz-3,6</t>
        </is>
      </c>
      <c r="E1435" s="2" t="inlineStr">
        <is>
          <t>2039629838815</t>
        </is>
      </c>
      <c r="F1435" s="2">
        <v>0</v>
      </c>
      <c r="G1435" s="2">
        <v>0</v>
      </c>
      <c r="H1435" s="2" t="inlineStr">
        <is>
          <t/>
        </is>
      </c>
      <c r="I1435" s="2" t="inlineStr">
        <is>
          <t>420</t>
        </is>
      </c>
      <c r="J1435" s="4"/>
      <c r="K1435" s="2">
        <v>0</v>
      </c>
      <c r="L1435" s="6"/>
      <c r="M1435" s="2" t="str">
        <f>IF(J1435="",ROUND(I1435*(1-IF(ISBLANK(L1435),K1435,L1435)/100),2),ROUND(J1435*(1-IF(ISBLANK(L1435),K1435,L1435)/100),2))</f>
      </c>
      <c r="N1435" s="7" t="str">
        <f>IF(NOT(AND(J1435="",L1435="")),IF(OR(AND(L1435&lt;&gt;"",NOT(ISNUMBER(L1435))),IFERROR(MOD(L1435,1),1)&gt;0,AND(ISNUMBER(L1435),OR(L1435&lt;0,L1435&gt;95))),"Введите целое число от 0 до 95",IF(OR(AND(J1435&lt;&gt;"",NOT(ISNUMBER(J1435))),IFERROR(MOD(J1435,1),1)&gt;0,AND(ISNUMBER(J1435),OR(J1435&lt;50,J1435&gt;20000000))),"Введите целое число от 50 до 20000000",IF(NOT(ABS(IFERROR(VALUE(LEFT(M1435,FIND("-",M1435)-1)),M1435)*100-(5000+2000000000)/2)&lt;=ABS(5000-2000000000)/2),"Цена со скидкой должна быть от 50 до 20000000",IF(IFERROR(VALUE(LEFT(M1435,FIND("-",M1435)-1)),M1435)*190&lt;42000,"Вы уменьшили цену в несколько раз, товар попадет в карантин цен","")))),"")</f>
      </c>
    </row>
    <row r="1436">
      <c r="A1436" s="2" t="inlineStr">
        <is>
          <t>CuteShop</t>
        </is>
      </c>
      <c r="B1436" s="2" t="inlineStr">
        <is>
          <t>Бусины</t>
        </is>
      </c>
      <c r="C1436" s="2">
        <v>153291765</v>
      </c>
      <c r="D1436" s="2" t="inlineStr">
        <is>
          <t>Bus-raduzh-8mm-orang-200</t>
        </is>
      </c>
      <c r="E1436" s="2" t="inlineStr">
        <is>
          <t>2037631379692</t>
        </is>
      </c>
      <c r="F1436" s="2">
        <v>0</v>
      </c>
      <c r="G1436" s="2">
        <v>0</v>
      </c>
      <c r="H1436" s="2" t="inlineStr">
        <is>
          <t/>
        </is>
      </c>
      <c r="I1436" s="2" t="inlineStr">
        <is>
          <t>320</t>
        </is>
      </c>
      <c r="J1436" s="4"/>
      <c r="K1436" s="2">
        <v>0</v>
      </c>
      <c r="L1436" s="6"/>
      <c r="M1436" s="2" t="str">
        <f>IF(J1436="",ROUND(I1436*(1-IF(ISBLANK(L1436),K1436,L1436)/100),2),ROUND(J1436*(1-IF(ISBLANK(L1436),K1436,L1436)/100),2))</f>
      </c>
      <c r="N1436" s="7" t="str">
        <f>IF(NOT(AND(J1436="",L1436="")),IF(OR(AND(L1436&lt;&gt;"",NOT(ISNUMBER(L1436))),IFERROR(MOD(L1436,1),1)&gt;0,AND(ISNUMBER(L1436),OR(L1436&lt;0,L1436&gt;95))),"Введите целое число от 0 до 95",IF(OR(AND(J1436&lt;&gt;"",NOT(ISNUMBER(J1436))),IFERROR(MOD(J1436,1),1)&gt;0,AND(ISNUMBER(J1436),OR(J1436&lt;50,J1436&gt;20000000))),"Введите целое число от 50 до 20000000",IF(NOT(ABS(IFERROR(VALUE(LEFT(M1436,FIND("-",M1436)-1)),M1436)*100-(5000+2000000000)/2)&lt;=ABS(5000-2000000000)/2),"Цена со скидкой должна быть от 50 до 20000000",IF(IFERROR(VALUE(LEFT(M1436,FIND("-",M1436)-1)),M1436)*190&lt;32000,"Вы уменьшили цену в несколько раз, товар попадет в карантин цен","")))),"")</f>
      </c>
    </row>
    <row r="1437">
      <c r="A1437" s="2" t="inlineStr">
        <is>
          <t>CuteShop</t>
        </is>
      </c>
      <c r="B1437" s="2" t="inlineStr">
        <is>
          <t>Ленты для рукоделия</t>
        </is>
      </c>
      <c r="C1437" s="2">
        <v>366106523</v>
      </c>
      <c r="D1437" s="2" t="inlineStr">
        <is>
          <t>Lenta-Rep-9May-Nabor</t>
        </is>
      </c>
      <c r="E1437" s="2" t="inlineStr">
        <is>
          <t>2043293734496</t>
        </is>
      </c>
      <c r="F1437" s="2">
        <v>0</v>
      </c>
      <c r="G1437" s="2">
        <v>0</v>
      </c>
      <c r="H1437" s="2" t="inlineStr">
        <is>
          <t/>
        </is>
      </c>
      <c r="I1437" s="2" t="inlineStr">
        <is>
          <t>600</t>
        </is>
      </c>
      <c r="J1437" s="4"/>
      <c r="K1437" s="2">
        <v>5</v>
      </c>
      <c r="L1437" s="6"/>
      <c r="M1437" s="2" t="str">
        <f>IF(J1437="",ROUND(I1437*(1-IF(ISBLANK(L1437),K1437,L1437)/100),2),ROUND(J1437*(1-IF(ISBLANK(L1437),K1437,L1437)/100),2))</f>
      </c>
      <c r="N1437" s="7" t="str">
        <f>IF(NOT(AND(J1437="",L1437="")),IF(OR(AND(L1437&lt;&gt;"",NOT(ISNUMBER(L1437))),IFERROR(MOD(L1437,1),1)&gt;0,AND(ISNUMBER(L1437),OR(L1437&lt;0,L1437&gt;95))),"Введите целое число от 0 до 95",IF(OR(AND(J1437&lt;&gt;"",NOT(ISNUMBER(J1437))),IFERROR(MOD(J1437,1),1)&gt;0,AND(ISNUMBER(J1437),OR(J1437&lt;50,J1437&gt;20000000))),"Введите целое число от 50 до 20000000",IF(NOT(ABS(IFERROR(VALUE(LEFT(M1437,FIND("-",M1437)-1)),M1437)*100-(5000+2000000000)/2)&lt;=ABS(5000-2000000000)/2),"Цена со скидкой должна быть от 50 до 20000000",IF(IFERROR(VALUE(LEFT(M1437,FIND("-",M1437)-1)),M1437)*190&lt;57000,"Вы уменьшили цену в несколько раз, товар попадет в карантин цен","")))),"")</f>
      </c>
    </row>
    <row r="1438">
      <c r="A1438" s="2" t="inlineStr">
        <is>
          <t>CuteShop</t>
        </is>
      </c>
      <c r="B1438" s="2" t="inlineStr">
        <is>
          <t>Бусины</t>
        </is>
      </c>
      <c r="C1438" s="2">
        <v>153291344</v>
      </c>
      <c r="D1438" s="2" t="inlineStr">
        <is>
          <t>Bus-raduzh-8mm-roz-500</t>
        </is>
      </c>
      <c r="E1438" s="2" t="inlineStr">
        <is>
          <t>2037631372921</t>
        </is>
      </c>
      <c r="F1438" s="2">
        <v>0</v>
      </c>
      <c r="G1438" s="2">
        <v>0</v>
      </c>
      <c r="H1438" s="2" t="inlineStr">
        <is>
          <t/>
        </is>
      </c>
      <c r="I1438" s="2" t="inlineStr">
        <is>
          <t>620</t>
        </is>
      </c>
      <c r="J1438" s="4"/>
      <c r="K1438" s="2">
        <v>0</v>
      </c>
      <c r="L1438" s="6"/>
      <c r="M1438" s="2" t="str">
        <f>IF(J1438="",ROUND(I1438*(1-IF(ISBLANK(L1438),K1438,L1438)/100),2),ROUND(J1438*(1-IF(ISBLANK(L1438),K1438,L1438)/100),2))</f>
      </c>
      <c r="N1438" s="7" t="str">
        <f>IF(NOT(AND(J1438="",L1438="")),IF(OR(AND(L1438&lt;&gt;"",NOT(ISNUMBER(L1438))),IFERROR(MOD(L1438,1),1)&gt;0,AND(ISNUMBER(L1438),OR(L1438&lt;0,L1438&gt;95))),"Введите целое число от 0 до 95",IF(OR(AND(J1438&lt;&gt;"",NOT(ISNUMBER(J1438))),IFERROR(MOD(J1438,1),1)&gt;0,AND(ISNUMBER(J1438),OR(J1438&lt;50,J1438&gt;20000000))),"Введите целое число от 50 до 20000000",IF(NOT(ABS(IFERROR(VALUE(LEFT(M1438,FIND("-",M1438)-1)),M1438)*100-(5000+2000000000)/2)&lt;=ABS(5000-2000000000)/2),"Цена со скидкой должна быть от 50 до 20000000",IF(IFERROR(VALUE(LEFT(M1438,FIND("-",M1438)-1)),M1438)*190&lt;62000,"Вы уменьшили цену в несколько раз, товар попадет в карантин цен","")))),"")</f>
      </c>
    </row>
    <row r="1439">
      <c r="A1439" s="2" t="inlineStr">
        <is>
          <t/>
        </is>
      </c>
      <c r="B1439" s="2" t="inlineStr">
        <is>
          <t>Ленты для рукоделия</t>
        </is>
      </c>
      <c r="C1439" s="2">
        <v>218271298</v>
      </c>
      <c r="D1439" s="2" t="inlineStr">
        <is>
          <t>Lenta-Rep4-nabor3-34</t>
        </is>
      </c>
      <c r="E1439" s="2" t="inlineStr">
        <is>
          <t>2039683956401</t>
        </is>
      </c>
      <c r="F1439" s="2">
        <v>0</v>
      </c>
      <c r="G1439" s="2">
        <v>0</v>
      </c>
      <c r="H1439" s="2" t="inlineStr">
        <is>
          <t/>
        </is>
      </c>
      <c r="I1439" s="2" t="inlineStr">
        <is>
          <t>610</t>
        </is>
      </c>
      <c r="J1439" s="4"/>
      <c r="K1439" s="2">
        <v>0</v>
      </c>
      <c r="L1439" s="6"/>
      <c r="M1439" s="2" t="str">
        <f>IF(J1439="",ROUND(I1439*(1-IF(ISBLANK(L1439),K1439,L1439)/100),2),ROUND(J1439*(1-IF(ISBLANK(L1439),K1439,L1439)/100),2))</f>
      </c>
      <c r="N1439" s="7" t="str">
        <f>IF(NOT(AND(J1439="",L1439="")),IF(OR(AND(L1439&lt;&gt;"",NOT(ISNUMBER(L1439))),IFERROR(MOD(L1439,1),1)&gt;0,AND(ISNUMBER(L1439),OR(L1439&lt;0,L1439&gt;95))),"Введите целое число от 0 до 95",IF(OR(AND(J1439&lt;&gt;"",NOT(ISNUMBER(J1439))),IFERROR(MOD(J1439,1),1)&gt;0,AND(ISNUMBER(J1439),OR(J1439&lt;50,J1439&gt;20000000))),"Введите целое число от 50 до 20000000",IF(NOT(ABS(IFERROR(VALUE(LEFT(M1439,FIND("-",M1439)-1)),M1439)*100-(5000+2000000000)/2)&lt;=ABS(5000-2000000000)/2),"Цена со скидкой должна быть от 50 до 20000000",IF(IFERROR(VALUE(LEFT(M1439,FIND("-",M1439)-1)),M1439)*190&lt;61000,"Вы уменьшили цену в несколько раз, товар попадет в карантин цен","")))),"")</f>
      </c>
    </row>
    <row r="1440">
      <c r="A1440" s="2" t="inlineStr">
        <is>
          <t>CuteShop</t>
        </is>
      </c>
      <c r="B1440" s="2" t="inlineStr">
        <is>
          <t>Аксессуары для рукоделия</t>
        </is>
      </c>
      <c r="C1440" s="2">
        <v>145728939</v>
      </c>
      <c r="D1440" s="2" t="inlineStr">
        <is>
          <t>Kab-Dev3-10</t>
        </is>
      </c>
      <c r="E1440" s="2" t="inlineStr">
        <is>
          <t>2037448153836</t>
        </is>
      </c>
      <c r="F1440" s="2">
        <v>0</v>
      </c>
      <c r="G1440" s="2">
        <v>1</v>
      </c>
      <c r="H1440" s="2" t="inlineStr">
        <is>
          <t/>
        </is>
      </c>
      <c r="I1440" s="2" t="inlineStr">
        <is>
          <t>340</t>
        </is>
      </c>
      <c r="J1440" s="4"/>
      <c r="K1440" s="2">
        <v>10</v>
      </c>
      <c r="L1440" s="6"/>
      <c r="M1440" s="2" t="str">
        <f>IF(J1440="",ROUND(I1440*(1-IF(ISBLANK(L1440),K1440,L1440)/100),2),ROUND(J1440*(1-IF(ISBLANK(L1440),K1440,L1440)/100),2))</f>
      </c>
      <c r="N1440" s="7" t="str">
        <f>IF(NOT(AND(J1440="",L1440="")),IF(OR(AND(L1440&lt;&gt;"",NOT(ISNUMBER(L1440))),IFERROR(MOD(L1440,1),1)&gt;0,AND(ISNUMBER(L1440),OR(L1440&lt;0,L1440&gt;95))),"Введите целое число от 0 до 95",IF(OR(AND(J1440&lt;&gt;"",NOT(ISNUMBER(J1440))),IFERROR(MOD(J1440,1),1)&gt;0,AND(ISNUMBER(J1440),OR(J1440&lt;50,J1440&gt;20000000))),"Введите целое число от 50 до 20000000",IF(NOT(ABS(IFERROR(VALUE(LEFT(M1440,FIND("-",M1440)-1)),M1440)*100-(5000+2000000000)/2)&lt;=ABS(5000-2000000000)/2),"Цена со скидкой должна быть от 50 до 20000000",IF(IFERROR(VALUE(LEFT(M1440,FIND("-",M1440)-1)),M1440)*190&lt;30600,"Вы уменьшили цену в несколько раз, товар попадет в карантин цен","")))),"")</f>
      </c>
    </row>
    <row r="1441">
      <c r="A1441" s="2" t="inlineStr">
        <is>
          <t>CuteShop</t>
        </is>
      </c>
      <c r="B1441" s="2" t="inlineStr">
        <is>
          <t>Бусины</t>
        </is>
      </c>
      <c r="C1441" s="2">
        <v>222801179</v>
      </c>
      <c r="D1441" s="2" t="inlineStr">
        <is>
          <t>Rond-Roz-6-100</t>
        </is>
      </c>
      <c r="E1441" s="2" t="inlineStr">
        <is>
          <t>2039800765084</t>
        </is>
      </c>
      <c r="F1441" s="2">
        <v>0</v>
      </c>
      <c r="G1441" s="2">
        <v>0</v>
      </c>
      <c r="H1441" s="2" t="inlineStr">
        <is>
          <t/>
        </is>
      </c>
      <c r="I1441" s="2" t="inlineStr">
        <is>
          <t>420</t>
        </is>
      </c>
      <c r="J1441" s="4"/>
      <c r="K1441" s="2">
        <v>0</v>
      </c>
      <c r="L1441" s="6"/>
      <c r="M1441" s="2" t="str">
        <f>IF(J1441="",ROUND(I1441*(1-IF(ISBLANK(L1441),K1441,L1441)/100),2),ROUND(J1441*(1-IF(ISBLANK(L1441),K1441,L1441)/100),2))</f>
      </c>
      <c r="N1441" s="7" t="str">
        <f>IF(NOT(AND(J1441="",L1441="")),IF(OR(AND(L1441&lt;&gt;"",NOT(ISNUMBER(L1441))),IFERROR(MOD(L1441,1),1)&gt;0,AND(ISNUMBER(L1441),OR(L1441&lt;0,L1441&gt;95))),"Введите целое число от 0 до 95",IF(OR(AND(J1441&lt;&gt;"",NOT(ISNUMBER(J1441))),IFERROR(MOD(J1441,1),1)&gt;0,AND(ISNUMBER(J1441),OR(J1441&lt;50,J1441&gt;20000000))),"Введите целое число от 50 до 20000000",IF(NOT(ABS(IFERROR(VALUE(LEFT(M1441,FIND("-",M1441)-1)),M1441)*100-(5000+2000000000)/2)&lt;=ABS(5000-2000000000)/2),"Цена со скидкой должна быть от 50 до 20000000",IF(IFERROR(VALUE(LEFT(M1441,FIND("-",M1441)-1)),M1441)*190&lt;42000,"Вы уменьшили цену в несколько раз, товар попадет в карантин цен","")))),"")</f>
      </c>
    </row>
    <row r="1442">
      <c r="A1442" s="2" t="inlineStr">
        <is>
          <t>CuteShop</t>
        </is>
      </c>
      <c r="B1442" s="2" t="inlineStr">
        <is>
          <t>Аксессуары для рукоделия</t>
        </is>
      </c>
      <c r="C1442" s="2">
        <v>213778742</v>
      </c>
      <c r="D1442" s="2" t="inlineStr">
        <is>
          <t>Kab-9May-4</t>
        </is>
      </c>
      <c r="E1442" s="2" t="inlineStr">
        <is>
          <t>2039581921204</t>
        </is>
      </c>
      <c r="F1442" s="2">
        <v>0</v>
      </c>
      <c r="G1442" s="2">
        <v>0</v>
      </c>
      <c r="H1442" s="2">
        <v>1</v>
      </c>
      <c r="I1442" s="2" t="inlineStr">
        <is>
          <t>370</t>
        </is>
      </c>
      <c r="J1442" s="4"/>
      <c r="K1442" s="2">
        <v>7</v>
      </c>
      <c r="L1442" s="6"/>
      <c r="M1442" s="2" t="str">
        <f>IF(J1442="",ROUND(I1442*(1-IF(ISBLANK(L1442),K1442,L1442)/100),2),ROUND(J1442*(1-IF(ISBLANK(L1442),K1442,L1442)/100),2))</f>
      </c>
      <c r="N1442" s="7" t="str">
        <f>IF(NOT(AND(J1442="",L1442="")),IF(OR(AND(L1442&lt;&gt;"",NOT(ISNUMBER(L1442))),IFERROR(MOD(L1442,1),1)&gt;0,AND(ISNUMBER(L1442),OR(L1442&lt;0,L1442&gt;95))),"Введите целое число от 0 до 95",IF(OR(AND(J1442&lt;&gt;"",NOT(ISNUMBER(J1442))),IFERROR(MOD(J1442,1),1)&gt;0,AND(ISNUMBER(J1442),OR(J1442&lt;50,J1442&gt;20000000))),"Введите целое число от 50 до 20000000",IF(NOT(ABS(IFERROR(VALUE(LEFT(M1442,FIND("-",M1442)-1)),M1442)*100-(5000+2000000000)/2)&lt;=ABS(5000-2000000000)/2),"Цена со скидкой должна быть от 50 до 20000000",IF(IFERROR(VALUE(LEFT(M1442,FIND("-",M1442)-1)),M1442)*190&lt;34410,"Вы уменьшили цену в несколько раз, товар попадет в карантин цен","")))),"")</f>
      </c>
    </row>
    <row r="1443">
      <c r="A1443" s="2" t="inlineStr">
        <is>
          <t>CuteShop</t>
        </is>
      </c>
      <c r="B1443" s="2" t="inlineStr">
        <is>
          <t>Ленты для рукоделия</t>
        </is>
      </c>
      <c r="C1443" s="2">
        <v>222440200</v>
      </c>
      <c r="D1443" s="2" t="inlineStr">
        <is>
          <t>Lenta-Rep-9May-Mix7</t>
        </is>
      </c>
      <c r="E1443" s="2" t="inlineStr">
        <is>
          <t>2039791467837</t>
        </is>
      </c>
      <c r="F1443" s="2">
        <v>0</v>
      </c>
      <c r="G1443" s="2">
        <v>0</v>
      </c>
      <c r="H1443" s="2" t="inlineStr">
        <is>
          <t/>
        </is>
      </c>
      <c r="I1443" s="2" t="inlineStr">
        <is>
          <t>490</t>
        </is>
      </c>
      <c r="J1443" s="4"/>
      <c r="K1443" s="2">
        <v>0</v>
      </c>
      <c r="L1443" s="6"/>
      <c r="M1443" s="2" t="str">
        <f>IF(J1443="",ROUND(I1443*(1-IF(ISBLANK(L1443),K1443,L1443)/100),2),ROUND(J1443*(1-IF(ISBLANK(L1443),K1443,L1443)/100),2))</f>
      </c>
      <c r="N1443" s="7" t="str">
        <f>IF(NOT(AND(J1443="",L1443="")),IF(OR(AND(L1443&lt;&gt;"",NOT(ISNUMBER(L1443))),IFERROR(MOD(L1443,1),1)&gt;0,AND(ISNUMBER(L1443),OR(L1443&lt;0,L1443&gt;95))),"Введите целое число от 0 до 95",IF(OR(AND(J1443&lt;&gt;"",NOT(ISNUMBER(J1443))),IFERROR(MOD(J1443,1),1)&gt;0,AND(ISNUMBER(J1443),OR(J1443&lt;50,J1443&gt;20000000))),"Введите целое число от 50 до 20000000",IF(NOT(ABS(IFERROR(VALUE(LEFT(M1443,FIND("-",M1443)-1)),M1443)*100-(5000+2000000000)/2)&lt;=ABS(5000-2000000000)/2),"Цена со скидкой должна быть от 50 до 20000000",IF(IFERROR(VALUE(LEFT(M1443,FIND("-",M1443)-1)),M1443)*190&lt;49000,"Вы уменьшили цену в несколько раз, товар попадет в карантин цен","")))),"")</f>
      </c>
    </row>
    <row r="1444">
      <c r="A1444" s="2" t="inlineStr">
        <is>
          <t/>
        </is>
      </c>
      <c r="B1444" s="2" t="inlineStr">
        <is>
          <t>Ткани для рукоделия</t>
        </is>
      </c>
      <c r="C1444" s="2">
        <v>190305816</v>
      </c>
      <c r="D1444" s="2" t="inlineStr">
        <is>
          <t>Fatin-Serd-Bel15-4</t>
        </is>
      </c>
      <c r="E1444" s="2" t="inlineStr">
        <is>
          <t>2039005707988</t>
        </is>
      </c>
      <c r="F1444" s="2">
        <v>0</v>
      </c>
      <c r="G1444" s="2">
        <v>0</v>
      </c>
      <c r="H1444" s="2" t="inlineStr">
        <is>
          <t/>
        </is>
      </c>
      <c r="I1444" s="2" t="inlineStr">
        <is>
          <t>370</t>
        </is>
      </c>
      <c r="J1444" s="4"/>
      <c r="K1444" s="2">
        <v>0</v>
      </c>
      <c r="L1444" s="6"/>
      <c r="M1444" s="2" t="str">
        <f>IF(J1444="",ROUND(I1444*(1-IF(ISBLANK(L1444),K1444,L1444)/100),2),ROUND(J1444*(1-IF(ISBLANK(L1444),K1444,L1444)/100),2))</f>
      </c>
      <c r="N1444" s="7" t="str">
        <f>IF(NOT(AND(J1444="",L1444="")),IF(OR(AND(L1444&lt;&gt;"",NOT(ISNUMBER(L1444))),IFERROR(MOD(L1444,1),1)&gt;0,AND(ISNUMBER(L1444),OR(L1444&lt;0,L1444&gt;95))),"Введите целое число от 0 до 95",IF(OR(AND(J1444&lt;&gt;"",NOT(ISNUMBER(J1444))),IFERROR(MOD(J1444,1),1)&gt;0,AND(ISNUMBER(J1444),OR(J1444&lt;50,J1444&gt;20000000))),"Введите целое число от 50 до 20000000",IF(NOT(ABS(IFERROR(VALUE(LEFT(M1444,FIND("-",M1444)-1)),M1444)*100-(5000+2000000000)/2)&lt;=ABS(5000-2000000000)/2),"Цена со скидкой должна быть от 50 до 20000000",IF(IFERROR(VALUE(LEFT(M1444,FIND("-",M1444)-1)),M1444)*190&lt;37000,"Вы уменьшили цену в несколько раз, товар попадет в карантин цен","")))),"")</f>
      </c>
    </row>
    <row r="1445">
      <c r="A1445" s="2" t="inlineStr">
        <is>
          <t>LYNXAuto</t>
        </is>
      </c>
      <c r="B1445" s="2" t="inlineStr">
        <is>
          <t>Щетки стеклоочистителя</t>
        </is>
      </c>
      <c r="C1445" s="2">
        <v>211609157</v>
      </c>
      <c r="D1445" s="2" t="inlineStr">
        <is>
          <t>RIR-LR30A-F</t>
        </is>
      </c>
      <c r="E1445" s="2" t="inlineStr">
        <is>
          <t>2039539598878</t>
        </is>
      </c>
      <c r="F1445" s="2">
        <v>0</v>
      </c>
      <c r="G1445" s="2">
        <v>0</v>
      </c>
      <c r="H1445" s="2" t="inlineStr">
        <is>
          <t/>
        </is>
      </c>
      <c r="I1445" s="2" t="inlineStr">
        <is>
          <t>700</t>
        </is>
      </c>
      <c r="J1445" s="4"/>
      <c r="K1445" s="2">
        <v>0</v>
      </c>
      <c r="L1445" s="6"/>
      <c r="M1445" s="2" t="str">
        <f>IF(J1445="",ROUND(I1445*(1-IF(ISBLANK(L1445),K1445,L1445)/100),2),ROUND(J1445*(1-IF(ISBLANK(L1445),K1445,L1445)/100),2))</f>
      </c>
      <c r="N1445" s="7" t="str">
        <f>IF(NOT(AND(J1445="",L1445="")),IF(OR(AND(L1445&lt;&gt;"",NOT(ISNUMBER(L1445))),IFERROR(MOD(L1445,1),1)&gt;0,AND(ISNUMBER(L1445),OR(L1445&lt;0,L1445&gt;95))),"Введите целое число от 0 до 95",IF(OR(AND(J1445&lt;&gt;"",NOT(ISNUMBER(J1445))),IFERROR(MOD(J1445,1),1)&gt;0,AND(ISNUMBER(J1445),OR(J1445&lt;50,J1445&gt;20000000))),"Введите целое число от 50 до 20000000",IF(NOT(ABS(IFERROR(VALUE(LEFT(M1445,FIND("-",M1445)-1)),M1445)*100-(5000+2000000000)/2)&lt;=ABS(5000-2000000000)/2),"Цена со скидкой должна быть от 50 до 20000000",IF(IFERROR(VALUE(LEFT(M1445,FIND("-",M1445)-1)),M1445)*200&lt;70000,"Вы уменьшили цену в несколько раз, товар попадет в карантин цен","")))),"")</f>
      </c>
    </row>
    <row r="1446">
      <c r="A1446" s="2" t="inlineStr">
        <is>
          <t>CuteShop</t>
        </is>
      </c>
      <c r="B1446" s="2" t="inlineStr">
        <is>
          <t>Ленты для рукоделия</t>
        </is>
      </c>
      <c r="C1446" s="2">
        <v>209928480</v>
      </c>
      <c r="D1446" s="2" t="inlineStr">
        <is>
          <t>Lenta-Rep-nabor3-27</t>
        </is>
      </c>
      <c r="E1446" s="2" t="inlineStr">
        <is>
          <t>2039503174046</t>
        </is>
      </c>
      <c r="F1446" s="2">
        <v>0</v>
      </c>
      <c r="G1446" s="2">
        <v>0</v>
      </c>
      <c r="H1446" s="2" t="inlineStr">
        <is>
          <t/>
        </is>
      </c>
      <c r="I1446" s="2" t="inlineStr">
        <is>
          <t>520</t>
        </is>
      </c>
      <c r="J1446" s="4"/>
      <c r="K1446" s="2">
        <v>0</v>
      </c>
      <c r="L1446" s="6"/>
      <c r="M1446" s="2" t="str">
        <f>IF(J1446="",ROUND(I1446*(1-IF(ISBLANK(L1446),K1446,L1446)/100),2),ROUND(J1446*(1-IF(ISBLANK(L1446),K1446,L1446)/100),2))</f>
      </c>
      <c r="N1446" s="7" t="str">
        <f>IF(NOT(AND(J1446="",L1446="")),IF(OR(AND(L1446&lt;&gt;"",NOT(ISNUMBER(L1446))),IFERROR(MOD(L1446,1),1)&gt;0,AND(ISNUMBER(L1446),OR(L1446&lt;0,L1446&gt;95))),"Введите целое число от 0 до 95",IF(OR(AND(J1446&lt;&gt;"",NOT(ISNUMBER(J1446))),IFERROR(MOD(J1446,1),1)&gt;0,AND(ISNUMBER(J1446),OR(J1446&lt;50,J1446&gt;20000000))),"Введите целое число от 50 до 20000000",IF(NOT(ABS(IFERROR(VALUE(LEFT(M1446,FIND("-",M1446)-1)),M1446)*100-(5000+2000000000)/2)&lt;=ABS(5000-2000000000)/2),"Цена со скидкой должна быть от 50 до 20000000",IF(IFERROR(VALUE(LEFT(M1446,FIND("-",M1446)-1)),M1446)*190&lt;52000,"Вы уменьшили цену в несколько раз, товар попадет в карантин цен","")))),"")</f>
      </c>
    </row>
    <row r="1447">
      <c r="A1447" s="2" t="inlineStr">
        <is>
          <t>CuteShop</t>
        </is>
      </c>
      <c r="B1447" s="2" t="inlineStr">
        <is>
          <t>Аксессуары для рукоделия</t>
        </is>
      </c>
      <c r="C1447" s="2">
        <v>244620754</v>
      </c>
      <c r="D1447" s="2" t="inlineStr">
        <is>
          <t>Kab-Princ2-10</t>
        </is>
      </c>
      <c r="E1447" s="2" t="inlineStr">
        <is>
          <t>2040684559690</t>
        </is>
      </c>
      <c r="F1447" s="2">
        <v>0</v>
      </c>
      <c r="G1447" s="2">
        <v>0</v>
      </c>
      <c r="H1447" s="2" t="inlineStr">
        <is>
          <t/>
        </is>
      </c>
      <c r="I1447" s="2" t="inlineStr">
        <is>
          <t>390</t>
        </is>
      </c>
      <c r="J1447" s="4"/>
      <c r="K1447" s="2">
        <v>10</v>
      </c>
      <c r="L1447" s="6"/>
      <c r="M1447" s="2" t="str">
        <f>IF(J1447="",ROUND(I1447*(1-IF(ISBLANK(L1447),K1447,L1447)/100),2),ROUND(J1447*(1-IF(ISBLANK(L1447),K1447,L1447)/100),2))</f>
      </c>
      <c r="N1447" s="7" t="str">
        <f>IF(NOT(AND(J1447="",L1447="")),IF(OR(AND(L1447&lt;&gt;"",NOT(ISNUMBER(L1447))),IFERROR(MOD(L1447,1),1)&gt;0,AND(ISNUMBER(L1447),OR(L1447&lt;0,L1447&gt;95))),"Введите целое число от 0 до 95",IF(OR(AND(J1447&lt;&gt;"",NOT(ISNUMBER(J1447))),IFERROR(MOD(J1447,1),1)&gt;0,AND(ISNUMBER(J1447),OR(J1447&lt;50,J1447&gt;20000000))),"Введите целое число от 50 до 20000000",IF(NOT(ABS(IFERROR(VALUE(LEFT(M1447,FIND("-",M1447)-1)),M1447)*100-(5000+2000000000)/2)&lt;=ABS(5000-2000000000)/2),"Цена со скидкой должна быть от 50 до 20000000",IF(IFERROR(VALUE(LEFT(M1447,FIND("-",M1447)-1)),M1447)*190&lt;35100,"Вы уменьшили цену в несколько раз, товар попадет в карантин цен","")))),"")</f>
      </c>
    </row>
    <row r="1448">
      <c r="A1448" s="2" t="inlineStr">
        <is>
          <t>CuteShop</t>
        </is>
      </c>
      <c r="B1448" s="2" t="inlineStr">
        <is>
          <t>Ленты для рукоделия</t>
        </is>
      </c>
      <c r="C1448" s="2">
        <v>191695114</v>
      </c>
      <c r="D1448" s="2" t="inlineStr">
        <is>
          <t>Lenta-Rep-Snezh-BelSer</t>
        </is>
      </c>
      <c r="E1448" s="2" t="inlineStr">
        <is>
          <t>2039048585659</t>
        </is>
      </c>
      <c r="F1448" s="2">
        <v>0</v>
      </c>
      <c r="G1448" s="2">
        <v>0</v>
      </c>
      <c r="H1448" s="2" t="inlineStr">
        <is>
          <t/>
        </is>
      </c>
      <c r="I1448" s="2" t="inlineStr">
        <is>
          <t>400</t>
        </is>
      </c>
      <c r="J1448" s="4"/>
      <c r="K1448" s="2">
        <v>0</v>
      </c>
      <c r="L1448" s="6"/>
      <c r="M1448" s="2" t="str">
        <f>IF(J1448="",ROUND(I1448*(1-IF(ISBLANK(L1448),K1448,L1448)/100),2),ROUND(J1448*(1-IF(ISBLANK(L1448),K1448,L1448)/100),2))</f>
      </c>
      <c r="N1448" s="7" t="str">
        <f>IF(NOT(AND(J1448="",L1448="")),IF(OR(AND(L1448&lt;&gt;"",NOT(ISNUMBER(L1448))),IFERROR(MOD(L1448,1),1)&gt;0,AND(ISNUMBER(L1448),OR(L1448&lt;0,L1448&gt;95))),"Введите целое число от 0 до 95",IF(OR(AND(J1448&lt;&gt;"",NOT(ISNUMBER(J1448))),IFERROR(MOD(J1448,1),1)&gt;0,AND(ISNUMBER(J1448),OR(J1448&lt;50,J1448&gt;20000000))),"Введите целое число от 50 до 20000000",IF(NOT(ABS(IFERROR(VALUE(LEFT(M1448,FIND("-",M1448)-1)),M1448)*100-(5000+2000000000)/2)&lt;=ABS(5000-2000000000)/2),"Цена со скидкой должна быть от 50 до 20000000",IF(IFERROR(VALUE(LEFT(M1448,FIND("-",M1448)-1)),M1448)*190&lt;40000,"Вы уменьшили цену в несколько раз, товар попадет в карантин цен","")))),"")</f>
      </c>
    </row>
    <row r="1449">
      <c r="A1449" s="2" t="inlineStr">
        <is>
          <t>CuteShop</t>
        </is>
      </c>
      <c r="B1449" s="2" t="inlineStr">
        <is>
          <t>Бусины</t>
        </is>
      </c>
      <c r="C1449" s="2">
        <v>153290855</v>
      </c>
      <c r="D1449" s="2" t="inlineStr">
        <is>
          <t>Bus-raduzh-8mm-siren-500</t>
        </is>
      </c>
      <c r="E1449" s="2" t="inlineStr">
        <is>
          <t>2037631362779</t>
        </is>
      </c>
      <c r="F1449" s="2">
        <v>0</v>
      </c>
      <c r="G1449" s="2">
        <v>0</v>
      </c>
      <c r="H1449" s="2" t="inlineStr">
        <is>
          <t/>
        </is>
      </c>
      <c r="I1449" s="2" t="inlineStr">
        <is>
          <t>620</t>
        </is>
      </c>
      <c r="J1449" s="4"/>
      <c r="K1449" s="2">
        <v>0</v>
      </c>
      <c r="L1449" s="6"/>
      <c r="M1449" s="2" t="str">
        <f>IF(J1449="",ROUND(I1449*(1-IF(ISBLANK(L1449),K1449,L1449)/100),2),ROUND(J1449*(1-IF(ISBLANK(L1449),K1449,L1449)/100),2))</f>
      </c>
      <c r="N1449" s="7" t="str">
        <f>IF(NOT(AND(J1449="",L1449="")),IF(OR(AND(L1449&lt;&gt;"",NOT(ISNUMBER(L1449))),IFERROR(MOD(L1449,1),1)&gt;0,AND(ISNUMBER(L1449),OR(L1449&lt;0,L1449&gt;95))),"Введите целое число от 0 до 95",IF(OR(AND(J1449&lt;&gt;"",NOT(ISNUMBER(J1449))),IFERROR(MOD(J1449,1),1)&gt;0,AND(ISNUMBER(J1449),OR(J1449&lt;50,J1449&gt;20000000))),"Введите целое число от 50 до 20000000",IF(NOT(ABS(IFERROR(VALUE(LEFT(M1449,FIND("-",M1449)-1)),M1449)*100-(5000+2000000000)/2)&lt;=ABS(5000-2000000000)/2),"Цена со скидкой должна быть от 50 до 20000000",IF(IFERROR(VALUE(LEFT(M1449,FIND("-",M1449)-1)),M1449)*190&lt;62000,"Вы уменьшили цену в несколько раз, товар попадет в карантин цен","")))),"")</f>
      </c>
    </row>
    <row r="1450">
      <c r="A1450" s="2" t="inlineStr">
        <is>
          <t>CuteShop</t>
        </is>
      </c>
      <c r="B1450" s="2" t="inlineStr">
        <is>
          <t>Бусины</t>
        </is>
      </c>
      <c r="C1450" s="2">
        <v>222442845</v>
      </c>
      <c r="D1450" s="2" t="inlineStr">
        <is>
          <t>Rond-Roz-8-100</t>
        </is>
      </c>
      <c r="E1450" s="2" t="inlineStr">
        <is>
          <t>2039791523687</t>
        </is>
      </c>
      <c r="F1450" s="2">
        <v>0</v>
      </c>
      <c r="G1450" s="2">
        <v>0</v>
      </c>
      <c r="H1450" s="2" t="inlineStr">
        <is>
          <t/>
        </is>
      </c>
      <c r="I1450" s="2" t="inlineStr">
        <is>
          <t>440</t>
        </is>
      </c>
      <c r="J1450" s="4"/>
      <c r="K1450" s="2">
        <v>0</v>
      </c>
      <c r="L1450" s="6"/>
      <c r="M1450" s="2" t="str">
        <f>IF(J1450="",ROUND(I1450*(1-IF(ISBLANK(L1450),K1450,L1450)/100),2),ROUND(J1450*(1-IF(ISBLANK(L1450),K1450,L1450)/100),2))</f>
      </c>
      <c r="N1450" s="7" t="str">
        <f>IF(NOT(AND(J1450="",L1450="")),IF(OR(AND(L1450&lt;&gt;"",NOT(ISNUMBER(L1450))),IFERROR(MOD(L1450,1),1)&gt;0,AND(ISNUMBER(L1450),OR(L1450&lt;0,L1450&gt;95))),"Введите целое число от 0 до 95",IF(OR(AND(J1450&lt;&gt;"",NOT(ISNUMBER(J1450))),IFERROR(MOD(J1450,1),1)&gt;0,AND(ISNUMBER(J1450),OR(J1450&lt;50,J1450&gt;20000000))),"Введите целое число от 50 до 20000000",IF(NOT(ABS(IFERROR(VALUE(LEFT(M1450,FIND("-",M1450)-1)),M1450)*100-(5000+2000000000)/2)&lt;=ABS(5000-2000000000)/2),"Цена со скидкой должна быть от 50 до 20000000",IF(IFERROR(VALUE(LEFT(M1450,FIND("-",M1450)-1)),M1450)*190&lt;44000,"Вы уменьшили цену в несколько раз, товар попадет в карантин цен","")))),"")</f>
      </c>
    </row>
    <row r="1451">
      <c r="A1451" s="2" t="inlineStr">
        <is>
          <t>Bosch</t>
        </is>
      </c>
      <c r="B1451" s="2" t="inlineStr">
        <is>
          <t>Щетки стеклоочистителя</t>
        </is>
      </c>
      <c r="C1451" s="2">
        <v>211622879</v>
      </c>
      <c r="D1451" s="2" t="inlineStr">
        <is>
          <t>RIR-3397004990-N</t>
        </is>
      </c>
      <c r="E1451" s="2" t="inlineStr">
        <is>
          <t>2039539982974</t>
        </is>
      </c>
      <c r="F1451" s="2">
        <v>0</v>
      </c>
      <c r="G1451" s="2">
        <v>1</v>
      </c>
      <c r="H1451" s="2" t="inlineStr">
        <is>
          <t/>
        </is>
      </c>
      <c r="I1451" s="2" t="inlineStr">
        <is>
          <t>1080</t>
        </is>
      </c>
      <c r="J1451" s="4"/>
      <c r="K1451" s="2">
        <v>2</v>
      </c>
      <c r="L1451" s="6"/>
      <c r="M1451" s="2" t="str">
        <f>IF(J1451="",ROUND(I1451*(1-IF(ISBLANK(L1451),K1451,L1451)/100),2),ROUND(J1451*(1-IF(ISBLANK(L1451),K1451,L1451)/100),2))</f>
      </c>
      <c r="N1451" s="7" t="str">
        <f>IF(NOT(AND(J1451="",L1451="")),IF(OR(AND(L1451&lt;&gt;"",NOT(ISNUMBER(L1451))),IFERROR(MOD(L1451,1),1)&gt;0,AND(ISNUMBER(L1451),OR(L1451&lt;0,L1451&gt;95))),"Введите целое число от 0 до 95",IF(OR(AND(J1451&lt;&gt;"",NOT(ISNUMBER(J1451))),IFERROR(MOD(J1451,1),1)&gt;0,AND(ISNUMBER(J1451),OR(J1451&lt;50,J1451&gt;20000000))),"Введите целое число от 50 до 20000000",IF(NOT(ABS(IFERROR(VALUE(LEFT(M1451,FIND("-",M1451)-1)),M1451)*100-(5000+2000000000)/2)&lt;=ABS(5000-2000000000)/2),"Цена со скидкой должна быть от 50 до 20000000",IF(IFERROR(VALUE(LEFT(M1451,FIND("-",M1451)-1)),M1451)*200&lt;105840,"Вы уменьшили цену в несколько раз, товар попадет в карантин цен","")))),"")</f>
      </c>
    </row>
    <row r="1452">
      <c r="A1452" s="2" t="inlineStr">
        <is>
          <t>CuteShop</t>
        </is>
      </c>
      <c r="B1452" s="2" t="inlineStr">
        <is>
          <t>Аксессуары для рукоделия</t>
        </is>
      </c>
      <c r="C1452" s="2">
        <v>244615464</v>
      </c>
      <c r="D1452" s="2" t="inlineStr">
        <is>
          <t>Kab-Shkoln3</t>
        </is>
      </c>
      <c r="E1452" s="2" t="inlineStr">
        <is>
          <t>2040684471091</t>
        </is>
      </c>
      <c r="F1452" s="2">
        <v>0</v>
      </c>
      <c r="G1452" s="2">
        <v>0</v>
      </c>
      <c r="H1452" s="2" t="inlineStr">
        <is>
          <t/>
        </is>
      </c>
      <c r="I1452" s="2" t="inlineStr">
        <is>
          <t>430</t>
        </is>
      </c>
      <c r="J1452" s="4"/>
      <c r="K1452" s="2">
        <v>5</v>
      </c>
      <c r="L1452" s="6"/>
      <c r="M1452" s="2" t="str">
        <f>IF(J1452="",ROUND(I1452*(1-IF(ISBLANK(L1452),K1452,L1452)/100),2),ROUND(J1452*(1-IF(ISBLANK(L1452),K1452,L1452)/100),2))</f>
      </c>
      <c r="N1452" s="7" t="str">
        <f>IF(NOT(AND(J1452="",L1452="")),IF(OR(AND(L1452&lt;&gt;"",NOT(ISNUMBER(L1452))),IFERROR(MOD(L1452,1),1)&gt;0,AND(ISNUMBER(L1452),OR(L1452&lt;0,L1452&gt;95))),"Введите целое число от 0 до 95",IF(OR(AND(J1452&lt;&gt;"",NOT(ISNUMBER(J1452))),IFERROR(MOD(J1452,1),1)&gt;0,AND(ISNUMBER(J1452),OR(J1452&lt;50,J1452&gt;20000000))),"Введите целое число от 50 до 20000000",IF(NOT(ABS(IFERROR(VALUE(LEFT(M1452,FIND("-",M1452)-1)),M1452)*100-(5000+2000000000)/2)&lt;=ABS(5000-2000000000)/2),"Цена со скидкой должна быть от 50 до 20000000",IF(IFERROR(VALUE(LEFT(M1452,FIND("-",M1452)-1)),M1452)*190&lt;40850,"Вы уменьшили цену в несколько раз, товар попадет в карантин цен","")))),"")</f>
      </c>
    </row>
    <row r="1453">
      <c r="A1453" s="2" t="inlineStr">
        <is>
          <t>CuteShop</t>
        </is>
      </c>
      <c r="B1453" s="2" t="inlineStr">
        <is>
          <t>Ленты для рукоделия</t>
        </is>
      </c>
      <c r="C1453" s="2">
        <v>192225859</v>
      </c>
      <c r="D1453" s="2" t="inlineStr">
        <is>
          <t>Lenta-Rep-Zver-5</t>
        </is>
      </c>
      <c r="E1453" s="2" t="inlineStr">
        <is>
          <t>2039069413894</t>
        </is>
      </c>
      <c r="F1453" s="2">
        <v>0</v>
      </c>
      <c r="G1453" s="2">
        <v>0</v>
      </c>
      <c r="H1453" s="2" t="inlineStr">
        <is>
          <t/>
        </is>
      </c>
      <c r="I1453" s="2" t="inlineStr">
        <is>
          <t>330</t>
        </is>
      </c>
      <c r="J1453" s="4"/>
      <c r="K1453" s="2">
        <v>0</v>
      </c>
      <c r="L1453" s="6"/>
      <c r="M1453" s="2" t="str">
        <f>IF(J1453="",ROUND(I1453*(1-IF(ISBLANK(L1453),K1453,L1453)/100),2),ROUND(J1453*(1-IF(ISBLANK(L1453),K1453,L1453)/100),2))</f>
      </c>
      <c r="N1453" s="7" t="str">
        <f>IF(NOT(AND(J1453="",L1453="")),IF(OR(AND(L1453&lt;&gt;"",NOT(ISNUMBER(L1453))),IFERROR(MOD(L1453,1),1)&gt;0,AND(ISNUMBER(L1453),OR(L1453&lt;0,L1453&gt;95))),"Введите целое число от 0 до 95",IF(OR(AND(J1453&lt;&gt;"",NOT(ISNUMBER(J1453))),IFERROR(MOD(J1453,1),1)&gt;0,AND(ISNUMBER(J1453),OR(J1453&lt;50,J1453&gt;20000000))),"Введите целое число от 50 до 20000000",IF(NOT(ABS(IFERROR(VALUE(LEFT(M1453,FIND("-",M1453)-1)),M1453)*100-(5000+2000000000)/2)&lt;=ABS(5000-2000000000)/2),"Цена со скидкой должна быть от 50 до 20000000",IF(IFERROR(VALUE(LEFT(M1453,FIND("-",M1453)-1)),M1453)*190&lt;33000,"Вы уменьшили цену в несколько раз, товар попадет в карантин цен","")))),"")</f>
      </c>
    </row>
    <row r="1454">
      <c r="A1454" s="2" t="inlineStr">
        <is>
          <t>LYNXauto</t>
        </is>
      </c>
      <c r="B1454" s="2" t="inlineStr">
        <is>
          <t>Щетки стеклоочистителя</t>
        </is>
      </c>
      <c r="C1454" s="2">
        <v>211630043</v>
      </c>
      <c r="D1454" s="2" t="inlineStr">
        <is>
          <t>RIR-LR30A-C</t>
        </is>
      </c>
      <c r="E1454" s="2" t="inlineStr">
        <is>
          <t>2039540085404</t>
        </is>
      </c>
      <c r="F1454" s="2">
        <v>0</v>
      </c>
      <c r="G1454" s="2">
        <v>0</v>
      </c>
      <c r="H1454" s="2">
        <v>1</v>
      </c>
      <c r="I1454" s="2" t="inlineStr">
        <is>
          <t>700</t>
        </is>
      </c>
      <c r="J1454" s="4"/>
      <c r="K1454" s="2">
        <v>0</v>
      </c>
      <c r="L1454" s="6"/>
      <c r="M1454" s="2" t="str">
        <f>IF(J1454="",ROUND(I1454*(1-IF(ISBLANK(L1454),K1454,L1454)/100),2),ROUND(J1454*(1-IF(ISBLANK(L1454),K1454,L1454)/100),2))</f>
      </c>
      <c r="N1454" s="7" t="str">
        <f>IF(NOT(AND(J1454="",L1454="")),IF(OR(AND(L1454&lt;&gt;"",NOT(ISNUMBER(L1454))),IFERROR(MOD(L1454,1),1)&gt;0,AND(ISNUMBER(L1454),OR(L1454&lt;0,L1454&gt;95))),"Введите целое число от 0 до 95",IF(OR(AND(J1454&lt;&gt;"",NOT(ISNUMBER(J1454))),IFERROR(MOD(J1454,1),1)&gt;0,AND(ISNUMBER(J1454),OR(J1454&lt;50,J1454&gt;20000000))),"Введите целое число от 50 до 20000000",IF(NOT(ABS(IFERROR(VALUE(LEFT(M1454,FIND("-",M1454)-1)),M1454)*100-(5000+2000000000)/2)&lt;=ABS(5000-2000000000)/2),"Цена со скидкой должна быть от 50 до 20000000",IF(IFERROR(VALUE(LEFT(M1454,FIND("-",M1454)-1)),M1454)*200&lt;70000,"Вы уменьшили цену в несколько раз, товар попадет в карантин цен","")))),"")</f>
      </c>
    </row>
    <row r="1455">
      <c r="A1455" s="2" t="inlineStr">
        <is>
          <t>CuteShop</t>
        </is>
      </c>
      <c r="B1455" s="2" t="inlineStr">
        <is>
          <t>Ленты для рукоделия</t>
        </is>
      </c>
      <c r="C1455" s="2">
        <v>132279608</v>
      </c>
      <c r="D1455" s="2" t="inlineStr">
        <is>
          <t>Lenta-Rep-Kot</t>
        </is>
      </c>
      <c r="E1455" s="2" t="inlineStr">
        <is>
          <t>2037043094329</t>
        </is>
      </c>
      <c r="F1455" s="2">
        <v>0</v>
      </c>
      <c r="G1455" s="2">
        <v>0</v>
      </c>
      <c r="H1455" s="2">
        <v>0</v>
      </c>
      <c r="I1455" s="2" t="inlineStr">
        <is>
          <t>405</t>
        </is>
      </c>
      <c r="J1455" s="4"/>
      <c r="K1455" s="2">
        <v>0</v>
      </c>
      <c r="L1455" s="6"/>
      <c r="M1455" s="2" t="str">
        <f>IF(J1455="",ROUND(I1455*(1-IF(ISBLANK(L1455),K1455,L1455)/100),2),ROUND(J1455*(1-IF(ISBLANK(L1455),K1455,L1455)/100),2))</f>
      </c>
      <c r="N1455" s="7" t="str">
        <f>IF(NOT(AND(J1455="",L1455="")),IF(OR(AND(L1455&lt;&gt;"",NOT(ISNUMBER(L1455))),IFERROR(MOD(L1455,1),1)&gt;0,AND(ISNUMBER(L1455),OR(L1455&lt;0,L1455&gt;95))),"Введите целое число от 0 до 95",IF(OR(AND(J1455&lt;&gt;"",NOT(ISNUMBER(J1455))),IFERROR(MOD(J1455,1),1)&gt;0,AND(ISNUMBER(J1455),OR(J1455&lt;50,J1455&gt;20000000))),"Введите целое число от 50 до 20000000",IF(NOT(ABS(IFERROR(VALUE(LEFT(M1455,FIND("-",M1455)-1)),M1455)*100-(5000+2000000000)/2)&lt;=ABS(5000-2000000000)/2),"Цена со скидкой должна быть от 50 до 20000000",IF(IFERROR(VALUE(LEFT(M1455,FIND("-",M1455)-1)),M1455)*190&lt;40500,"Вы уменьшили цену в несколько раз, товар попадет в карантин цен","")))),"")</f>
      </c>
    </row>
    <row r="1456">
      <c r="A1456" s="2" t="inlineStr">
        <is>
          <t>CuteShop</t>
        </is>
      </c>
      <c r="B1456" s="2" t="inlineStr">
        <is>
          <t>Ленты для рукоделия</t>
        </is>
      </c>
      <c r="C1456" s="2">
        <v>212588600</v>
      </c>
      <c r="D1456" s="2" t="inlineStr">
        <is>
          <t>Lenta-Rep2-nabor5-6,8</t>
        </is>
      </c>
      <c r="E1456" s="2" t="inlineStr">
        <is>
          <t>2039562106149</t>
        </is>
      </c>
      <c r="F1456" s="2">
        <v>0</v>
      </c>
      <c r="G1456" s="2">
        <v>0</v>
      </c>
      <c r="H1456" s="2" t="inlineStr">
        <is>
          <t/>
        </is>
      </c>
      <c r="I1456" s="2" t="inlineStr">
        <is>
          <t>520</t>
        </is>
      </c>
      <c r="J1456" s="4"/>
      <c r="K1456" s="2">
        <v>0</v>
      </c>
      <c r="L1456" s="6"/>
      <c r="M1456" s="2" t="str">
        <f>IF(J1456="",ROUND(I1456*(1-IF(ISBLANK(L1456),K1456,L1456)/100),2),ROUND(J1456*(1-IF(ISBLANK(L1456),K1456,L1456)/100),2))</f>
      </c>
      <c r="N1456" s="7" t="str">
        <f>IF(NOT(AND(J1456="",L1456="")),IF(OR(AND(L1456&lt;&gt;"",NOT(ISNUMBER(L1456))),IFERROR(MOD(L1456,1),1)&gt;0,AND(ISNUMBER(L1456),OR(L1456&lt;0,L1456&gt;95))),"Введите целое число от 0 до 95",IF(OR(AND(J1456&lt;&gt;"",NOT(ISNUMBER(J1456))),IFERROR(MOD(J1456,1),1)&gt;0,AND(ISNUMBER(J1456),OR(J1456&lt;50,J1456&gt;20000000))),"Введите целое число от 50 до 20000000",IF(NOT(ABS(IFERROR(VALUE(LEFT(M1456,FIND("-",M1456)-1)),M1456)*100-(5000+2000000000)/2)&lt;=ABS(5000-2000000000)/2),"Цена со скидкой должна быть от 50 до 20000000",IF(IFERROR(VALUE(LEFT(M1456,FIND("-",M1456)-1)),M1456)*190&lt;52000,"Вы уменьшили цену в несколько раз, товар попадет в карантин цен","")))),"")</f>
      </c>
    </row>
    <row r="1457">
      <c r="A1457" s="2" t="inlineStr">
        <is>
          <t>Bosch</t>
        </is>
      </c>
      <c r="B1457" s="2" t="inlineStr">
        <is>
          <t>Щетки стеклоочистителя</t>
        </is>
      </c>
      <c r="C1457" s="2">
        <v>211614558</v>
      </c>
      <c r="D1457" s="2" t="inlineStr">
        <is>
          <t>RIR-3397004990-F</t>
        </is>
      </c>
      <c r="E1457" s="2" t="inlineStr">
        <is>
          <t>2039539815234</t>
        </is>
      </c>
      <c r="F1457" s="2">
        <v>0</v>
      </c>
      <c r="G1457" s="2">
        <v>1</v>
      </c>
      <c r="H1457" s="2" t="inlineStr">
        <is>
          <t/>
        </is>
      </c>
      <c r="I1457" s="2" t="inlineStr">
        <is>
          <t>1080</t>
        </is>
      </c>
      <c r="J1457" s="4"/>
      <c r="K1457" s="2">
        <v>2</v>
      </c>
      <c r="L1457" s="6"/>
      <c r="M1457" s="2" t="str">
        <f>IF(J1457="",ROUND(I1457*(1-IF(ISBLANK(L1457),K1457,L1457)/100),2),ROUND(J1457*(1-IF(ISBLANK(L1457),K1457,L1457)/100),2))</f>
      </c>
      <c r="N1457" s="7" t="str">
        <f>IF(NOT(AND(J1457="",L1457="")),IF(OR(AND(L1457&lt;&gt;"",NOT(ISNUMBER(L1457))),IFERROR(MOD(L1457,1),1)&gt;0,AND(ISNUMBER(L1457),OR(L1457&lt;0,L1457&gt;95))),"Введите целое число от 0 до 95",IF(OR(AND(J1457&lt;&gt;"",NOT(ISNUMBER(J1457))),IFERROR(MOD(J1457,1),1)&gt;0,AND(ISNUMBER(J1457),OR(J1457&lt;50,J1457&gt;20000000))),"Введите целое число от 50 до 20000000",IF(NOT(ABS(IFERROR(VALUE(LEFT(M1457,FIND("-",M1457)-1)),M1457)*100-(5000+2000000000)/2)&lt;=ABS(5000-2000000000)/2),"Цена со скидкой должна быть от 50 до 20000000",IF(IFERROR(VALUE(LEFT(M1457,FIND("-",M1457)-1)),M1457)*200&lt;105840,"Вы уменьшили цену в несколько раз, товар попадет в карантин цен","")))),"")</f>
      </c>
    </row>
    <row r="1458">
      <c r="A1458" s="2" t="inlineStr">
        <is>
          <t>CuteShop</t>
        </is>
      </c>
      <c r="B1458" s="2" t="inlineStr">
        <is>
          <t>Аксессуары для рукоделия</t>
        </is>
      </c>
      <c r="C1458" s="2">
        <v>132186618</v>
      </c>
      <c r="D1458" s="2" t="inlineStr">
        <is>
          <t>Podves-Mishki-12-3variant</t>
        </is>
      </c>
      <c r="E1458" s="2" t="inlineStr">
        <is>
          <t>2037042104609</t>
        </is>
      </c>
      <c r="F1458" s="2">
        <v>0</v>
      </c>
      <c r="G1458" s="2">
        <v>0</v>
      </c>
      <c r="H1458" s="2" t="inlineStr">
        <is>
          <t/>
        </is>
      </c>
      <c r="I1458" s="2" t="inlineStr">
        <is>
          <t>428</t>
        </is>
      </c>
      <c r="J1458" s="4"/>
      <c r="K1458" s="2">
        <v>0</v>
      </c>
      <c r="L1458" s="6"/>
      <c r="M1458" s="2" t="str">
        <f>IF(J1458="",ROUND(I1458*(1-IF(ISBLANK(L1458),K1458,L1458)/100),2),ROUND(J1458*(1-IF(ISBLANK(L1458),K1458,L1458)/100),2))</f>
      </c>
      <c r="N1458" s="7" t="str">
        <f>IF(NOT(AND(J1458="",L1458="")),IF(OR(AND(L1458&lt;&gt;"",NOT(ISNUMBER(L1458))),IFERROR(MOD(L1458,1),1)&gt;0,AND(ISNUMBER(L1458),OR(L1458&lt;0,L1458&gt;95))),"Введите целое число от 0 до 95",IF(OR(AND(J1458&lt;&gt;"",NOT(ISNUMBER(J1458))),IFERROR(MOD(J1458,1),1)&gt;0,AND(ISNUMBER(J1458),OR(J1458&lt;50,J1458&gt;20000000))),"Введите целое число от 50 до 20000000",IF(NOT(ABS(IFERROR(VALUE(LEFT(M1458,FIND("-",M1458)-1)),M1458)*100-(5000+2000000000)/2)&lt;=ABS(5000-2000000000)/2),"Цена со скидкой должна быть от 50 до 20000000",IF(IFERROR(VALUE(LEFT(M1458,FIND("-",M1458)-1)),M1458)*190&lt;42800,"Вы уменьшили цену в несколько раз, товар попадет в карантин цен","")))),"")</f>
      </c>
    </row>
    <row r="1459">
      <c r="A1459" s="2" t="inlineStr">
        <is>
          <t>CuteShop</t>
        </is>
      </c>
      <c r="B1459" s="2" t="inlineStr">
        <is>
          <t>Аксессуары для рукоделия</t>
        </is>
      </c>
      <c r="C1459" s="2">
        <v>244620753</v>
      </c>
      <c r="D1459" s="2" t="inlineStr">
        <is>
          <t>Kab-Princ1-10</t>
        </is>
      </c>
      <c r="E1459" s="2" t="inlineStr">
        <is>
          <t>2040684559621</t>
        </is>
      </c>
      <c r="F1459" s="2">
        <v>0</v>
      </c>
      <c r="G1459" s="2">
        <v>0</v>
      </c>
      <c r="H1459" s="2" t="inlineStr">
        <is>
          <t/>
        </is>
      </c>
      <c r="I1459" s="2" t="inlineStr">
        <is>
          <t>390</t>
        </is>
      </c>
      <c r="J1459" s="4"/>
      <c r="K1459" s="2">
        <v>10</v>
      </c>
      <c r="L1459" s="6"/>
      <c r="M1459" s="2" t="str">
        <f>IF(J1459="",ROUND(I1459*(1-IF(ISBLANK(L1459),K1459,L1459)/100),2),ROUND(J1459*(1-IF(ISBLANK(L1459),K1459,L1459)/100),2))</f>
      </c>
      <c r="N1459" s="7" t="str">
        <f>IF(NOT(AND(J1459="",L1459="")),IF(OR(AND(L1459&lt;&gt;"",NOT(ISNUMBER(L1459))),IFERROR(MOD(L1459,1),1)&gt;0,AND(ISNUMBER(L1459),OR(L1459&lt;0,L1459&gt;95))),"Введите целое число от 0 до 95",IF(OR(AND(J1459&lt;&gt;"",NOT(ISNUMBER(J1459))),IFERROR(MOD(J1459,1),1)&gt;0,AND(ISNUMBER(J1459),OR(J1459&lt;50,J1459&gt;20000000))),"Введите целое число от 50 до 20000000",IF(NOT(ABS(IFERROR(VALUE(LEFT(M1459,FIND("-",M1459)-1)),M1459)*100-(5000+2000000000)/2)&lt;=ABS(5000-2000000000)/2),"Цена со скидкой должна быть от 50 до 20000000",IF(IFERROR(VALUE(LEFT(M1459,FIND("-",M1459)-1)),M1459)*190&lt;35100,"Вы уменьшили цену в несколько раз, товар попадет в карантин цен","")))),"")</f>
      </c>
    </row>
    <row r="1460">
      <c r="A1460" s="2" t="inlineStr">
        <is>
          <t>CuteShop</t>
        </is>
      </c>
      <c r="B1460" s="2" t="inlineStr">
        <is>
          <t>Аксессуары для рукоделия</t>
        </is>
      </c>
      <c r="C1460" s="2">
        <v>136525555</v>
      </c>
      <c r="D1460" s="2" t="inlineStr">
        <is>
          <t>Kab-Mix3</t>
        </is>
      </c>
      <c r="E1460" s="2" t="inlineStr">
        <is>
          <t>2037188091832</t>
        </is>
      </c>
      <c r="F1460" s="2">
        <v>0</v>
      </c>
      <c r="G1460" s="2">
        <v>0</v>
      </c>
      <c r="H1460" s="2">
        <v>0</v>
      </c>
      <c r="I1460" s="2" t="inlineStr">
        <is>
          <t>380</t>
        </is>
      </c>
      <c r="J1460" s="4"/>
      <c r="K1460" s="2">
        <v>0</v>
      </c>
      <c r="L1460" s="6"/>
      <c r="M1460" s="2" t="str">
        <f>IF(J1460="",ROUND(I1460*(1-IF(ISBLANK(L1460),K1460,L1460)/100),2),ROUND(J1460*(1-IF(ISBLANK(L1460),K1460,L1460)/100),2))</f>
      </c>
      <c r="N1460" s="7" t="str">
        <f>IF(NOT(AND(J1460="",L1460="")),IF(OR(AND(L1460&lt;&gt;"",NOT(ISNUMBER(L1460))),IFERROR(MOD(L1460,1),1)&gt;0,AND(ISNUMBER(L1460),OR(L1460&lt;0,L1460&gt;95))),"Введите целое число от 0 до 95",IF(OR(AND(J1460&lt;&gt;"",NOT(ISNUMBER(J1460))),IFERROR(MOD(J1460,1),1)&gt;0,AND(ISNUMBER(J1460),OR(J1460&lt;50,J1460&gt;20000000))),"Введите целое число от 50 до 20000000",IF(NOT(ABS(IFERROR(VALUE(LEFT(M1460,FIND("-",M1460)-1)),M1460)*100-(5000+2000000000)/2)&lt;=ABS(5000-2000000000)/2),"Цена со скидкой должна быть от 50 до 20000000",IF(IFERROR(VALUE(LEFT(M1460,FIND("-",M1460)-1)),M1460)*190&lt;38000,"Вы уменьшили цену в несколько раз, товар попадет в карантин цен","")))),"")</f>
      </c>
    </row>
    <row r="1461">
      <c r="A1461" s="2" t="inlineStr">
        <is>
          <t/>
        </is>
      </c>
      <c r="B1461" s="2" t="inlineStr">
        <is>
          <t>Ткани для рукоделия</t>
        </is>
      </c>
      <c r="C1461" s="2">
        <v>192207733</v>
      </c>
      <c r="D1461" s="2" t="inlineStr">
        <is>
          <t>Fatin-Goroh15-Moloch-3,3</t>
        </is>
      </c>
      <c r="E1461" s="2" t="inlineStr">
        <is>
          <t>2039065004188</t>
        </is>
      </c>
      <c r="F1461" s="2">
        <v>0</v>
      </c>
      <c r="G1461" s="2">
        <v>0</v>
      </c>
      <c r="H1461" s="2" t="inlineStr">
        <is>
          <t/>
        </is>
      </c>
      <c r="I1461" s="2" t="inlineStr">
        <is>
          <t>350</t>
        </is>
      </c>
      <c r="J1461" s="4"/>
      <c r="K1461" s="2">
        <v>0</v>
      </c>
      <c r="L1461" s="6"/>
      <c r="M1461" s="2" t="str">
        <f>IF(J1461="",ROUND(I1461*(1-IF(ISBLANK(L1461),K1461,L1461)/100),2),ROUND(J1461*(1-IF(ISBLANK(L1461),K1461,L1461)/100),2))</f>
      </c>
      <c r="N1461" s="7" t="str">
        <f>IF(NOT(AND(J1461="",L1461="")),IF(OR(AND(L1461&lt;&gt;"",NOT(ISNUMBER(L1461))),IFERROR(MOD(L1461,1),1)&gt;0,AND(ISNUMBER(L1461),OR(L1461&lt;0,L1461&gt;95))),"Введите целое число от 0 до 95",IF(OR(AND(J1461&lt;&gt;"",NOT(ISNUMBER(J1461))),IFERROR(MOD(J1461,1),1)&gt;0,AND(ISNUMBER(J1461),OR(J1461&lt;50,J1461&gt;20000000))),"Введите целое число от 50 до 20000000",IF(NOT(ABS(IFERROR(VALUE(LEFT(M1461,FIND("-",M1461)-1)),M1461)*100-(5000+2000000000)/2)&lt;=ABS(5000-2000000000)/2),"Цена со скидкой должна быть от 50 до 20000000",IF(IFERROR(VALUE(LEFT(M1461,FIND("-",M1461)-1)),M1461)*190&lt;35000,"Вы уменьшили цену в несколько раз, товар попадет в карантин цен","")))),"")</f>
      </c>
    </row>
    <row r="1462">
      <c r="A1462" s="2" t="inlineStr">
        <is>
          <t>CuteShop</t>
        </is>
      </c>
      <c r="B1462" s="2" t="inlineStr">
        <is>
          <t>Аксессуары для рукоделия</t>
        </is>
      </c>
      <c r="C1462" s="2">
        <v>138946006</v>
      </c>
      <c r="D1462" s="2" t="inlineStr">
        <is>
          <t>Ser-Straz-Azhursereb-2</t>
        </is>
      </c>
      <c r="E1462" s="2" t="inlineStr">
        <is>
          <t>2037255604965</t>
        </is>
      </c>
      <c r="F1462" s="2">
        <v>0</v>
      </c>
      <c r="G1462" s="2">
        <v>1</v>
      </c>
      <c r="H1462" s="2" t="inlineStr">
        <is>
          <t/>
        </is>
      </c>
      <c r="I1462" s="2" t="inlineStr">
        <is>
          <t>320</t>
        </is>
      </c>
      <c r="J1462" s="4"/>
      <c r="K1462" s="2">
        <v>10</v>
      </c>
      <c r="L1462" s="6"/>
      <c r="M1462" s="2" t="str">
        <f>IF(J1462="",ROUND(I1462*(1-IF(ISBLANK(L1462),K1462,L1462)/100),2),ROUND(J1462*(1-IF(ISBLANK(L1462),K1462,L1462)/100),2))</f>
      </c>
      <c r="N1462" s="7" t="str">
        <f>IF(NOT(AND(J1462="",L1462="")),IF(OR(AND(L1462&lt;&gt;"",NOT(ISNUMBER(L1462))),IFERROR(MOD(L1462,1),1)&gt;0,AND(ISNUMBER(L1462),OR(L1462&lt;0,L1462&gt;95))),"Введите целое число от 0 до 95",IF(OR(AND(J1462&lt;&gt;"",NOT(ISNUMBER(J1462))),IFERROR(MOD(J1462,1),1)&gt;0,AND(ISNUMBER(J1462),OR(J1462&lt;50,J1462&gt;20000000))),"Введите целое число от 50 до 20000000",IF(NOT(ABS(IFERROR(VALUE(LEFT(M1462,FIND("-",M1462)-1)),M1462)*100-(5000+2000000000)/2)&lt;=ABS(5000-2000000000)/2),"Цена со скидкой должна быть от 50 до 20000000",IF(IFERROR(VALUE(LEFT(M1462,FIND("-",M1462)-1)),M1462)*190&lt;28800,"Вы уменьшили цену в несколько раз, товар попадет в карантин цен","")))),"")</f>
      </c>
    </row>
    <row r="1463">
      <c r="A1463" s="2" t="inlineStr">
        <is>
          <t>CuteShop</t>
        </is>
      </c>
      <c r="B1463" s="2" t="inlineStr">
        <is>
          <t>Аксессуары для рукоделия</t>
        </is>
      </c>
      <c r="C1463" s="2">
        <v>118222412</v>
      </c>
      <c r="D1463" s="2" t="inlineStr">
        <is>
          <t>Podves-Mishki-18-1cvet</t>
        </is>
      </c>
      <c r="E1463" s="2" t="inlineStr">
        <is>
          <t>2042798173625</t>
        </is>
      </c>
      <c r="F1463" s="2">
        <v>0</v>
      </c>
      <c r="G1463" s="2">
        <v>0</v>
      </c>
      <c r="H1463" s="2">
        <v>0</v>
      </c>
      <c r="I1463" s="2" t="inlineStr">
        <is>
          <t>464</t>
        </is>
      </c>
      <c r="J1463" s="4"/>
      <c r="K1463" s="2">
        <v>0</v>
      </c>
      <c r="L1463" s="6"/>
      <c r="M1463" s="2" t="str">
        <f>IF(J1463="",ROUND(I1463*(1-IF(ISBLANK(L1463),K1463,L1463)/100),2),ROUND(J1463*(1-IF(ISBLANK(L1463),K1463,L1463)/100),2))</f>
      </c>
      <c r="N1463" s="7" t="str">
        <f>IF(NOT(AND(J1463="",L1463="")),IF(OR(AND(L1463&lt;&gt;"",NOT(ISNUMBER(L1463))),IFERROR(MOD(L1463,1),1)&gt;0,AND(ISNUMBER(L1463),OR(L1463&lt;0,L1463&gt;95))),"Введите целое число от 0 до 95",IF(OR(AND(J1463&lt;&gt;"",NOT(ISNUMBER(J1463))),IFERROR(MOD(J1463,1),1)&gt;0,AND(ISNUMBER(J1463),OR(J1463&lt;50,J1463&gt;20000000))),"Введите целое число от 50 до 20000000",IF(NOT(ABS(IFERROR(VALUE(LEFT(M1463,FIND("-",M1463)-1)),M1463)*100-(5000+2000000000)/2)&lt;=ABS(5000-2000000000)/2),"Цена со скидкой должна быть от 50 до 20000000",IF(IFERROR(VALUE(LEFT(M1463,FIND("-",M1463)-1)),M1463)*190&lt;46400,"Вы уменьшили цену в несколько раз, товар попадет в карантин цен","")))),"")</f>
      </c>
    </row>
    <row r="1464">
      <c r="A1464" s="2" t="inlineStr">
        <is>
          <t>CuteShop</t>
        </is>
      </c>
      <c r="B1464" s="2" t="inlineStr">
        <is>
          <t>Ленты для рукоделия</t>
        </is>
      </c>
      <c r="C1464" s="2">
        <v>191695386</v>
      </c>
      <c r="D1464" s="2" t="inlineStr">
        <is>
          <t>Lenta-Rep-Snezh-BelZol</t>
        </is>
      </c>
      <c r="E1464" s="2" t="inlineStr">
        <is>
          <t>2039048606583</t>
        </is>
      </c>
      <c r="F1464" s="2">
        <v>0</v>
      </c>
      <c r="G1464" s="2">
        <v>0</v>
      </c>
      <c r="H1464" s="2" t="inlineStr">
        <is>
          <t/>
        </is>
      </c>
      <c r="I1464" s="2" t="inlineStr">
        <is>
          <t>400</t>
        </is>
      </c>
      <c r="J1464" s="4"/>
      <c r="K1464" s="2">
        <v>0</v>
      </c>
      <c r="L1464" s="6"/>
      <c r="M1464" s="2" t="str">
        <f>IF(J1464="",ROUND(I1464*(1-IF(ISBLANK(L1464),K1464,L1464)/100),2),ROUND(J1464*(1-IF(ISBLANK(L1464),K1464,L1464)/100),2))</f>
      </c>
      <c r="N1464" s="7" t="str">
        <f>IF(NOT(AND(J1464="",L1464="")),IF(OR(AND(L1464&lt;&gt;"",NOT(ISNUMBER(L1464))),IFERROR(MOD(L1464,1),1)&gt;0,AND(ISNUMBER(L1464),OR(L1464&lt;0,L1464&gt;95))),"Введите целое число от 0 до 95",IF(OR(AND(J1464&lt;&gt;"",NOT(ISNUMBER(J1464))),IFERROR(MOD(J1464,1),1)&gt;0,AND(ISNUMBER(J1464),OR(J1464&lt;50,J1464&gt;20000000))),"Введите целое число от 50 до 20000000",IF(NOT(ABS(IFERROR(VALUE(LEFT(M1464,FIND("-",M1464)-1)),M1464)*100-(5000+2000000000)/2)&lt;=ABS(5000-2000000000)/2),"Цена со скидкой должна быть от 50 до 20000000",IF(IFERROR(VALUE(LEFT(M1464,FIND("-",M1464)-1)),M1464)*190&lt;40000,"Вы уменьшили цену в несколько раз, товар попадет в карантин цен","")))),"")</f>
      </c>
    </row>
    <row r="1465">
      <c r="A1465" s="2" t="inlineStr">
        <is>
          <t>CuteShop</t>
        </is>
      </c>
      <c r="B1465" s="2" t="inlineStr">
        <is>
          <t>Бусины</t>
        </is>
      </c>
      <c r="C1465" s="2">
        <v>151572164</v>
      </c>
      <c r="D1465" s="2" t="inlineStr">
        <is>
          <t>Bus-akril-mix-420</t>
        </is>
      </c>
      <c r="E1465" s="2" t="inlineStr">
        <is>
          <t>2037600497624</t>
        </is>
      </c>
      <c r="F1465" s="2">
        <v>0</v>
      </c>
      <c r="G1465" s="2">
        <v>0</v>
      </c>
      <c r="H1465" s="2">
        <v>0</v>
      </c>
      <c r="I1465" s="2" t="inlineStr">
        <is>
          <t>570</t>
        </is>
      </c>
      <c r="J1465" s="4"/>
      <c r="K1465" s="2">
        <v>0</v>
      </c>
      <c r="L1465" s="6"/>
      <c r="M1465" s="2" t="str">
        <f>IF(J1465="",ROUND(I1465*(1-IF(ISBLANK(L1465),K1465,L1465)/100),2),ROUND(J1465*(1-IF(ISBLANK(L1465),K1465,L1465)/100),2))</f>
      </c>
      <c r="N1465" s="7" t="str">
        <f>IF(NOT(AND(J1465="",L1465="")),IF(OR(AND(L1465&lt;&gt;"",NOT(ISNUMBER(L1465))),IFERROR(MOD(L1465,1),1)&gt;0,AND(ISNUMBER(L1465),OR(L1465&lt;0,L1465&gt;95))),"Введите целое число от 0 до 95",IF(OR(AND(J1465&lt;&gt;"",NOT(ISNUMBER(J1465))),IFERROR(MOD(J1465,1),1)&gt;0,AND(ISNUMBER(J1465),OR(J1465&lt;50,J1465&gt;20000000))),"Введите целое число от 50 до 20000000",IF(NOT(ABS(IFERROR(VALUE(LEFT(M1465,FIND("-",M1465)-1)),M1465)*100-(5000+2000000000)/2)&lt;=ABS(5000-2000000000)/2),"Цена со скидкой должна быть от 50 до 20000000",IF(IFERROR(VALUE(LEFT(M1465,FIND("-",M1465)-1)),M1465)*190&lt;57000,"Вы уменьшили цену в несколько раз, товар попадет в карантин цен","")))),"")</f>
      </c>
    </row>
    <row r="1466">
      <c r="A1466" s="2" t="inlineStr">
        <is>
          <t>CuteShop</t>
        </is>
      </c>
      <c r="B1466" s="2" t="inlineStr">
        <is>
          <t>Бусины</t>
        </is>
      </c>
      <c r="C1466" s="2">
        <v>222800095</v>
      </c>
      <c r="D1466" s="2" t="inlineStr">
        <is>
          <t>Rond-NebGol-6-50</t>
        </is>
      </c>
      <c r="E1466" s="2" t="inlineStr">
        <is>
          <t>2039800736527</t>
        </is>
      </c>
      <c r="F1466" s="2">
        <v>0</v>
      </c>
      <c r="G1466" s="2">
        <v>0</v>
      </c>
      <c r="H1466" s="2" t="inlineStr">
        <is>
          <t/>
        </is>
      </c>
      <c r="I1466" s="2" t="inlineStr">
        <is>
          <t>300</t>
        </is>
      </c>
      <c r="J1466" s="4"/>
      <c r="K1466" s="2">
        <v>0</v>
      </c>
      <c r="L1466" s="6"/>
      <c r="M1466" s="2" t="str">
        <f>IF(J1466="",ROUND(I1466*(1-IF(ISBLANK(L1466),K1466,L1466)/100),2),ROUND(J1466*(1-IF(ISBLANK(L1466),K1466,L1466)/100),2))</f>
      </c>
      <c r="N1466" s="7" t="str">
        <f>IF(NOT(AND(J1466="",L1466="")),IF(OR(AND(L1466&lt;&gt;"",NOT(ISNUMBER(L1466))),IFERROR(MOD(L1466,1),1)&gt;0,AND(ISNUMBER(L1466),OR(L1466&lt;0,L1466&gt;95))),"Введите целое число от 0 до 95",IF(OR(AND(J1466&lt;&gt;"",NOT(ISNUMBER(J1466))),IFERROR(MOD(J1466,1),1)&gt;0,AND(ISNUMBER(J1466),OR(J1466&lt;50,J1466&gt;20000000))),"Введите целое число от 50 до 20000000",IF(NOT(ABS(IFERROR(VALUE(LEFT(M1466,FIND("-",M1466)-1)),M1466)*100-(5000+2000000000)/2)&lt;=ABS(5000-2000000000)/2),"Цена со скидкой должна быть от 50 до 20000000",IF(IFERROR(VALUE(LEFT(M1466,FIND("-",M1466)-1)),M1466)*190&lt;30000,"Вы уменьшили цену в несколько раз, товар попадет в карантин цен","")))),"")</f>
      </c>
    </row>
    <row r="1467">
      <c r="A1467" s="2" t="inlineStr">
        <is>
          <t/>
        </is>
      </c>
      <c r="B1467" s="2" t="inlineStr">
        <is>
          <t>Ткани для рукоделия</t>
        </is>
      </c>
      <c r="C1467" s="2">
        <v>189550250</v>
      </c>
      <c r="D1467" s="2" t="inlineStr">
        <is>
          <t>Fatin-Goroh15-Gol-5</t>
        </is>
      </c>
      <c r="E1467" s="2" t="inlineStr">
        <is>
          <t>2038979488862</t>
        </is>
      </c>
      <c r="F1467" s="2">
        <v>0</v>
      </c>
      <c r="G1467" s="2">
        <v>0</v>
      </c>
      <c r="H1467" s="2" t="inlineStr">
        <is>
          <t/>
        </is>
      </c>
      <c r="I1467" s="2" t="inlineStr">
        <is>
          <t>340</t>
        </is>
      </c>
      <c r="J1467" s="4"/>
      <c r="K1467" s="2">
        <v>0</v>
      </c>
      <c r="L1467" s="6"/>
      <c r="M1467" s="2" t="str">
        <f>IF(J1467="",ROUND(I1467*(1-IF(ISBLANK(L1467),K1467,L1467)/100),2),ROUND(J1467*(1-IF(ISBLANK(L1467),K1467,L1467)/100),2))</f>
      </c>
      <c r="N1467" s="7" t="str">
        <f>IF(NOT(AND(J1467="",L1467="")),IF(OR(AND(L1467&lt;&gt;"",NOT(ISNUMBER(L1467))),IFERROR(MOD(L1467,1),1)&gt;0,AND(ISNUMBER(L1467),OR(L1467&lt;0,L1467&gt;95))),"Введите целое число от 0 до 95",IF(OR(AND(J1467&lt;&gt;"",NOT(ISNUMBER(J1467))),IFERROR(MOD(J1467,1),1)&gt;0,AND(ISNUMBER(J1467),OR(J1467&lt;50,J1467&gt;20000000))),"Введите целое число от 50 до 20000000",IF(NOT(ABS(IFERROR(VALUE(LEFT(M1467,FIND("-",M1467)-1)),M1467)*100-(5000+2000000000)/2)&lt;=ABS(5000-2000000000)/2),"Цена со скидкой должна быть от 50 до 20000000",IF(IFERROR(VALUE(LEFT(M1467,FIND("-",M1467)-1)),M1467)*190&lt;34000,"Вы уменьшили цену в несколько раз, товар попадет в карантин цен","")))),"")</f>
      </c>
    </row>
    <row r="1468">
      <c r="A1468" s="2" t="inlineStr">
        <is>
          <t>CuteShop</t>
        </is>
      </c>
      <c r="B1468" s="2" t="inlineStr">
        <is>
          <t>Бусины</t>
        </is>
      </c>
      <c r="C1468" s="2">
        <v>194510381</v>
      </c>
      <c r="D1468" s="2" t="inlineStr">
        <is>
          <t>Bus-Mix-Mix-100</t>
        </is>
      </c>
      <c r="E1468" s="2" t="inlineStr">
        <is>
          <t>2039125186595</t>
        </is>
      </c>
      <c r="F1468" s="2">
        <v>0</v>
      </c>
      <c r="G1468" s="2">
        <v>0</v>
      </c>
      <c r="H1468" s="2" t="inlineStr">
        <is>
          <t/>
        </is>
      </c>
      <c r="I1468" s="2" t="inlineStr">
        <is>
          <t>280</t>
        </is>
      </c>
      <c r="J1468" s="4"/>
      <c r="K1468" s="2">
        <v>0</v>
      </c>
      <c r="L1468" s="6"/>
      <c r="M1468" s="2" t="str">
        <f>IF(J1468="",ROUND(I1468*(1-IF(ISBLANK(L1468),K1468,L1468)/100),2),ROUND(J1468*(1-IF(ISBLANK(L1468),K1468,L1468)/100),2))</f>
      </c>
      <c r="N1468" s="7" t="str">
        <f>IF(NOT(AND(J1468="",L1468="")),IF(OR(AND(L1468&lt;&gt;"",NOT(ISNUMBER(L1468))),IFERROR(MOD(L1468,1),1)&gt;0,AND(ISNUMBER(L1468),OR(L1468&lt;0,L1468&gt;95))),"Введите целое число от 0 до 95",IF(OR(AND(J1468&lt;&gt;"",NOT(ISNUMBER(J1468))),IFERROR(MOD(J1468,1),1)&gt;0,AND(ISNUMBER(J1468),OR(J1468&lt;50,J1468&gt;20000000))),"Введите целое число от 50 до 20000000",IF(NOT(ABS(IFERROR(VALUE(LEFT(M1468,FIND("-",M1468)-1)),M1468)*100-(5000+2000000000)/2)&lt;=ABS(5000-2000000000)/2),"Цена со скидкой должна быть от 50 до 20000000",IF(IFERROR(VALUE(LEFT(M1468,FIND("-",M1468)-1)),M1468)*190&lt;28000,"Вы уменьшили цену в несколько раз, товар попадет в карантин цен","")))),"")</f>
      </c>
    </row>
    <row r="1469">
      <c r="A1469" s="2" t="inlineStr">
        <is>
          <t>CuteShop</t>
        </is>
      </c>
      <c r="B1469" s="2" t="inlineStr">
        <is>
          <t>Бусины</t>
        </is>
      </c>
      <c r="C1469" s="2">
        <v>151583796</v>
      </c>
      <c r="D1469" s="2" t="inlineStr">
        <is>
          <t>Bus-akril-8mm-temnsin-500</t>
        </is>
      </c>
      <c r="E1469" s="2" t="inlineStr">
        <is>
          <t>2037600725499</t>
        </is>
      </c>
      <c r="F1469" s="2">
        <v>0</v>
      </c>
      <c r="G1469" s="2">
        <v>0</v>
      </c>
      <c r="H1469" s="2" t="inlineStr">
        <is>
          <t/>
        </is>
      </c>
      <c r="I1469" s="2" t="inlineStr">
        <is>
          <t>620</t>
        </is>
      </c>
      <c r="J1469" s="4"/>
      <c r="K1469" s="2">
        <v>5</v>
      </c>
      <c r="L1469" s="6"/>
      <c r="M1469" s="2" t="str">
        <f>IF(J1469="",ROUND(I1469*(1-IF(ISBLANK(L1469),K1469,L1469)/100),2),ROUND(J1469*(1-IF(ISBLANK(L1469),K1469,L1469)/100),2))</f>
      </c>
      <c r="N1469" s="7" t="str">
        <f>IF(NOT(AND(J1469="",L1469="")),IF(OR(AND(L1469&lt;&gt;"",NOT(ISNUMBER(L1469))),IFERROR(MOD(L1469,1),1)&gt;0,AND(ISNUMBER(L1469),OR(L1469&lt;0,L1469&gt;95))),"Введите целое число от 0 до 95",IF(OR(AND(J1469&lt;&gt;"",NOT(ISNUMBER(J1469))),IFERROR(MOD(J1469,1),1)&gt;0,AND(ISNUMBER(J1469),OR(J1469&lt;50,J1469&gt;20000000))),"Введите целое число от 50 до 20000000",IF(NOT(ABS(IFERROR(VALUE(LEFT(M1469,FIND("-",M1469)-1)),M1469)*100-(5000+2000000000)/2)&lt;=ABS(5000-2000000000)/2),"Цена со скидкой должна быть от 50 до 20000000",IF(IFERROR(VALUE(LEFT(M1469,FIND("-",M1469)-1)),M1469)*190&lt;58900,"Вы уменьшили цену в несколько раз, товар попадет в карантин цен","")))),"")</f>
      </c>
    </row>
    <row r="1470">
      <c r="A1470" s="2" t="inlineStr">
        <is>
          <t>CuteShop</t>
        </is>
      </c>
      <c r="B1470" s="2" t="inlineStr">
        <is>
          <t>Аксессуары для рукоделия</t>
        </is>
      </c>
      <c r="C1470" s="2">
        <v>223034944</v>
      </c>
      <c r="D1470" s="2" t="inlineStr">
        <is>
          <t>Kab-9May-8</t>
        </is>
      </c>
      <c r="E1470" s="2" t="inlineStr">
        <is>
          <t>2039805585694</t>
        </is>
      </c>
      <c r="F1470" s="2">
        <v>0</v>
      </c>
      <c r="G1470" s="2">
        <v>0</v>
      </c>
      <c r="H1470" s="2" t="inlineStr">
        <is>
          <t/>
        </is>
      </c>
      <c r="I1470" s="2" t="inlineStr">
        <is>
          <t>380</t>
        </is>
      </c>
      <c r="J1470" s="4"/>
      <c r="K1470" s="2">
        <v>0</v>
      </c>
      <c r="L1470" s="6"/>
      <c r="M1470" s="2" t="str">
        <f>IF(J1470="",ROUND(I1470*(1-IF(ISBLANK(L1470),K1470,L1470)/100),2),ROUND(J1470*(1-IF(ISBLANK(L1470),K1470,L1470)/100),2))</f>
      </c>
      <c r="N1470" s="7" t="str">
        <f>IF(NOT(AND(J1470="",L1470="")),IF(OR(AND(L1470&lt;&gt;"",NOT(ISNUMBER(L1470))),IFERROR(MOD(L1470,1),1)&gt;0,AND(ISNUMBER(L1470),OR(L1470&lt;0,L1470&gt;95))),"Введите целое число от 0 до 95",IF(OR(AND(J1470&lt;&gt;"",NOT(ISNUMBER(J1470))),IFERROR(MOD(J1470,1),1)&gt;0,AND(ISNUMBER(J1470),OR(J1470&lt;50,J1470&gt;20000000))),"Введите целое число от 50 до 20000000",IF(NOT(ABS(IFERROR(VALUE(LEFT(M1470,FIND("-",M1470)-1)),M1470)*100-(5000+2000000000)/2)&lt;=ABS(5000-2000000000)/2),"Цена со скидкой должна быть от 50 до 20000000",IF(IFERROR(VALUE(LEFT(M1470,FIND("-",M1470)-1)),M1470)*190&lt;38000,"Вы уменьшили цену в несколько раз, товар попадет в карантин цен","")))),"")</f>
      </c>
    </row>
    <row r="1471">
      <c r="A1471" s="2" t="inlineStr">
        <is>
          <t>CuteShop</t>
        </is>
      </c>
      <c r="B1471" s="2" t="inlineStr">
        <is>
          <t>Аксессуары для рукоделия</t>
        </is>
      </c>
      <c r="C1471" s="2">
        <v>118222409</v>
      </c>
      <c r="D1471" s="2" t="inlineStr">
        <is>
          <t>Podves-Mishki-12-2-1cvet</t>
        </is>
      </c>
      <c r="E1471" s="2" t="inlineStr">
        <is>
          <t>2042798442622</t>
        </is>
      </c>
      <c r="F1471" s="2">
        <v>0</v>
      </c>
      <c r="G1471" s="2">
        <v>0</v>
      </c>
      <c r="H1471" s="2" t="inlineStr">
        <is>
          <t/>
        </is>
      </c>
      <c r="I1471" s="2" t="inlineStr">
        <is>
          <t>330</t>
        </is>
      </c>
      <c r="J1471" s="4"/>
      <c r="K1471" s="2">
        <v>0</v>
      </c>
      <c r="L1471" s="6"/>
      <c r="M1471" s="2" t="str">
        <f>IF(J1471="",ROUND(I1471*(1-IF(ISBLANK(L1471),K1471,L1471)/100),2),ROUND(J1471*(1-IF(ISBLANK(L1471),K1471,L1471)/100),2))</f>
      </c>
      <c r="N1471" s="7" t="str">
        <f>IF(NOT(AND(J1471="",L1471="")),IF(OR(AND(L1471&lt;&gt;"",NOT(ISNUMBER(L1471))),IFERROR(MOD(L1471,1),1)&gt;0,AND(ISNUMBER(L1471),OR(L1471&lt;0,L1471&gt;95))),"Введите целое число от 0 до 95",IF(OR(AND(J1471&lt;&gt;"",NOT(ISNUMBER(J1471))),IFERROR(MOD(J1471,1),1)&gt;0,AND(ISNUMBER(J1471),OR(J1471&lt;50,J1471&gt;20000000))),"Введите целое число от 50 до 20000000",IF(NOT(ABS(IFERROR(VALUE(LEFT(M1471,FIND("-",M1471)-1)),M1471)*100-(5000+2000000000)/2)&lt;=ABS(5000-2000000000)/2),"Цена со скидкой должна быть от 50 до 20000000",IF(IFERROR(VALUE(LEFT(M1471,FIND("-",M1471)-1)),M1471)*190&lt;33000,"Вы уменьшили цену в несколько раз, товар попадет в карантин цен","")))),"")</f>
      </c>
    </row>
    <row r="1472">
      <c r="A1472" s="2" t="inlineStr">
        <is>
          <t>CuteShop</t>
        </is>
      </c>
      <c r="B1472" s="2" t="inlineStr">
        <is>
          <t>Аксессуары для рукоделия</t>
        </is>
      </c>
      <c r="C1472" s="2">
        <v>137867447</v>
      </c>
      <c r="D1472" s="2" t="inlineStr">
        <is>
          <t>Ser-Straz-RozOval-4_137867447</t>
        </is>
      </c>
      <c r="E1472" s="2" t="inlineStr">
        <is>
          <t>2037234276466</t>
        </is>
      </c>
      <c r="F1472" s="2">
        <v>0</v>
      </c>
      <c r="G1472" s="2">
        <v>0</v>
      </c>
      <c r="H1472" s="2" t="inlineStr">
        <is>
          <t/>
        </is>
      </c>
      <c r="I1472" s="2" t="inlineStr">
        <is>
          <t>390</t>
        </is>
      </c>
      <c r="J1472" s="4"/>
      <c r="K1472" s="2">
        <v>0</v>
      </c>
      <c r="L1472" s="6"/>
      <c r="M1472" s="2" t="str">
        <f>IF(J1472="",ROUND(I1472*(1-IF(ISBLANK(L1472),K1472,L1472)/100),2),ROUND(J1472*(1-IF(ISBLANK(L1472),K1472,L1472)/100),2))</f>
      </c>
      <c r="N1472" s="7" t="str">
        <f>IF(NOT(AND(J1472="",L1472="")),IF(OR(AND(L1472&lt;&gt;"",NOT(ISNUMBER(L1472))),IFERROR(MOD(L1472,1),1)&gt;0,AND(ISNUMBER(L1472),OR(L1472&lt;0,L1472&gt;95))),"Введите целое число от 0 до 95",IF(OR(AND(J1472&lt;&gt;"",NOT(ISNUMBER(J1472))),IFERROR(MOD(J1472,1),1)&gt;0,AND(ISNUMBER(J1472),OR(J1472&lt;50,J1472&gt;20000000))),"Введите целое число от 50 до 20000000",IF(NOT(ABS(IFERROR(VALUE(LEFT(M1472,FIND("-",M1472)-1)),M1472)*100-(5000+2000000000)/2)&lt;=ABS(5000-2000000000)/2),"Цена со скидкой должна быть от 50 до 20000000",IF(IFERROR(VALUE(LEFT(M1472,FIND("-",M1472)-1)),M1472)*190&lt;39000,"Вы уменьшили цену в несколько раз, товар попадет в карантин цен","")))),"")</f>
      </c>
    </row>
    <row r="1473">
      <c r="A1473" s="2" t="inlineStr">
        <is>
          <t>CuteShop</t>
        </is>
      </c>
      <c r="B1473" s="2" t="inlineStr">
        <is>
          <t>Аксессуары для рукоделия</t>
        </is>
      </c>
      <c r="C1473" s="2">
        <v>343410904</v>
      </c>
      <c r="D1473" s="2" t="inlineStr">
        <is>
          <t>Kab-Dev-12</t>
        </is>
      </c>
      <c r="E1473" s="2" t="inlineStr">
        <is>
          <t>2043023520580</t>
        </is>
      </c>
      <c r="F1473" s="2">
        <v>0</v>
      </c>
      <c r="G1473" s="2">
        <v>1</v>
      </c>
      <c r="H1473" s="2" t="inlineStr">
        <is>
          <t/>
        </is>
      </c>
      <c r="I1473" s="2" t="inlineStr">
        <is>
          <t>320</t>
        </is>
      </c>
      <c r="J1473" s="4"/>
      <c r="K1473" s="2">
        <v>10</v>
      </c>
      <c r="L1473" s="6"/>
      <c r="M1473" s="2" t="str">
        <f>IF(J1473="",ROUND(I1473*(1-IF(ISBLANK(L1473),K1473,L1473)/100),2),ROUND(J1473*(1-IF(ISBLANK(L1473),K1473,L1473)/100),2))</f>
      </c>
      <c r="N1473" s="7" t="str">
        <f>IF(NOT(AND(J1473="",L1473="")),IF(OR(AND(L1473&lt;&gt;"",NOT(ISNUMBER(L1473))),IFERROR(MOD(L1473,1),1)&gt;0,AND(ISNUMBER(L1473),OR(L1473&lt;0,L1473&gt;95))),"Введите целое число от 0 до 95",IF(OR(AND(J1473&lt;&gt;"",NOT(ISNUMBER(J1473))),IFERROR(MOD(J1473,1),1)&gt;0,AND(ISNUMBER(J1473),OR(J1473&lt;50,J1473&gt;20000000))),"Введите целое число от 50 до 20000000",IF(NOT(ABS(IFERROR(VALUE(LEFT(M1473,FIND("-",M1473)-1)),M1473)*100-(5000+2000000000)/2)&lt;=ABS(5000-2000000000)/2),"Цена со скидкой должна быть от 50 до 20000000",IF(IFERROR(VALUE(LEFT(M1473,FIND("-",M1473)-1)),M1473)*190&lt;28800,"Вы уменьшили цену в несколько раз, товар попадет в карантин цен","")))),"")</f>
      </c>
    </row>
    <row r="1474">
      <c r="A1474" s="2" t="inlineStr">
        <is>
          <t>CuteShop</t>
        </is>
      </c>
      <c r="B1474" s="2" t="inlineStr">
        <is>
          <t>Бусины</t>
        </is>
      </c>
      <c r="C1474" s="2">
        <v>222800096</v>
      </c>
      <c r="D1474" s="2" t="inlineStr">
        <is>
          <t>Rond-NebGol-6-100</t>
        </is>
      </c>
      <c r="E1474" s="2" t="inlineStr">
        <is>
          <t>2039800745307</t>
        </is>
      </c>
      <c r="F1474" s="2">
        <v>0</v>
      </c>
      <c r="G1474" s="2">
        <v>0</v>
      </c>
      <c r="H1474" s="2" t="inlineStr">
        <is>
          <t/>
        </is>
      </c>
      <c r="I1474" s="2" t="inlineStr">
        <is>
          <t>420</t>
        </is>
      </c>
      <c r="J1474" s="4"/>
      <c r="K1474" s="2">
        <v>0</v>
      </c>
      <c r="L1474" s="6"/>
      <c r="M1474" s="2" t="str">
        <f>IF(J1474="",ROUND(I1474*(1-IF(ISBLANK(L1474),K1474,L1474)/100),2),ROUND(J1474*(1-IF(ISBLANK(L1474),K1474,L1474)/100),2))</f>
      </c>
      <c r="N1474" s="7" t="str">
        <f>IF(NOT(AND(J1474="",L1474="")),IF(OR(AND(L1474&lt;&gt;"",NOT(ISNUMBER(L1474))),IFERROR(MOD(L1474,1),1)&gt;0,AND(ISNUMBER(L1474),OR(L1474&lt;0,L1474&gt;95))),"Введите целое число от 0 до 95",IF(OR(AND(J1474&lt;&gt;"",NOT(ISNUMBER(J1474))),IFERROR(MOD(J1474,1),1)&gt;0,AND(ISNUMBER(J1474),OR(J1474&lt;50,J1474&gt;20000000))),"Введите целое число от 50 до 20000000",IF(NOT(ABS(IFERROR(VALUE(LEFT(M1474,FIND("-",M1474)-1)),M1474)*100-(5000+2000000000)/2)&lt;=ABS(5000-2000000000)/2),"Цена со скидкой должна быть от 50 до 20000000",IF(IFERROR(VALUE(LEFT(M1474,FIND("-",M1474)-1)),M1474)*190&lt;42000,"Вы уменьшили цену в несколько раз, товар попадет в карантин цен","")))),"")</f>
      </c>
    </row>
    <row r="1475">
      <c r="A1475" s="2" t="inlineStr">
        <is>
          <t>CuteShop</t>
        </is>
      </c>
      <c r="B1475" s="2" t="inlineStr">
        <is>
          <t>Бусины</t>
        </is>
      </c>
      <c r="C1475" s="2">
        <v>151582872</v>
      </c>
      <c r="D1475" s="2" t="inlineStr">
        <is>
          <t>Bus-akril-8mm-temnsin-200</t>
        </is>
      </c>
      <c r="E1475" s="2" t="inlineStr">
        <is>
          <t>2037600710549</t>
        </is>
      </c>
      <c r="F1475" s="2">
        <v>0</v>
      </c>
      <c r="G1475" s="2">
        <v>0</v>
      </c>
      <c r="H1475" s="2" t="inlineStr">
        <is>
          <t/>
        </is>
      </c>
      <c r="I1475" s="2" t="inlineStr">
        <is>
          <t>320</t>
        </is>
      </c>
      <c r="J1475" s="4"/>
      <c r="K1475" s="2">
        <v>5</v>
      </c>
      <c r="L1475" s="6"/>
      <c r="M1475" s="2" t="str">
        <f>IF(J1475="",ROUND(I1475*(1-IF(ISBLANK(L1475),K1475,L1475)/100),2),ROUND(J1475*(1-IF(ISBLANK(L1475),K1475,L1475)/100),2))</f>
      </c>
      <c r="N1475" s="7" t="str">
        <f>IF(NOT(AND(J1475="",L1475="")),IF(OR(AND(L1475&lt;&gt;"",NOT(ISNUMBER(L1475))),IFERROR(MOD(L1475,1),1)&gt;0,AND(ISNUMBER(L1475),OR(L1475&lt;0,L1475&gt;95))),"Введите целое число от 0 до 95",IF(OR(AND(J1475&lt;&gt;"",NOT(ISNUMBER(J1475))),IFERROR(MOD(J1475,1),1)&gt;0,AND(ISNUMBER(J1475),OR(J1475&lt;50,J1475&gt;20000000))),"Введите целое число от 50 до 20000000",IF(NOT(ABS(IFERROR(VALUE(LEFT(M1475,FIND("-",M1475)-1)),M1475)*100-(5000+2000000000)/2)&lt;=ABS(5000-2000000000)/2),"Цена со скидкой должна быть от 50 до 20000000",IF(IFERROR(VALUE(LEFT(M1475,FIND("-",M1475)-1)),M1475)*190&lt;30400,"Вы уменьшили цену в несколько раз, товар попадет в карантин цен","")))),"")</f>
      </c>
    </row>
    <row r="1476">
      <c r="A1476" s="2" t="inlineStr">
        <is>
          <t>CuteShop</t>
        </is>
      </c>
      <c r="B1476" s="2" t="inlineStr">
        <is>
          <t>Бусины</t>
        </is>
      </c>
      <c r="C1476" s="2">
        <v>222801178</v>
      </c>
      <c r="D1476" s="2" t="inlineStr">
        <is>
          <t>Rond-Roz-6-50</t>
        </is>
      </c>
      <c r="E1476" s="2" t="inlineStr">
        <is>
          <t>2039800763646</t>
        </is>
      </c>
      <c r="F1476" s="2">
        <v>0</v>
      </c>
      <c r="G1476" s="2">
        <v>0</v>
      </c>
      <c r="H1476" s="2" t="inlineStr">
        <is>
          <t/>
        </is>
      </c>
      <c r="I1476" s="2" t="inlineStr">
        <is>
          <t>300</t>
        </is>
      </c>
      <c r="J1476" s="4"/>
      <c r="K1476" s="2">
        <v>0</v>
      </c>
      <c r="L1476" s="6"/>
      <c r="M1476" s="2" t="str">
        <f>IF(J1476="",ROUND(I1476*(1-IF(ISBLANK(L1476),K1476,L1476)/100),2),ROUND(J1476*(1-IF(ISBLANK(L1476),K1476,L1476)/100),2))</f>
      </c>
      <c r="N1476" s="7" t="str">
        <f>IF(NOT(AND(J1476="",L1476="")),IF(OR(AND(L1476&lt;&gt;"",NOT(ISNUMBER(L1476))),IFERROR(MOD(L1476,1),1)&gt;0,AND(ISNUMBER(L1476),OR(L1476&lt;0,L1476&gt;95))),"Введите целое число от 0 до 95",IF(OR(AND(J1476&lt;&gt;"",NOT(ISNUMBER(J1476))),IFERROR(MOD(J1476,1),1)&gt;0,AND(ISNUMBER(J1476),OR(J1476&lt;50,J1476&gt;20000000))),"Введите целое число от 50 до 20000000",IF(NOT(ABS(IFERROR(VALUE(LEFT(M1476,FIND("-",M1476)-1)),M1476)*100-(5000+2000000000)/2)&lt;=ABS(5000-2000000000)/2),"Цена со скидкой должна быть от 50 до 20000000",IF(IFERROR(VALUE(LEFT(M1476,FIND("-",M1476)-1)),M1476)*190&lt;30000,"Вы уменьшили цену в несколько раз, товар попадет в карантин цен","")))),"")</f>
      </c>
    </row>
    <row r="1477">
      <c r="A1477" s="2" t="inlineStr">
        <is>
          <t>CuteShop</t>
        </is>
      </c>
      <c r="B1477" s="2" t="inlineStr">
        <is>
          <t>Бусины</t>
        </is>
      </c>
      <c r="C1477" s="2">
        <v>229030350</v>
      </c>
      <c r="D1477" s="2" t="inlineStr">
        <is>
          <t>Rond-Kras-6-78</t>
        </is>
      </c>
      <c r="E1477" s="2" t="inlineStr">
        <is>
          <t>2039929762407</t>
        </is>
      </c>
      <c r="F1477" s="2">
        <v>0</v>
      </c>
      <c r="G1477" s="2">
        <v>0</v>
      </c>
      <c r="H1477" s="2" t="inlineStr">
        <is>
          <t/>
        </is>
      </c>
      <c r="I1477" s="2" t="inlineStr">
        <is>
          <t>380</t>
        </is>
      </c>
      <c r="J1477" s="4"/>
      <c r="K1477" s="2">
        <v>0</v>
      </c>
      <c r="L1477" s="6"/>
      <c r="M1477" s="2" t="str">
        <f>IF(J1477="",ROUND(I1477*(1-IF(ISBLANK(L1477),K1477,L1477)/100),2),ROUND(J1477*(1-IF(ISBLANK(L1477),K1477,L1477)/100),2))</f>
      </c>
      <c r="N1477" s="7" t="str">
        <f>IF(NOT(AND(J1477="",L1477="")),IF(OR(AND(L1477&lt;&gt;"",NOT(ISNUMBER(L1477))),IFERROR(MOD(L1477,1),1)&gt;0,AND(ISNUMBER(L1477),OR(L1477&lt;0,L1477&gt;95))),"Введите целое число от 0 до 95",IF(OR(AND(J1477&lt;&gt;"",NOT(ISNUMBER(J1477))),IFERROR(MOD(J1477,1),1)&gt;0,AND(ISNUMBER(J1477),OR(J1477&lt;50,J1477&gt;20000000))),"Введите целое число от 50 до 20000000",IF(NOT(ABS(IFERROR(VALUE(LEFT(M1477,FIND("-",M1477)-1)),M1477)*100-(5000+2000000000)/2)&lt;=ABS(5000-2000000000)/2),"Цена со скидкой должна быть от 50 до 20000000",IF(IFERROR(VALUE(LEFT(M1477,FIND("-",M1477)-1)),M1477)*190&lt;38000,"Вы уменьшили цену в несколько раз, товар попадет в карантин цен","")))),"")</f>
      </c>
    </row>
    <row r="1478">
      <c r="A1478" s="2" t="inlineStr">
        <is>
          <t>CuteShop</t>
        </is>
      </c>
      <c r="B1478" s="2" t="inlineStr">
        <is>
          <t>Бусины</t>
        </is>
      </c>
      <c r="C1478" s="2">
        <v>222801942</v>
      </c>
      <c r="D1478" s="2" t="inlineStr">
        <is>
          <t>Rond-Raduzh-6-50</t>
        </is>
      </c>
      <c r="E1478" s="2" t="inlineStr">
        <is>
          <t>2039800776226</t>
        </is>
      </c>
      <c r="F1478" s="2">
        <v>0</v>
      </c>
      <c r="G1478" s="2">
        <v>0</v>
      </c>
      <c r="H1478" s="2" t="inlineStr">
        <is>
          <t/>
        </is>
      </c>
      <c r="I1478" s="2" t="inlineStr">
        <is>
          <t>300</t>
        </is>
      </c>
      <c r="J1478" s="4"/>
      <c r="K1478" s="2">
        <v>0</v>
      </c>
      <c r="L1478" s="6"/>
      <c r="M1478" s="2" t="str">
        <f>IF(J1478="",ROUND(I1478*(1-IF(ISBLANK(L1478),K1478,L1478)/100),2),ROUND(J1478*(1-IF(ISBLANK(L1478),K1478,L1478)/100),2))</f>
      </c>
      <c r="N1478" s="7" t="str">
        <f>IF(NOT(AND(J1478="",L1478="")),IF(OR(AND(L1478&lt;&gt;"",NOT(ISNUMBER(L1478))),IFERROR(MOD(L1478,1),1)&gt;0,AND(ISNUMBER(L1478),OR(L1478&lt;0,L1478&gt;95))),"Введите целое число от 0 до 95",IF(OR(AND(J1478&lt;&gt;"",NOT(ISNUMBER(J1478))),IFERROR(MOD(J1478,1),1)&gt;0,AND(ISNUMBER(J1478),OR(J1478&lt;50,J1478&gt;20000000))),"Введите целое число от 50 до 20000000",IF(NOT(ABS(IFERROR(VALUE(LEFT(M1478,FIND("-",M1478)-1)),M1478)*100-(5000+2000000000)/2)&lt;=ABS(5000-2000000000)/2),"Цена со скидкой должна быть от 50 до 20000000",IF(IFERROR(VALUE(LEFT(M1478,FIND("-",M1478)-1)),M1478)*190&lt;30000,"Вы уменьшили цену в несколько раз, товар попадет в карантин цен","")))),"")</f>
      </c>
    </row>
    <row r="1479">
      <c r="A1479" s="2" t="inlineStr">
        <is>
          <t>CuteShop</t>
        </is>
      </c>
      <c r="B1479" s="2" t="inlineStr">
        <is>
          <t>Ленты для рукоделия</t>
        </is>
      </c>
      <c r="C1479" s="2">
        <v>116437124</v>
      </c>
      <c r="D1479" s="2" t="inlineStr">
        <is>
          <t>Lenta-Rep-PrincBlackWhite</t>
        </is>
      </c>
      <c r="E1479" s="2" t="inlineStr">
        <is>
          <t>2041652911625</t>
        </is>
      </c>
      <c r="F1479" s="2">
        <v>0</v>
      </c>
      <c r="G1479" s="2">
        <v>0</v>
      </c>
      <c r="H1479" s="2">
        <v>0</v>
      </c>
      <c r="I1479" s="2" t="inlineStr">
        <is>
          <t>369</t>
        </is>
      </c>
      <c r="J1479" s="4"/>
      <c r="K1479" s="2">
        <v>0</v>
      </c>
      <c r="L1479" s="6"/>
      <c r="M1479" s="2" t="str">
        <f>IF(J1479="",ROUND(I1479*(1-IF(ISBLANK(L1479),K1479,L1479)/100),2),ROUND(J1479*(1-IF(ISBLANK(L1479),K1479,L1479)/100),2))</f>
      </c>
      <c r="N1479" s="7" t="str">
        <f>IF(NOT(AND(J1479="",L1479="")),IF(OR(AND(L1479&lt;&gt;"",NOT(ISNUMBER(L1479))),IFERROR(MOD(L1479,1),1)&gt;0,AND(ISNUMBER(L1479),OR(L1479&lt;0,L1479&gt;95))),"Введите целое число от 0 до 95",IF(OR(AND(J1479&lt;&gt;"",NOT(ISNUMBER(J1479))),IFERROR(MOD(J1479,1),1)&gt;0,AND(ISNUMBER(J1479),OR(J1479&lt;50,J1479&gt;20000000))),"Введите целое число от 50 до 20000000",IF(NOT(ABS(IFERROR(VALUE(LEFT(M1479,FIND("-",M1479)-1)),M1479)*100-(5000+2000000000)/2)&lt;=ABS(5000-2000000000)/2),"Цена со скидкой должна быть от 50 до 20000000",IF(IFERROR(VALUE(LEFT(M1479,FIND("-",M1479)-1)),M1479)*190&lt;36900,"Вы уменьшили цену в несколько раз, товар попадет в карантин цен","")))),"")</f>
      </c>
    </row>
    <row r="1480">
      <c r="A1480" s="2" t="inlineStr">
        <is>
          <t>CuteShop</t>
        </is>
      </c>
      <c r="B1480" s="2" t="inlineStr">
        <is>
          <t>Ленты для рукоделия</t>
        </is>
      </c>
      <c r="C1480" s="2">
        <v>116437125</v>
      </c>
      <c r="D1480" s="2" t="inlineStr">
        <is>
          <t>Lenta-Rep-Shkoln2</t>
        </is>
      </c>
      <c r="E1480" s="2" t="inlineStr">
        <is>
          <t>2041652781624</t>
        </is>
      </c>
      <c r="F1480" s="2">
        <v>0</v>
      </c>
      <c r="G1480" s="2">
        <v>0</v>
      </c>
      <c r="H1480" s="2">
        <v>0</v>
      </c>
      <c r="I1480" s="2" t="inlineStr">
        <is>
          <t>369</t>
        </is>
      </c>
      <c r="J1480" s="4"/>
      <c r="K1480" s="2">
        <v>0</v>
      </c>
      <c r="L1480" s="6"/>
      <c r="M1480" s="2" t="str">
        <f>IF(J1480="",ROUND(I1480*(1-IF(ISBLANK(L1480),K1480,L1480)/100),2),ROUND(J1480*(1-IF(ISBLANK(L1480),K1480,L1480)/100),2))</f>
      </c>
      <c r="N1480" s="7" t="str">
        <f>IF(NOT(AND(J1480="",L1480="")),IF(OR(AND(L1480&lt;&gt;"",NOT(ISNUMBER(L1480))),IFERROR(MOD(L1480,1),1)&gt;0,AND(ISNUMBER(L1480),OR(L1480&lt;0,L1480&gt;95))),"Введите целое число от 0 до 95",IF(OR(AND(J1480&lt;&gt;"",NOT(ISNUMBER(J1480))),IFERROR(MOD(J1480,1),1)&gt;0,AND(ISNUMBER(J1480),OR(J1480&lt;50,J1480&gt;20000000))),"Введите целое число от 50 до 20000000",IF(NOT(ABS(IFERROR(VALUE(LEFT(M1480,FIND("-",M1480)-1)),M1480)*100-(5000+2000000000)/2)&lt;=ABS(5000-2000000000)/2),"Цена со скидкой должна быть от 50 до 20000000",IF(IFERROR(VALUE(LEFT(M1480,FIND("-",M1480)-1)),M1480)*190&lt;36900,"Вы уменьшили цену в несколько раз, товар попадет в карантин цен","")))),"")</f>
      </c>
    </row>
    <row r="1481">
      <c r="A1481" s="2" t="inlineStr">
        <is>
          <t>CuteShop</t>
        </is>
      </c>
      <c r="B1481" s="2" t="inlineStr">
        <is>
          <t>Ленты для рукоделия</t>
        </is>
      </c>
      <c r="C1481" s="2">
        <v>213889902</v>
      </c>
      <c r="D1481" s="2" t="inlineStr">
        <is>
          <t>Lenta-Rep-9May-4</t>
        </is>
      </c>
      <c r="E1481" s="2" t="inlineStr">
        <is>
          <t>2039583687450</t>
        </is>
      </c>
      <c r="F1481" s="2">
        <v>0</v>
      </c>
      <c r="G1481" s="2">
        <v>0</v>
      </c>
      <c r="H1481" s="2" t="inlineStr">
        <is>
          <t/>
        </is>
      </c>
      <c r="I1481" s="2" t="inlineStr">
        <is>
          <t>320</t>
        </is>
      </c>
      <c r="J1481" s="4"/>
      <c r="K1481" s="2">
        <v>0</v>
      </c>
      <c r="L1481" s="6"/>
      <c r="M1481" s="2" t="str">
        <f>IF(J1481="",ROUND(I1481*(1-IF(ISBLANK(L1481),K1481,L1481)/100),2),ROUND(J1481*(1-IF(ISBLANK(L1481),K1481,L1481)/100),2))</f>
      </c>
      <c r="N1481" s="7" t="str">
        <f>IF(NOT(AND(J1481="",L1481="")),IF(OR(AND(L1481&lt;&gt;"",NOT(ISNUMBER(L1481))),IFERROR(MOD(L1481,1),1)&gt;0,AND(ISNUMBER(L1481),OR(L1481&lt;0,L1481&gt;95))),"Введите целое число от 0 до 95",IF(OR(AND(J1481&lt;&gt;"",NOT(ISNUMBER(J1481))),IFERROR(MOD(J1481,1),1)&gt;0,AND(ISNUMBER(J1481),OR(J1481&lt;50,J1481&gt;20000000))),"Введите целое число от 50 до 20000000",IF(NOT(ABS(IFERROR(VALUE(LEFT(M1481,FIND("-",M1481)-1)),M1481)*100-(5000+2000000000)/2)&lt;=ABS(5000-2000000000)/2),"Цена со скидкой должна быть от 50 до 20000000",IF(IFERROR(VALUE(LEFT(M1481,FIND("-",M1481)-1)),M1481)*190&lt;32000,"Вы уменьшили цену в несколько раз, товар попадет в карантин цен","")))),"")</f>
      </c>
    </row>
    <row r="1482">
      <c r="A1482" s="2" t="inlineStr">
        <is>
          <t>CuteShop</t>
        </is>
      </c>
      <c r="B1482" s="2" t="inlineStr">
        <is>
          <t>Ленты для рукоделия</t>
        </is>
      </c>
      <c r="C1482" s="2">
        <v>213889903</v>
      </c>
      <c r="D1482" s="2" t="inlineStr">
        <is>
          <t>Lenta-Rep-9May-5</t>
        </is>
      </c>
      <c r="E1482" s="2" t="inlineStr">
        <is>
          <t>2039583697107</t>
        </is>
      </c>
      <c r="F1482" s="2">
        <v>0</v>
      </c>
      <c r="G1482" s="2">
        <v>0</v>
      </c>
      <c r="H1482" s="2" t="inlineStr">
        <is>
          <t/>
        </is>
      </c>
      <c r="I1482" s="2" t="inlineStr">
        <is>
          <t>320</t>
        </is>
      </c>
      <c r="J1482" s="4"/>
      <c r="K1482" s="2">
        <v>0</v>
      </c>
      <c r="L1482" s="6"/>
      <c r="M1482" s="2" t="str">
        <f>IF(J1482="",ROUND(I1482*(1-IF(ISBLANK(L1482),K1482,L1482)/100),2),ROUND(J1482*(1-IF(ISBLANK(L1482),K1482,L1482)/100),2))</f>
      </c>
      <c r="N1482" s="7" t="str">
        <f>IF(NOT(AND(J1482="",L1482="")),IF(OR(AND(L1482&lt;&gt;"",NOT(ISNUMBER(L1482))),IFERROR(MOD(L1482,1),1)&gt;0,AND(ISNUMBER(L1482),OR(L1482&lt;0,L1482&gt;95))),"Введите целое число от 0 до 95",IF(OR(AND(J1482&lt;&gt;"",NOT(ISNUMBER(J1482))),IFERROR(MOD(J1482,1),1)&gt;0,AND(ISNUMBER(J1482),OR(J1482&lt;50,J1482&gt;20000000))),"Введите целое число от 50 до 20000000",IF(NOT(ABS(IFERROR(VALUE(LEFT(M1482,FIND("-",M1482)-1)),M1482)*100-(5000+2000000000)/2)&lt;=ABS(5000-2000000000)/2),"Цена со скидкой должна быть от 50 до 20000000",IF(IFERROR(VALUE(LEFT(M1482,FIND("-",M1482)-1)),M1482)*190&lt;32000,"Вы уменьшили цену в несколько раз, товар попадет в карантин цен","")))),"")</f>
      </c>
    </row>
    <row r="1483">
      <c r="A1483" s="2" t="inlineStr">
        <is>
          <t>CuteShop</t>
        </is>
      </c>
      <c r="B1483" s="2" t="inlineStr">
        <is>
          <t>Ленты для рукоделия</t>
        </is>
      </c>
      <c r="C1483" s="2">
        <v>218997233</v>
      </c>
      <c r="D1483" s="2" t="inlineStr">
        <is>
          <t>Lenta-Rep-9May-8</t>
        </is>
      </c>
      <c r="E1483" s="2" t="inlineStr">
        <is>
          <t>2039698875834</t>
        </is>
      </c>
      <c r="F1483" s="2">
        <v>0</v>
      </c>
      <c r="G1483" s="2">
        <v>0</v>
      </c>
      <c r="H1483" s="2" t="inlineStr">
        <is>
          <t/>
        </is>
      </c>
      <c r="I1483" s="2" t="inlineStr">
        <is>
          <t>310</t>
        </is>
      </c>
      <c r="J1483" s="4"/>
      <c r="K1483" s="2">
        <v>0</v>
      </c>
      <c r="L1483" s="6"/>
      <c r="M1483" s="2" t="str">
        <f>IF(J1483="",ROUND(I1483*(1-IF(ISBLANK(L1483),K1483,L1483)/100),2),ROUND(J1483*(1-IF(ISBLANK(L1483),K1483,L1483)/100),2))</f>
      </c>
      <c r="N1483" s="7" t="str">
        <f>IF(NOT(AND(J1483="",L1483="")),IF(OR(AND(L1483&lt;&gt;"",NOT(ISNUMBER(L1483))),IFERROR(MOD(L1483,1),1)&gt;0,AND(ISNUMBER(L1483),OR(L1483&lt;0,L1483&gt;95))),"Введите целое число от 0 до 95",IF(OR(AND(J1483&lt;&gt;"",NOT(ISNUMBER(J1483))),IFERROR(MOD(J1483,1),1)&gt;0,AND(ISNUMBER(J1483),OR(J1483&lt;50,J1483&gt;20000000))),"Введите целое число от 50 до 20000000",IF(NOT(ABS(IFERROR(VALUE(LEFT(M1483,FIND("-",M1483)-1)),M1483)*100-(5000+2000000000)/2)&lt;=ABS(5000-2000000000)/2),"Цена со скидкой должна быть от 50 до 20000000",IF(IFERROR(VALUE(LEFT(M1483,FIND("-",M1483)-1)),M1483)*190&lt;31000,"Вы уменьшили цену в несколько раз, товар попадет в карантин цен","")))),"")</f>
      </c>
    </row>
    <row r="1484">
      <c r="A1484" s="2" t="inlineStr">
        <is>
          <t>CuteShop</t>
        </is>
      </c>
      <c r="B1484" s="2" t="inlineStr">
        <is>
          <t>Ленты для рукоделия</t>
        </is>
      </c>
      <c r="C1484" s="2">
        <v>223036017</v>
      </c>
      <c r="D1484" s="2" t="inlineStr">
        <is>
          <t>Lenta-Rep-9May-10</t>
        </is>
      </c>
      <c r="E1484" s="2" t="inlineStr">
        <is>
          <t>2039805609499</t>
        </is>
      </c>
      <c r="F1484" s="2">
        <v>0</v>
      </c>
      <c r="G1484" s="2">
        <v>0</v>
      </c>
      <c r="H1484" s="2" t="inlineStr">
        <is>
          <t/>
        </is>
      </c>
      <c r="I1484" s="2" t="inlineStr">
        <is>
          <t>320</t>
        </is>
      </c>
      <c r="J1484" s="4"/>
      <c r="K1484" s="2">
        <v>4</v>
      </c>
      <c r="L1484" s="6"/>
      <c r="M1484" s="2" t="str">
        <f>IF(J1484="",ROUND(I1484*(1-IF(ISBLANK(L1484),K1484,L1484)/100),2),ROUND(J1484*(1-IF(ISBLANK(L1484),K1484,L1484)/100),2))</f>
      </c>
      <c r="N1484" s="7" t="str">
        <f>IF(NOT(AND(J1484="",L1484="")),IF(OR(AND(L1484&lt;&gt;"",NOT(ISNUMBER(L1484))),IFERROR(MOD(L1484,1),1)&gt;0,AND(ISNUMBER(L1484),OR(L1484&lt;0,L1484&gt;95))),"Введите целое число от 0 до 95",IF(OR(AND(J1484&lt;&gt;"",NOT(ISNUMBER(J1484))),IFERROR(MOD(J1484,1),1)&gt;0,AND(ISNUMBER(J1484),OR(J1484&lt;50,J1484&gt;20000000))),"Введите целое число от 50 до 20000000",IF(NOT(ABS(IFERROR(VALUE(LEFT(M1484,FIND("-",M1484)-1)),M1484)*100-(5000+2000000000)/2)&lt;=ABS(5000-2000000000)/2),"Цена со скидкой должна быть от 50 до 20000000",IF(IFERROR(VALUE(LEFT(M1484,FIND("-",M1484)-1)),M1484)*190&lt;30720,"Вы уменьшили цену в несколько раз, товар попадет в карантин цен","")))),"")</f>
      </c>
    </row>
    <row r="1485">
      <c r="A1485" s="2" t="inlineStr">
        <is>
          <t>CuteShop</t>
        </is>
      </c>
      <c r="B1485" s="2" t="inlineStr">
        <is>
          <t>Ленты для рукоделия</t>
        </is>
      </c>
      <c r="C1485" s="2">
        <v>223079704</v>
      </c>
      <c r="D1485" s="2" t="inlineStr">
        <is>
          <t>Lenta-Rep-9May-Mix9</t>
        </is>
      </c>
      <c r="E1485" s="2" t="inlineStr">
        <is>
          <t>2039806237042</t>
        </is>
      </c>
      <c r="F1485" s="2">
        <v>0</v>
      </c>
      <c r="G1485" s="2">
        <v>0</v>
      </c>
      <c r="H1485" s="2" t="inlineStr">
        <is>
          <t/>
        </is>
      </c>
      <c r="I1485" s="2" t="inlineStr">
        <is>
          <t>400</t>
        </is>
      </c>
      <c r="J1485" s="4"/>
      <c r="K1485" s="2">
        <v>0</v>
      </c>
      <c r="L1485" s="6"/>
      <c r="M1485" s="2" t="str">
        <f>IF(J1485="",ROUND(I1485*(1-IF(ISBLANK(L1485),K1485,L1485)/100),2),ROUND(J1485*(1-IF(ISBLANK(L1485),K1485,L1485)/100),2))</f>
      </c>
      <c r="N1485" s="7" t="str">
        <f>IF(NOT(AND(J1485="",L1485="")),IF(OR(AND(L1485&lt;&gt;"",NOT(ISNUMBER(L1485))),IFERROR(MOD(L1485,1),1)&gt;0,AND(ISNUMBER(L1485),OR(L1485&lt;0,L1485&gt;95))),"Введите целое число от 0 до 95",IF(OR(AND(J1485&lt;&gt;"",NOT(ISNUMBER(J1485))),IFERROR(MOD(J1485,1),1)&gt;0,AND(ISNUMBER(J1485),OR(J1485&lt;50,J1485&gt;20000000))),"Введите целое число от 50 до 20000000",IF(NOT(ABS(IFERROR(VALUE(LEFT(M1485,FIND("-",M1485)-1)),M1485)*100-(5000+2000000000)/2)&lt;=ABS(5000-2000000000)/2),"Цена со скидкой должна быть от 50 до 20000000",IF(IFERROR(VALUE(LEFT(M1485,FIND("-",M1485)-1)),M1485)*190&lt;40000,"Вы уменьшили цену в несколько раз, товар попадет в карантин цен","")))),"")</f>
      </c>
    </row>
    <row r="1486">
      <c r="A1486" s="2" t="inlineStr">
        <is>
          <t/>
        </is>
      </c>
      <c r="B1486" s="2" t="inlineStr">
        <is>
          <t>Ткани для рукоделия</t>
        </is>
      </c>
      <c r="C1486" s="2">
        <v>195364849</v>
      </c>
      <c r="D1486" s="2" t="inlineStr">
        <is>
          <t>Fatin-Goroh15-Nabor-TemnZel-5</t>
        </is>
      </c>
      <c r="E1486" s="2" t="inlineStr">
        <is>
          <t>2039141937751</t>
        </is>
      </c>
      <c r="F1486" s="2">
        <v>0</v>
      </c>
      <c r="G1486" s="2">
        <v>0</v>
      </c>
      <c r="H1486" s="2" t="inlineStr">
        <is>
          <t/>
        </is>
      </c>
      <c r="I1486" s="2" t="inlineStr">
        <is>
          <t>360</t>
        </is>
      </c>
      <c r="J1486" s="4"/>
      <c r="K1486" s="2">
        <v>0</v>
      </c>
      <c r="L1486" s="6"/>
      <c r="M1486" s="2" t="str">
        <f>IF(J1486="",ROUND(I1486*(1-IF(ISBLANK(L1486),K1486,L1486)/100),2),ROUND(J1486*(1-IF(ISBLANK(L1486),K1486,L1486)/100),2))</f>
      </c>
      <c r="N1486" s="7" t="str">
        <f>IF(NOT(AND(J1486="",L1486="")),IF(OR(AND(L1486&lt;&gt;"",NOT(ISNUMBER(L1486))),IFERROR(MOD(L1486,1),1)&gt;0,AND(ISNUMBER(L1486),OR(L1486&lt;0,L1486&gt;95))),"Введите целое число от 0 до 95",IF(OR(AND(J1486&lt;&gt;"",NOT(ISNUMBER(J1486))),IFERROR(MOD(J1486,1),1)&gt;0,AND(ISNUMBER(J1486),OR(J1486&lt;50,J1486&gt;20000000))),"Введите целое число от 50 до 20000000",IF(NOT(ABS(IFERROR(VALUE(LEFT(M1486,FIND("-",M1486)-1)),M1486)*100-(5000+2000000000)/2)&lt;=ABS(5000-2000000000)/2),"Цена со скидкой должна быть от 50 до 20000000",IF(IFERROR(VALUE(LEFT(M1486,FIND("-",M1486)-1)),M1486)*190&lt;36000,"Вы уменьшили цену в несколько раз, товар попадет в карантин цен","")))),"")</f>
      </c>
    </row>
    <row r="1487">
      <c r="A1487" s="2" t="inlineStr">
        <is>
          <t>CuteShop</t>
        </is>
      </c>
      <c r="B1487" s="2" t="inlineStr">
        <is>
          <t>Аксессуары для рукоделия</t>
        </is>
      </c>
      <c r="C1487" s="2">
        <v>393719011</v>
      </c>
      <c r="D1487" s="2" t="inlineStr">
        <is>
          <t>Kab-9May-Mix-4</t>
        </is>
      </c>
      <c r="E1487" s="2" t="inlineStr">
        <is>
          <t>2043711631291</t>
        </is>
      </c>
      <c r="F1487" s="2">
        <v>0</v>
      </c>
      <c r="G1487" s="2">
        <v>0</v>
      </c>
      <c r="H1487" s="2" t="inlineStr">
        <is>
          <t/>
        </is>
      </c>
      <c r="I1487" s="2" t="inlineStr">
        <is>
          <t>350</t>
        </is>
      </c>
      <c r="J1487" s="4"/>
      <c r="K1487" s="2">
        <v>5</v>
      </c>
      <c r="L1487" s="6"/>
      <c r="M1487" s="2" t="str">
        <f>IF(J1487="",ROUND(I1487*(1-IF(ISBLANK(L1487),K1487,L1487)/100),2),ROUND(J1487*(1-IF(ISBLANK(L1487),K1487,L1487)/100),2))</f>
      </c>
      <c r="N1487" s="7" t="str">
        <f>IF(NOT(AND(J1487="",L1487="")),IF(OR(AND(L1487&lt;&gt;"",NOT(ISNUMBER(L1487))),IFERROR(MOD(L1487,1),1)&gt;0,AND(ISNUMBER(L1487),OR(L1487&lt;0,L1487&gt;95))),"Введите целое число от 0 до 95",IF(OR(AND(J1487&lt;&gt;"",NOT(ISNUMBER(J1487))),IFERROR(MOD(J1487,1),1)&gt;0,AND(ISNUMBER(J1487),OR(J1487&lt;50,J1487&gt;20000000))),"Введите целое число от 50 до 20000000",IF(NOT(ABS(IFERROR(VALUE(LEFT(M1487,FIND("-",M1487)-1)),M1487)*100-(5000+2000000000)/2)&lt;=ABS(5000-2000000000)/2),"Цена со скидкой должна быть от 50 до 20000000",IF(IFERROR(VALUE(LEFT(M1487,FIND("-",M1487)-1)),M1487)*190&lt;33250,"Вы уменьшили цену в несколько раз, товар попадет в карантин цен","")))),"")</f>
      </c>
    </row>
    <row r="1488">
      <c r="A1488" s="2" t="inlineStr">
        <is>
          <t>CuteShop</t>
        </is>
      </c>
      <c r="B1488" s="2" t="inlineStr">
        <is>
          <t>Аксессуары для рукоделия</t>
        </is>
      </c>
      <c r="C1488" s="2">
        <v>145836635</v>
      </c>
      <c r="D1488" s="2" t="inlineStr">
        <is>
          <t>Kab-Stec-Mix</t>
        </is>
      </c>
      <c r="E1488" s="2" t="inlineStr">
        <is>
          <t>2037450920303</t>
        </is>
      </c>
      <c r="F1488" s="2">
        <v>0</v>
      </c>
      <c r="G1488" s="2">
        <v>0</v>
      </c>
      <c r="H1488" s="2" t="inlineStr">
        <is>
          <t/>
        </is>
      </c>
      <c r="I1488" s="2" t="inlineStr">
        <is>
          <t>360</t>
        </is>
      </c>
      <c r="J1488" s="4"/>
      <c r="K1488" s="2">
        <v>0</v>
      </c>
      <c r="L1488" s="6"/>
      <c r="M1488" s="2" t="str">
        <f>IF(J1488="",ROUND(I1488*(1-IF(ISBLANK(L1488),K1488,L1488)/100),2),ROUND(J1488*(1-IF(ISBLANK(L1488),K1488,L1488)/100),2))</f>
      </c>
      <c r="N1488" s="7" t="str">
        <f>IF(NOT(AND(J1488="",L1488="")),IF(OR(AND(L1488&lt;&gt;"",NOT(ISNUMBER(L1488))),IFERROR(MOD(L1488,1),1)&gt;0,AND(ISNUMBER(L1488),OR(L1488&lt;0,L1488&gt;95))),"Введите целое число от 0 до 95",IF(OR(AND(J1488&lt;&gt;"",NOT(ISNUMBER(J1488))),IFERROR(MOD(J1488,1),1)&gt;0,AND(ISNUMBER(J1488),OR(J1488&lt;50,J1488&gt;20000000))),"Введите целое число от 50 до 20000000",IF(NOT(ABS(IFERROR(VALUE(LEFT(M1488,FIND("-",M1488)-1)),M1488)*100-(5000+2000000000)/2)&lt;=ABS(5000-2000000000)/2),"Цена со скидкой должна быть от 50 до 20000000",IF(IFERROR(VALUE(LEFT(M1488,FIND("-",M1488)-1)),M1488)*190&lt;36000,"Вы уменьшили цену в несколько раз, товар попадет в карантин цен","")))),"")</f>
      </c>
    </row>
    <row r="1489">
      <c r="A1489" s="2" t="inlineStr">
        <is>
          <t>CuteShop</t>
        </is>
      </c>
      <c r="B1489" s="2" t="inlineStr">
        <is>
          <t>Аксессуары для рукоделия</t>
        </is>
      </c>
      <c r="C1489" s="2">
        <v>393715713</v>
      </c>
      <c r="D1489" s="2" t="inlineStr">
        <is>
          <t xml:space="preserve"> Kab-9May-Mix5</t>
        </is>
      </c>
      <c r="E1489" s="2" t="inlineStr">
        <is>
          <t>2043711601287</t>
        </is>
      </c>
      <c r="F1489" s="2">
        <v>0</v>
      </c>
      <c r="G1489" s="2">
        <v>0</v>
      </c>
      <c r="H1489" s="2" t="inlineStr">
        <is>
          <t/>
        </is>
      </c>
      <c r="I1489" s="2" t="inlineStr">
        <is>
          <t>380</t>
        </is>
      </c>
      <c r="J1489" s="4"/>
      <c r="K1489" s="2">
        <v>5</v>
      </c>
      <c r="L1489" s="6"/>
      <c r="M1489" s="2" t="str">
        <f>IF(J1489="",ROUND(I1489*(1-IF(ISBLANK(L1489),K1489,L1489)/100),2),ROUND(J1489*(1-IF(ISBLANK(L1489),K1489,L1489)/100),2))</f>
      </c>
      <c r="N1489" s="7" t="str">
        <f>IF(NOT(AND(J1489="",L1489="")),IF(OR(AND(L1489&lt;&gt;"",NOT(ISNUMBER(L1489))),IFERROR(MOD(L1489,1),1)&gt;0,AND(ISNUMBER(L1489),OR(L1489&lt;0,L1489&gt;95))),"Введите целое число от 0 до 95",IF(OR(AND(J1489&lt;&gt;"",NOT(ISNUMBER(J1489))),IFERROR(MOD(J1489,1),1)&gt;0,AND(ISNUMBER(J1489),OR(J1489&lt;50,J1489&gt;20000000))),"Введите целое число от 50 до 20000000",IF(NOT(ABS(IFERROR(VALUE(LEFT(M1489,FIND("-",M1489)-1)),M1489)*100-(5000+2000000000)/2)&lt;=ABS(5000-2000000000)/2),"Цена со скидкой должна быть от 50 до 20000000",IF(IFERROR(VALUE(LEFT(M1489,FIND("-",M1489)-1)),M1489)*190&lt;36100,"Вы уменьшили цену в несколько раз, товар попадет в карантин цен","")))),"")</f>
      </c>
    </row>
    <row r="1490">
      <c r="A1490" s="2" t="inlineStr">
        <is>
          <t>CuteShop</t>
        </is>
      </c>
      <c r="B1490" s="2" t="inlineStr">
        <is>
          <t>Бусины</t>
        </is>
      </c>
      <c r="C1490" s="2">
        <v>151575798</v>
      </c>
      <c r="D1490" s="2" t="inlineStr">
        <is>
          <t>Bus-akril-8mm-ser-100</t>
        </is>
      </c>
      <c r="E1490" s="2" t="inlineStr">
        <is>
          <t>2037600548111</t>
        </is>
      </c>
      <c r="F1490" s="2">
        <v>0</v>
      </c>
      <c r="G1490" s="2">
        <v>0</v>
      </c>
      <c r="H1490" s="2">
        <v>0</v>
      </c>
      <c r="I1490" s="2" t="inlineStr">
        <is>
          <t>260</t>
        </is>
      </c>
      <c r="J1490" s="4"/>
      <c r="K1490" s="2">
        <v>0</v>
      </c>
      <c r="L1490" s="6"/>
      <c r="M1490" s="2" t="str">
        <f>IF(J1490="",ROUND(I1490*(1-IF(ISBLANK(L1490),K1490,L1490)/100),2),ROUND(J1490*(1-IF(ISBLANK(L1490),K1490,L1490)/100),2))</f>
      </c>
      <c r="N1490" s="7" t="str">
        <f>IF(NOT(AND(J1490="",L1490="")),IF(OR(AND(L1490&lt;&gt;"",NOT(ISNUMBER(L1490))),IFERROR(MOD(L1490,1),1)&gt;0,AND(ISNUMBER(L1490),OR(L1490&lt;0,L1490&gt;95))),"Введите целое число от 0 до 95",IF(OR(AND(J1490&lt;&gt;"",NOT(ISNUMBER(J1490))),IFERROR(MOD(J1490,1),1)&gt;0,AND(ISNUMBER(J1490),OR(J1490&lt;50,J1490&gt;20000000))),"Введите целое число от 50 до 20000000",IF(NOT(ABS(IFERROR(VALUE(LEFT(M1490,FIND("-",M1490)-1)),M1490)*100-(5000+2000000000)/2)&lt;=ABS(5000-2000000000)/2),"Цена со скидкой должна быть от 50 до 20000000",IF(IFERROR(VALUE(LEFT(M1490,FIND("-",M1490)-1)),M1490)*190&lt;26000,"Вы уменьшили цену в несколько раз, товар попадет в карантин цен","")))),"")</f>
      </c>
    </row>
    <row r="1491">
      <c r="A1491" s="2" t="inlineStr">
        <is>
          <t>CuteShop</t>
        </is>
      </c>
      <c r="B1491" s="2" t="inlineStr">
        <is>
          <t>Ленты для рукоделия</t>
        </is>
      </c>
      <c r="C1491" s="2">
        <v>209928481</v>
      </c>
      <c r="D1491" s="2" t="inlineStr">
        <is>
          <t>Lenta-Rep-nabor3-18</t>
        </is>
      </c>
      <c r="E1491" s="2" t="inlineStr">
        <is>
          <t>2039503184878</t>
        </is>
      </c>
      <c r="F1491" s="2">
        <v>0</v>
      </c>
      <c r="G1491" s="2">
        <v>0</v>
      </c>
      <c r="H1491" s="2" t="inlineStr">
        <is>
          <t/>
        </is>
      </c>
      <c r="I1491" s="2" t="inlineStr">
        <is>
          <t>400</t>
        </is>
      </c>
      <c r="J1491" s="4"/>
      <c r="K1491" s="2">
        <v>0</v>
      </c>
      <c r="L1491" s="6"/>
      <c r="M1491" s="2" t="str">
        <f>IF(J1491="",ROUND(I1491*(1-IF(ISBLANK(L1491),K1491,L1491)/100),2),ROUND(J1491*(1-IF(ISBLANK(L1491),K1491,L1491)/100),2))</f>
      </c>
      <c r="N1491" s="7" t="str">
        <f>IF(NOT(AND(J1491="",L1491="")),IF(OR(AND(L1491&lt;&gt;"",NOT(ISNUMBER(L1491))),IFERROR(MOD(L1491,1),1)&gt;0,AND(ISNUMBER(L1491),OR(L1491&lt;0,L1491&gt;95))),"Введите целое число от 0 до 95",IF(OR(AND(J1491&lt;&gt;"",NOT(ISNUMBER(J1491))),IFERROR(MOD(J1491,1),1)&gt;0,AND(ISNUMBER(J1491),OR(J1491&lt;50,J1491&gt;20000000))),"Введите целое число от 50 до 20000000",IF(NOT(ABS(IFERROR(VALUE(LEFT(M1491,FIND("-",M1491)-1)),M1491)*100-(5000+2000000000)/2)&lt;=ABS(5000-2000000000)/2),"Цена со скидкой должна быть от 50 до 20000000",IF(IFERROR(VALUE(LEFT(M1491,FIND("-",M1491)-1)),M1491)*190&lt;40000,"Вы уменьшили цену в несколько раз, товар попадет в карантин цен","")))),"")</f>
      </c>
    </row>
    <row r="1492">
      <c r="A1492" s="2" t="inlineStr">
        <is>
          <t>CuteShop</t>
        </is>
      </c>
      <c r="B1492" s="2" t="inlineStr">
        <is>
          <t>Ленты для рукоделия</t>
        </is>
      </c>
      <c r="C1492" s="2">
        <v>209928478</v>
      </c>
      <c r="D1492" s="2" t="inlineStr">
        <is>
          <t>Lenta-Rep-nabor2-34</t>
        </is>
      </c>
      <c r="E1492" s="2" t="inlineStr">
        <is>
          <t>2039503168304</t>
        </is>
      </c>
      <c r="F1492" s="2">
        <v>0</v>
      </c>
      <c r="G1492" s="2">
        <v>0</v>
      </c>
      <c r="H1492" s="2">
        <v>1</v>
      </c>
      <c r="I1492" s="2" t="inlineStr">
        <is>
          <t>490</t>
        </is>
      </c>
      <c r="J1492" s="4"/>
      <c r="K1492" s="2">
        <v>0</v>
      </c>
      <c r="L1492" s="6"/>
      <c r="M1492" s="2" t="str">
        <f>IF(J1492="",ROUND(I1492*(1-IF(ISBLANK(L1492),K1492,L1492)/100),2),ROUND(J1492*(1-IF(ISBLANK(L1492),K1492,L1492)/100),2))</f>
      </c>
      <c r="N1492" s="7" t="str">
        <f>IF(NOT(AND(J1492="",L1492="")),IF(OR(AND(L1492&lt;&gt;"",NOT(ISNUMBER(L1492))),IFERROR(MOD(L1492,1),1)&gt;0,AND(ISNUMBER(L1492),OR(L1492&lt;0,L1492&gt;95))),"Введите целое число от 0 до 95",IF(OR(AND(J1492&lt;&gt;"",NOT(ISNUMBER(J1492))),IFERROR(MOD(J1492,1),1)&gt;0,AND(ISNUMBER(J1492),OR(J1492&lt;50,J1492&gt;20000000))),"Введите целое число от 50 до 20000000",IF(NOT(ABS(IFERROR(VALUE(LEFT(M1492,FIND("-",M1492)-1)),M1492)*100-(5000+2000000000)/2)&lt;=ABS(5000-2000000000)/2),"Цена со скидкой должна быть от 50 до 20000000",IF(IFERROR(VALUE(LEFT(M1492,FIND("-",M1492)-1)),M1492)*190&lt;49000,"Вы уменьшили цену в несколько раз, товар попадет в карантин цен","")))),"")</f>
      </c>
    </row>
    <row r="1493">
      <c r="A1493" s="2" t="inlineStr">
        <is>
          <t>CuteShop</t>
        </is>
      </c>
      <c r="B1493" s="2" t="inlineStr">
        <is>
          <t>Ленты для рукоделия</t>
        </is>
      </c>
      <c r="C1493" s="2">
        <v>277337613</v>
      </c>
      <c r="D1493" s="2" t="inlineStr">
        <is>
          <t>Lenta-Rep-Setka-Bordo-9</t>
        </is>
      </c>
      <c r="E1493" s="2" t="inlineStr">
        <is>
          <t>2041639430026</t>
        </is>
      </c>
      <c r="F1493" s="2">
        <v>0</v>
      </c>
      <c r="G1493" s="2">
        <v>0</v>
      </c>
      <c r="H1493" s="2" t="inlineStr">
        <is>
          <t/>
        </is>
      </c>
      <c r="I1493" s="2" t="inlineStr">
        <is>
          <t>302</t>
        </is>
      </c>
      <c r="J1493" s="4"/>
      <c r="K1493" s="2">
        <v>0</v>
      </c>
      <c r="L1493" s="6"/>
      <c r="M1493" s="2" t="str">
        <f>IF(J1493="",ROUND(I1493*(1-IF(ISBLANK(L1493),K1493,L1493)/100),2),ROUND(J1493*(1-IF(ISBLANK(L1493),K1493,L1493)/100),2))</f>
      </c>
      <c r="N1493" s="7" t="str">
        <f>IF(NOT(AND(J1493="",L1493="")),IF(OR(AND(L1493&lt;&gt;"",NOT(ISNUMBER(L1493))),IFERROR(MOD(L1493,1),1)&gt;0,AND(ISNUMBER(L1493),OR(L1493&lt;0,L1493&gt;95))),"Введите целое число от 0 до 95",IF(OR(AND(J1493&lt;&gt;"",NOT(ISNUMBER(J1493))),IFERROR(MOD(J1493,1),1)&gt;0,AND(ISNUMBER(J1493),OR(J1493&lt;50,J1493&gt;20000000))),"Введите целое число от 50 до 20000000",IF(NOT(ABS(IFERROR(VALUE(LEFT(M1493,FIND("-",M1493)-1)),M1493)*100-(5000+2000000000)/2)&lt;=ABS(5000-2000000000)/2),"Цена со скидкой должна быть от 50 до 20000000",IF(IFERROR(VALUE(LEFT(M1493,FIND("-",M1493)-1)),M1493)*190&lt;30200,"Вы уменьшили цену в несколько раз, товар попадет в карантин цен","")))),"")</f>
      </c>
    </row>
    <row r="1494">
      <c r="A1494" s="2" t="inlineStr">
        <is>
          <t>CuteShop</t>
        </is>
      </c>
      <c r="B1494" s="2" t="inlineStr">
        <is>
          <t>Ленты для рукоделия</t>
        </is>
      </c>
      <c r="C1494" s="2">
        <v>209926191</v>
      </c>
      <c r="D1494" s="2" t="inlineStr">
        <is>
          <t>Lenta-Rep-nabor1-26</t>
        </is>
      </c>
      <c r="E1494" s="2" t="inlineStr">
        <is>
          <t>2039503156394</t>
        </is>
      </c>
      <c r="F1494" s="2">
        <v>0</v>
      </c>
      <c r="G1494" s="2">
        <v>0</v>
      </c>
      <c r="H1494" s="2" t="inlineStr">
        <is>
          <t/>
        </is>
      </c>
      <c r="I1494" s="2" t="inlineStr">
        <is>
          <t>400</t>
        </is>
      </c>
      <c r="J1494" s="4"/>
      <c r="K1494" s="2">
        <v>0</v>
      </c>
      <c r="L1494" s="6"/>
      <c r="M1494" s="2" t="str">
        <f>IF(J1494="",ROUND(I1494*(1-IF(ISBLANK(L1494),K1494,L1494)/100),2),ROUND(J1494*(1-IF(ISBLANK(L1494),K1494,L1494)/100),2))</f>
      </c>
      <c r="N1494" s="7" t="str">
        <f>IF(NOT(AND(J1494="",L1494="")),IF(OR(AND(L1494&lt;&gt;"",NOT(ISNUMBER(L1494))),IFERROR(MOD(L1494,1),1)&gt;0,AND(ISNUMBER(L1494),OR(L1494&lt;0,L1494&gt;95))),"Введите целое число от 0 до 95",IF(OR(AND(J1494&lt;&gt;"",NOT(ISNUMBER(J1494))),IFERROR(MOD(J1494,1),1)&gt;0,AND(ISNUMBER(J1494),OR(J1494&lt;50,J1494&gt;20000000))),"Введите целое число от 50 до 20000000",IF(NOT(ABS(IFERROR(VALUE(LEFT(M1494,FIND("-",M1494)-1)),M1494)*100-(5000+2000000000)/2)&lt;=ABS(5000-2000000000)/2),"Цена со скидкой должна быть от 50 до 20000000",IF(IFERROR(VALUE(LEFT(M1494,FIND("-",M1494)-1)),M1494)*190&lt;40000,"Вы уменьшили цену в несколько раз, товар попадет в карантин цен","")))),"")</f>
      </c>
    </row>
    <row r="1495">
      <c r="A1495" s="2" t="inlineStr">
        <is>
          <t>CuteShop</t>
        </is>
      </c>
      <c r="B1495" s="2" t="inlineStr">
        <is>
          <t>Ленты для рукоделия</t>
        </is>
      </c>
      <c r="C1495" s="2">
        <v>387492332</v>
      </c>
      <c r="D1495" s="2" t="inlineStr">
        <is>
          <t xml:space="preserve"> Lenta-Rep-9May-Mix1</t>
        </is>
      </c>
      <c r="E1495" s="2" t="inlineStr">
        <is>
          <t>2043599294380</t>
        </is>
      </c>
      <c r="F1495" s="2">
        <v>0</v>
      </c>
      <c r="G1495" s="2">
        <v>0</v>
      </c>
      <c r="H1495" s="2" t="inlineStr">
        <is>
          <t/>
        </is>
      </c>
      <c r="I1495" s="2" t="inlineStr">
        <is>
          <t>420</t>
        </is>
      </c>
      <c r="J1495" s="4"/>
      <c r="K1495" s="2">
        <v>5</v>
      </c>
      <c r="L1495" s="6"/>
      <c r="M1495" s="2" t="str">
        <f>IF(J1495="",ROUND(I1495*(1-IF(ISBLANK(L1495),K1495,L1495)/100),2),ROUND(J1495*(1-IF(ISBLANK(L1495),K1495,L1495)/100),2))</f>
      </c>
      <c r="N1495" s="7" t="str">
        <f>IF(NOT(AND(J1495="",L1495="")),IF(OR(AND(L1495&lt;&gt;"",NOT(ISNUMBER(L1495))),IFERROR(MOD(L1495,1),1)&gt;0,AND(ISNUMBER(L1495),OR(L1495&lt;0,L1495&gt;95))),"Введите целое число от 0 до 95",IF(OR(AND(J1495&lt;&gt;"",NOT(ISNUMBER(J1495))),IFERROR(MOD(J1495,1),1)&gt;0,AND(ISNUMBER(J1495),OR(J1495&lt;50,J1495&gt;20000000))),"Введите целое число от 50 до 20000000",IF(NOT(ABS(IFERROR(VALUE(LEFT(M1495,FIND("-",M1495)-1)),M1495)*100-(5000+2000000000)/2)&lt;=ABS(5000-2000000000)/2),"Цена со скидкой должна быть от 50 до 20000000",IF(IFERROR(VALUE(LEFT(M1495,FIND("-",M1495)-1)),M1495)*190&lt;39900,"Вы уменьшили цену в несколько раз, товар попадет в карантин цен","")))),"")</f>
      </c>
    </row>
    <row r="1496">
      <c r="A1496" s="2" t="inlineStr">
        <is>
          <t>CuteShop</t>
        </is>
      </c>
      <c r="B1496" s="2" t="inlineStr">
        <is>
          <t>Ленты для рукоделия</t>
        </is>
      </c>
      <c r="C1496" s="2">
        <v>116437121</v>
      </c>
      <c r="D1496" s="2" t="inlineStr">
        <is>
          <t>Lenta-Rep-MissShk</t>
        </is>
      </c>
      <c r="E1496" s="2" t="inlineStr">
        <is>
          <t>2041652872629</t>
        </is>
      </c>
      <c r="F1496" s="2">
        <v>0</v>
      </c>
      <c r="G1496" s="2">
        <v>0</v>
      </c>
      <c r="H1496" s="2">
        <v>0</v>
      </c>
      <c r="I1496" s="2" t="inlineStr">
        <is>
          <t>369</t>
        </is>
      </c>
      <c r="J1496" s="4"/>
      <c r="K1496" s="2">
        <v>0</v>
      </c>
      <c r="L1496" s="6"/>
      <c r="M1496" s="2" t="str">
        <f>IF(J1496="",ROUND(I1496*(1-IF(ISBLANK(L1496),K1496,L1496)/100),2),ROUND(J1496*(1-IF(ISBLANK(L1496),K1496,L1496)/100),2))</f>
      </c>
      <c r="N1496" s="7" t="str">
        <f>IF(NOT(AND(J1496="",L1496="")),IF(OR(AND(L1496&lt;&gt;"",NOT(ISNUMBER(L1496))),IFERROR(MOD(L1496,1),1)&gt;0,AND(ISNUMBER(L1496),OR(L1496&lt;0,L1496&gt;95))),"Введите целое число от 0 до 95",IF(OR(AND(J1496&lt;&gt;"",NOT(ISNUMBER(J1496))),IFERROR(MOD(J1496,1),1)&gt;0,AND(ISNUMBER(J1496),OR(J1496&lt;50,J1496&gt;20000000))),"Введите целое число от 50 до 20000000",IF(NOT(ABS(IFERROR(VALUE(LEFT(M1496,FIND("-",M1496)-1)),M1496)*100-(5000+2000000000)/2)&lt;=ABS(5000-2000000000)/2),"Цена со скидкой должна быть от 50 до 20000000",IF(IFERROR(VALUE(LEFT(M1496,FIND("-",M1496)-1)),M1496)*190&lt;36900,"Вы уменьшили цену в несколько раз, товар попадет в карантин цен","")))),"")</f>
      </c>
    </row>
    <row r="1497">
      <c r="A1497" s="2" t="inlineStr">
        <is>
          <t>CuteShop</t>
        </is>
      </c>
      <c r="B1497" s="2" t="inlineStr">
        <is>
          <t>Ленты для рукоделия</t>
        </is>
      </c>
      <c r="C1497" s="2">
        <v>191766149</v>
      </c>
      <c r="D1497" s="2" t="inlineStr">
        <is>
          <t>Lenta-Rep-Snezh-BelZol-40-5</t>
        </is>
      </c>
      <c r="E1497" s="2" t="inlineStr">
        <is>
          <t>2039051174994</t>
        </is>
      </c>
      <c r="F1497" s="2">
        <v>0</v>
      </c>
      <c r="G1497" s="2">
        <v>0</v>
      </c>
      <c r="H1497" s="2">
        <v>1</v>
      </c>
      <c r="I1497" s="2" t="inlineStr">
        <is>
          <t>360</t>
        </is>
      </c>
      <c r="J1497" s="4"/>
      <c r="K1497" s="2">
        <v>0</v>
      </c>
      <c r="L1497" s="6"/>
      <c r="M1497" s="2" t="str">
        <f>IF(J1497="",ROUND(I1497*(1-IF(ISBLANK(L1497),K1497,L1497)/100),2),ROUND(J1497*(1-IF(ISBLANK(L1497),K1497,L1497)/100),2))</f>
      </c>
      <c r="N1497" s="7" t="str">
        <f>IF(NOT(AND(J1497="",L1497="")),IF(OR(AND(L1497&lt;&gt;"",NOT(ISNUMBER(L1497))),IFERROR(MOD(L1497,1),1)&gt;0,AND(ISNUMBER(L1497),OR(L1497&lt;0,L1497&gt;95))),"Введите целое число от 0 до 95",IF(OR(AND(J1497&lt;&gt;"",NOT(ISNUMBER(J1497))),IFERROR(MOD(J1497,1),1)&gt;0,AND(ISNUMBER(J1497),OR(J1497&lt;50,J1497&gt;20000000))),"Введите целое число от 50 до 20000000",IF(NOT(ABS(IFERROR(VALUE(LEFT(M1497,FIND("-",M1497)-1)),M1497)*100-(5000+2000000000)/2)&lt;=ABS(5000-2000000000)/2),"Цена со скидкой должна быть от 50 до 20000000",IF(IFERROR(VALUE(LEFT(M1497,FIND("-",M1497)-1)),M1497)*190&lt;36000,"Вы уменьшили цену в несколько раз, товар попадет в карантин цен","")))),"")</f>
      </c>
    </row>
    <row r="1498">
      <c r="A1498" s="2" t="inlineStr">
        <is>
          <t>CuteShop</t>
        </is>
      </c>
      <c r="B1498" s="2" t="inlineStr">
        <is>
          <t>Ленты для рукоделия</t>
        </is>
      </c>
      <c r="C1498" s="2">
        <v>215885579</v>
      </c>
      <c r="D1498" s="2" t="inlineStr">
        <is>
          <t>Lenta-Rep-Straz-Roz</t>
        </is>
      </c>
      <c r="E1498" s="2" t="inlineStr">
        <is>
          <t>2039629658949</t>
        </is>
      </c>
      <c r="F1498" s="2">
        <v>0</v>
      </c>
      <c r="G1498" s="2">
        <v>0</v>
      </c>
      <c r="H1498" s="2">
        <v>1</v>
      </c>
      <c r="I1498" s="2" t="inlineStr">
        <is>
          <t>440</t>
        </is>
      </c>
      <c r="J1498" s="4"/>
      <c r="K1498" s="2">
        <v>0</v>
      </c>
      <c r="L1498" s="6"/>
      <c r="M1498" s="2" t="str">
        <f>IF(J1498="",ROUND(I1498*(1-IF(ISBLANK(L1498),K1498,L1498)/100),2),ROUND(J1498*(1-IF(ISBLANK(L1498),K1498,L1498)/100),2))</f>
      </c>
      <c r="N1498" s="7" t="str">
        <f>IF(NOT(AND(J1498="",L1498="")),IF(OR(AND(L1498&lt;&gt;"",NOT(ISNUMBER(L1498))),IFERROR(MOD(L1498,1),1)&gt;0,AND(ISNUMBER(L1498),OR(L1498&lt;0,L1498&gt;95))),"Введите целое число от 0 до 95",IF(OR(AND(J1498&lt;&gt;"",NOT(ISNUMBER(J1498))),IFERROR(MOD(J1498,1),1)&gt;0,AND(ISNUMBER(J1498),OR(J1498&lt;50,J1498&gt;20000000))),"Введите целое число от 50 до 20000000",IF(NOT(ABS(IFERROR(VALUE(LEFT(M1498,FIND("-",M1498)-1)),M1498)*100-(5000+2000000000)/2)&lt;=ABS(5000-2000000000)/2),"Цена со скидкой должна быть от 50 до 20000000",IF(IFERROR(VALUE(LEFT(M1498,FIND("-",M1498)-1)),M1498)*190&lt;44000,"Вы уменьшили цену в несколько раз, товар попадет в карантин цен","")))),"")</f>
      </c>
    </row>
    <row r="1499">
      <c r="A1499" s="2" t="inlineStr">
        <is>
          <t>CuteShop</t>
        </is>
      </c>
      <c r="B1499" s="2" t="inlineStr">
        <is>
          <t>Ленты для рукоделия</t>
        </is>
      </c>
      <c r="C1499" s="2">
        <v>215901973</v>
      </c>
      <c r="D1499" s="2" t="inlineStr">
        <is>
          <t>Lenta-Rep-Serdechki-Bel-2,2</t>
        </is>
      </c>
      <c r="E1499" s="2" t="inlineStr">
        <is>
          <t>2039629846094</t>
        </is>
      </c>
      <c r="F1499" s="2">
        <v>0</v>
      </c>
      <c r="G1499" s="2">
        <v>0</v>
      </c>
      <c r="H1499" s="2" t="inlineStr">
        <is>
          <t/>
        </is>
      </c>
      <c r="I1499" s="2" t="inlineStr">
        <is>
          <t>490</t>
        </is>
      </c>
      <c r="J1499" s="4"/>
      <c r="K1499" s="2">
        <v>0</v>
      </c>
      <c r="L1499" s="6"/>
      <c r="M1499" s="2" t="str">
        <f>IF(J1499="",ROUND(I1499*(1-IF(ISBLANK(L1499),K1499,L1499)/100),2),ROUND(J1499*(1-IF(ISBLANK(L1499),K1499,L1499)/100),2))</f>
      </c>
      <c r="N1499" s="7" t="str">
        <f>IF(NOT(AND(J1499="",L1499="")),IF(OR(AND(L1499&lt;&gt;"",NOT(ISNUMBER(L1499))),IFERROR(MOD(L1499,1),1)&gt;0,AND(ISNUMBER(L1499),OR(L1499&lt;0,L1499&gt;95))),"Введите целое число от 0 до 95",IF(OR(AND(J1499&lt;&gt;"",NOT(ISNUMBER(J1499))),IFERROR(MOD(J1499,1),1)&gt;0,AND(ISNUMBER(J1499),OR(J1499&lt;50,J1499&gt;20000000))),"Введите целое число от 50 до 20000000",IF(NOT(ABS(IFERROR(VALUE(LEFT(M1499,FIND("-",M1499)-1)),M1499)*100-(5000+2000000000)/2)&lt;=ABS(5000-2000000000)/2),"Цена со скидкой должна быть от 50 до 20000000",IF(IFERROR(VALUE(LEFT(M1499,FIND("-",M1499)-1)),M1499)*190&lt;49000,"Вы уменьшили цену в несколько раз, товар попадет в карантин цен","")))),"")</f>
      </c>
    </row>
    <row r="1500">
      <c r="A1500" s="2" t="inlineStr">
        <is>
          <t>CuteShop</t>
        </is>
      </c>
      <c r="B1500" s="2" t="inlineStr">
        <is>
          <t>Ленты для рукоделия</t>
        </is>
      </c>
      <c r="C1500" s="2">
        <v>215899923</v>
      </c>
      <c r="D1500" s="2" t="inlineStr">
        <is>
          <t>Lenta-Rep-Serdechki-Gol-3,6</t>
        </is>
      </c>
      <c r="E1500" s="2" t="inlineStr">
        <is>
          <t>2039629830772</t>
        </is>
      </c>
      <c r="F1500" s="2">
        <v>0</v>
      </c>
      <c r="G1500" s="2">
        <v>0</v>
      </c>
      <c r="H1500" s="2" t="inlineStr">
        <is>
          <t/>
        </is>
      </c>
      <c r="I1500" s="2" t="inlineStr">
        <is>
          <t>420</t>
        </is>
      </c>
      <c r="J1500" s="4"/>
      <c r="K1500" s="2">
        <v>0</v>
      </c>
      <c r="L1500" s="6"/>
      <c r="M1500" s="2" t="str">
        <f>IF(J1500="",ROUND(I1500*(1-IF(ISBLANK(L1500),K1500,L1500)/100),2),ROUND(J1500*(1-IF(ISBLANK(L1500),K1500,L1500)/100),2))</f>
      </c>
      <c r="N1500" s="7" t="str">
        <f>IF(NOT(AND(J1500="",L1500="")),IF(OR(AND(L1500&lt;&gt;"",NOT(ISNUMBER(L1500))),IFERROR(MOD(L1500,1),1)&gt;0,AND(ISNUMBER(L1500),OR(L1500&lt;0,L1500&gt;95))),"Введите целое число от 0 до 95",IF(OR(AND(J1500&lt;&gt;"",NOT(ISNUMBER(J1500))),IFERROR(MOD(J1500,1),1)&gt;0,AND(ISNUMBER(J1500),OR(J1500&lt;50,J1500&gt;20000000))),"Введите целое число от 50 до 20000000",IF(NOT(ABS(IFERROR(VALUE(LEFT(M1500,FIND("-",M1500)-1)),M1500)*100-(5000+2000000000)/2)&lt;=ABS(5000-2000000000)/2),"Цена со скидкой должна быть от 50 до 20000000",IF(IFERROR(VALUE(LEFT(M1500,FIND("-",M1500)-1)),M1500)*190&lt;42000,"Вы уменьшили цену в несколько раз, товар попадет в карантин цен","")))),"")</f>
      </c>
    </row>
    <row r="1501">
      <c r="A1501" s="2" t="inlineStr">
        <is>
          <t>CuteShop</t>
        </is>
      </c>
      <c r="B1501" s="2" t="inlineStr">
        <is>
          <t>Ленты для рукоделия</t>
        </is>
      </c>
      <c r="C1501" s="2">
        <v>277257779</v>
      </c>
      <c r="D1501" s="2" t="inlineStr">
        <is>
          <t>Lenta-Rep-Nab-Zim</t>
        </is>
      </c>
      <c r="E1501" s="2" t="inlineStr">
        <is>
          <t>2041637967227</t>
        </is>
      </c>
      <c r="F1501" s="2">
        <v>0</v>
      </c>
      <c r="G1501" s="2">
        <v>0</v>
      </c>
      <c r="H1501" s="2" t="inlineStr">
        <is>
          <t/>
        </is>
      </c>
      <c r="I1501" s="2" t="inlineStr">
        <is>
          <t>520</t>
        </is>
      </c>
      <c r="J1501" s="4"/>
      <c r="K1501" s="2">
        <v>0</v>
      </c>
      <c r="L1501" s="6"/>
      <c r="M1501" s="2" t="str">
        <f>IF(J1501="",ROUND(I1501*(1-IF(ISBLANK(L1501),K1501,L1501)/100),2),ROUND(J1501*(1-IF(ISBLANK(L1501),K1501,L1501)/100),2))</f>
      </c>
      <c r="N1501" s="7" t="str">
        <f>IF(NOT(AND(J1501="",L1501="")),IF(OR(AND(L1501&lt;&gt;"",NOT(ISNUMBER(L1501))),IFERROR(MOD(L1501,1),1)&gt;0,AND(ISNUMBER(L1501),OR(L1501&lt;0,L1501&gt;95))),"Введите целое число от 0 до 95",IF(OR(AND(J1501&lt;&gt;"",NOT(ISNUMBER(J1501))),IFERROR(MOD(J1501,1),1)&gt;0,AND(ISNUMBER(J1501),OR(J1501&lt;50,J1501&gt;20000000))),"Введите целое число от 50 до 20000000",IF(NOT(ABS(IFERROR(VALUE(LEFT(M1501,FIND("-",M1501)-1)),M1501)*100-(5000+2000000000)/2)&lt;=ABS(5000-2000000000)/2),"Цена со скидкой должна быть от 50 до 20000000",IF(IFERROR(VALUE(LEFT(M1501,FIND("-",M1501)-1)),M1501)*190&lt;52000,"Вы уменьшили цену в несколько раз, товар попадет в карантин цен","")))),"")</f>
      </c>
    </row>
    <row r="1502">
      <c r="A1502" s="2" t="inlineStr">
        <is>
          <t>CuteShop</t>
        </is>
      </c>
      <c r="B1502" s="2" t="inlineStr">
        <is>
          <t>Ленты для рукоделия</t>
        </is>
      </c>
      <c r="C1502" s="2">
        <v>277259384</v>
      </c>
      <c r="D1502" s="2" t="inlineStr">
        <is>
          <t>Lenta-Rep-Nab-Zim_</t>
        </is>
      </c>
      <c r="E1502" s="2" t="inlineStr">
        <is>
          <t>2041637982114</t>
        </is>
      </c>
      <c r="F1502" s="2">
        <v>0</v>
      </c>
      <c r="G1502" s="2">
        <v>0</v>
      </c>
      <c r="H1502" s="2" t="inlineStr">
        <is>
          <t/>
        </is>
      </c>
      <c r="I1502" s="2" t="inlineStr">
        <is>
          <t>520</t>
        </is>
      </c>
      <c r="J1502" s="4"/>
      <c r="K1502" s="2">
        <v>0</v>
      </c>
      <c r="L1502" s="6"/>
      <c r="M1502" s="2" t="str">
        <f>IF(J1502="",ROUND(I1502*(1-IF(ISBLANK(L1502),K1502,L1502)/100),2),ROUND(J1502*(1-IF(ISBLANK(L1502),K1502,L1502)/100),2))</f>
      </c>
      <c r="N1502" s="7" t="str">
        <f>IF(NOT(AND(J1502="",L1502="")),IF(OR(AND(L1502&lt;&gt;"",NOT(ISNUMBER(L1502))),IFERROR(MOD(L1502,1),1)&gt;0,AND(ISNUMBER(L1502),OR(L1502&lt;0,L1502&gt;95))),"Введите целое число от 0 до 95",IF(OR(AND(J1502&lt;&gt;"",NOT(ISNUMBER(J1502))),IFERROR(MOD(J1502,1),1)&gt;0,AND(ISNUMBER(J1502),OR(J1502&lt;50,J1502&gt;20000000))),"Введите целое число от 50 до 20000000",IF(NOT(ABS(IFERROR(VALUE(LEFT(M1502,FIND("-",M1502)-1)),M1502)*100-(5000+2000000000)/2)&lt;=ABS(5000-2000000000)/2),"Цена со скидкой должна быть от 50 до 20000000",IF(IFERROR(VALUE(LEFT(M1502,FIND("-",M1502)-1)),M1502)*190&lt;52000,"Вы уменьшили цену в несколько раз, товар попадет в карантин цен","")))),"")</f>
      </c>
    </row>
    <row r="1503">
      <c r="A1503" s="2" t="inlineStr">
        <is>
          <t>CuteShop</t>
        </is>
      </c>
      <c r="B1503" s="2" t="inlineStr">
        <is>
          <t>Бусины</t>
        </is>
      </c>
      <c r="C1503" s="2">
        <v>151572901</v>
      </c>
      <c r="D1503" s="2" t="inlineStr">
        <is>
          <t>Bus-akril-mix2-720</t>
        </is>
      </c>
      <c r="E1503" s="2" t="inlineStr">
        <is>
          <t>2037600504841</t>
        </is>
      </c>
      <c r="F1503" s="2">
        <v>0</v>
      </c>
      <c r="G1503" s="2">
        <v>0</v>
      </c>
      <c r="H1503" s="2" t="inlineStr">
        <is>
          <t/>
        </is>
      </c>
      <c r="I1503" s="2" t="inlineStr">
        <is>
          <t>600</t>
        </is>
      </c>
      <c r="J1503" s="4"/>
      <c r="K1503" s="2">
        <v>0</v>
      </c>
      <c r="L1503" s="6"/>
      <c r="M1503" s="2" t="str">
        <f>IF(J1503="",ROUND(I1503*(1-IF(ISBLANK(L1503),K1503,L1503)/100),2),ROUND(J1503*(1-IF(ISBLANK(L1503),K1503,L1503)/100),2))</f>
      </c>
      <c r="N1503" s="7" t="str">
        <f>IF(NOT(AND(J1503="",L1503="")),IF(OR(AND(L1503&lt;&gt;"",NOT(ISNUMBER(L1503))),IFERROR(MOD(L1503,1),1)&gt;0,AND(ISNUMBER(L1503),OR(L1503&lt;0,L1503&gt;95))),"Введите целое число от 0 до 95",IF(OR(AND(J1503&lt;&gt;"",NOT(ISNUMBER(J1503))),IFERROR(MOD(J1503,1),1)&gt;0,AND(ISNUMBER(J1503),OR(J1503&lt;50,J1503&gt;20000000))),"Введите целое число от 50 до 20000000",IF(NOT(ABS(IFERROR(VALUE(LEFT(M1503,FIND("-",M1503)-1)),M1503)*100-(5000+2000000000)/2)&lt;=ABS(5000-2000000000)/2),"Цена со скидкой должна быть от 50 до 20000000",IF(IFERROR(VALUE(LEFT(M1503,FIND("-",M1503)-1)),M1503)*190&lt;60000,"Вы уменьшили цену в несколько раз, товар попадет в карантин цен","")))),"")</f>
      </c>
    </row>
    <row r="1504">
      <c r="A1504" s="2" t="inlineStr">
        <is>
          <t>CuteShop</t>
        </is>
      </c>
      <c r="B1504" s="2" t="inlineStr">
        <is>
          <t>Ленты для рукоделия</t>
        </is>
      </c>
      <c r="C1504" s="2">
        <v>116437126</v>
      </c>
      <c r="D1504" s="2" t="inlineStr">
        <is>
          <t>Lenta-Rep-Shkoln3</t>
        </is>
      </c>
      <c r="E1504" s="2" t="inlineStr">
        <is>
          <t>2041652792620</t>
        </is>
      </c>
      <c r="F1504" s="2">
        <v>0</v>
      </c>
      <c r="G1504" s="2">
        <v>0</v>
      </c>
      <c r="H1504" s="2">
        <v>0</v>
      </c>
      <c r="I1504" s="2" t="inlineStr">
        <is>
          <t>369</t>
        </is>
      </c>
      <c r="J1504" s="4"/>
      <c r="K1504" s="2">
        <v>0</v>
      </c>
      <c r="L1504" s="6"/>
      <c r="M1504" s="2" t="str">
        <f>IF(J1504="",ROUND(I1504*(1-IF(ISBLANK(L1504),K1504,L1504)/100),2),ROUND(J1504*(1-IF(ISBLANK(L1504),K1504,L1504)/100),2))</f>
      </c>
      <c r="N1504" s="7" t="str">
        <f>IF(NOT(AND(J1504="",L1504="")),IF(OR(AND(L1504&lt;&gt;"",NOT(ISNUMBER(L1504))),IFERROR(MOD(L1504,1),1)&gt;0,AND(ISNUMBER(L1504),OR(L1504&lt;0,L1504&gt;95))),"Введите целое число от 0 до 95",IF(OR(AND(J1504&lt;&gt;"",NOT(ISNUMBER(J1504))),IFERROR(MOD(J1504,1),1)&gt;0,AND(ISNUMBER(J1504),OR(J1504&lt;50,J1504&gt;20000000))),"Введите целое число от 50 до 20000000",IF(NOT(ABS(IFERROR(VALUE(LEFT(M1504,FIND("-",M1504)-1)),M1504)*100-(5000+2000000000)/2)&lt;=ABS(5000-2000000000)/2),"Цена со скидкой должна быть от 50 до 20000000",IF(IFERROR(VALUE(LEFT(M1504,FIND("-",M1504)-1)),M1504)*190&lt;36900,"Вы уменьшили цену в несколько раз, товар попадет в карантин цен","")))),"")</f>
      </c>
    </row>
    <row r="1505">
      <c r="A1505" s="2" t="inlineStr">
        <is>
          <t>CuteShop</t>
        </is>
      </c>
      <c r="B1505" s="2" t="inlineStr">
        <is>
          <t>Ленты для рукоделия</t>
        </is>
      </c>
      <c r="C1505" s="2">
        <v>191766150</v>
      </c>
      <c r="D1505" s="2" t="inlineStr">
        <is>
          <t>Lenta-Rep-Snezh-BelZol-40-8</t>
        </is>
      </c>
      <c r="E1505" s="2" t="inlineStr">
        <is>
          <t>2039051175571</t>
        </is>
      </c>
      <c r="F1505" s="2">
        <v>0</v>
      </c>
      <c r="G1505" s="2">
        <v>0</v>
      </c>
      <c r="H1505" s="2" t="inlineStr">
        <is>
          <t/>
        </is>
      </c>
      <c r="I1505" s="2" t="inlineStr">
        <is>
          <t>440</t>
        </is>
      </c>
      <c r="J1505" s="4"/>
      <c r="K1505" s="2">
        <v>0</v>
      </c>
      <c r="L1505" s="6"/>
      <c r="M1505" s="2" t="str">
        <f>IF(J1505="",ROUND(I1505*(1-IF(ISBLANK(L1505),K1505,L1505)/100),2),ROUND(J1505*(1-IF(ISBLANK(L1505),K1505,L1505)/100),2))</f>
      </c>
      <c r="N1505" s="7" t="str">
        <f>IF(NOT(AND(J1505="",L1505="")),IF(OR(AND(L1505&lt;&gt;"",NOT(ISNUMBER(L1505))),IFERROR(MOD(L1505,1),1)&gt;0,AND(ISNUMBER(L1505),OR(L1505&lt;0,L1505&gt;95))),"Введите целое число от 0 до 95",IF(OR(AND(J1505&lt;&gt;"",NOT(ISNUMBER(J1505))),IFERROR(MOD(J1505,1),1)&gt;0,AND(ISNUMBER(J1505),OR(J1505&lt;50,J1505&gt;20000000))),"Введите целое число от 50 до 20000000",IF(NOT(ABS(IFERROR(VALUE(LEFT(M1505,FIND("-",M1505)-1)),M1505)*100-(5000+2000000000)/2)&lt;=ABS(5000-2000000000)/2),"Цена со скидкой должна быть от 50 до 20000000",IF(IFERROR(VALUE(LEFT(M1505,FIND("-",M1505)-1)),M1505)*190&lt;44000,"Вы уменьшили цену в несколько раз, товар попадет в карантин цен","")))),"")</f>
      </c>
    </row>
    <row r="1506">
      <c r="A1506" s="2" t="inlineStr">
        <is>
          <t>CuteShop</t>
        </is>
      </c>
      <c r="B1506" s="2" t="inlineStr">
        <is>
          <t>Аксессуары для рукоделия</t>
        </is>
      </c>
      <c r="C1506" s="2">
        <v>139454885</v>
      </c>
      <c r="D1506" s="2" t="inlineStr">
        <is>
          <t>Podves-Mishki7-20</t>
        </is>
      </c>
      <c r="E1506" s="2" t="inlineStr">
        <is>
          <t>2037275857839</t>
        </is>
      </c>
      <c r="F1506" s="2">
        <v>0</v>
      </c>
      <c r="G1506" s="2">
        <v>0</v>
      </c>
      <c r="H1506" s="2">
        <v>0</v>
      </c>
      <c r="I1506" s="2" t="inlineStr">
        <is>
          <t>370</t>
        </is>
      </c>
      <c r="J1506" s="4"/>
      <c r="K1506" s="2">
        <v>0</v>
      </c>
      <c r="L1506" s="6"/>
      <c r="M1506" s="2" t="str">
        <f>IF(J1506="",ROUND(I1506*(1-IF(ISBLANK(L1506),K1506,L1506)/100),2),ROUND(J1506*(1-IF(ISBLANK(L1506),K1506,L1506)/100),2))</f>
      </c>
      <c r="N1506" s="7" t="str">
        <f>IF(NOT(AND(J1506="",L1506="")),IF(OR(AND(L1506&lt;&gt;"",NOT(ISNUMBER(L1506))),IFERROR(MOD(L1506,1),1)&gt;0,AND(ISNUMBER(L1506),OR(L1506&lt;0,L1506&gt;95))),"Введите целое число от 0 до 95",IF(OR(AND(J1506&lt;&gt;"",NOT(ISNUMBER(J1506))),IFERROR(MOD(J1506,1),1)&gt;0,AND(ISNUMBER(J1506),OR(J1506&lt;50,J1506&gt;20000000))),"Введите целое число от 50 до 20000000",IF(NOT(ABS(IFERROR(VALUE(LEFT(M1506,FIND("-",M1506)-1)),M1506)*100-(5000+2000000000)/2)&lt;=ABS(5000-2000000000)/2),"Цена со скидкой должна быть от 50 до 20000000",IF(IFERROR(VALUE(LEFT(M1506,FIND("-",M1506)-1)),M1506)*190&lt;37000,"Вы уменьшили цену в несколько раз, товар попадет в карантин цен","")))),"")</f>
      </c>
    </row>
    <row r="1507">
      <c r="A1507" s="2" t="inlineStr">
        <is>
          <t>CuteShop</t>
        </is>
      </c>
      <c r="B1507" s="2" t="inlineStr">
        <is>
          <t>Аксессуары для рукоделия</t>
        </is>
      </c>
      <c r="C1507" s="2">
        <v>118222411</v>
      </c>
      <c r="D1507" s="2" t="inlineStr">
        <is>
          <t>Podves-Mishki-16-2cvet</t>
        </is>
      </c>
      <c r="E1507" s="2" t="inlineStr">
        <is>
          <t>2042798570622</t>
        </is>
      </c>
      <c r="F1507" s="2">
        <v>0</v>
      </c>
      <c r="G1507" s="2">
        <v>0</v>
      </c>
      <c r="H1507" s="2">
        <v>0</v>
      </c>
      <c r="I1507" s="2" t="inlineStr">
        <is>
          <t>464</t>
        </is>
      </c>
      <c r="J1507" s="4"/>
      <c r="K1507" s="2">
        <v>0</v>
      </c>
      <c r="L1507" s="6"/>
      <c r="M1507" s="2" t="str">
        <f>IF(J1507="",ROUND(I1507*(1-IF(ISBLANK(L1507),K1507,L1507)/100),2),ROUND(J1507*(1-IF(ISBLANK(L1507),K1507,L1507)/100),2))</f>
      </c>
      <c r="N1507" s="7" t="str">
        <f>IF(NOT(AND(J1507="",L1507="")),IF(OR(AND(L1507&lt;&gt;"",NOT(ISNUMBER(L1507))),IFERROR(MOD(L1507,1),1)&gt;0,AND(ISNUMBER(L1507),OR(L1507&lt;0,L1507&gt;95))),"Введите целое число от 0 до 95",IF(OR(AND(J1507&lt;&gt;"",NOT(ISNUMBER(J1507))),IFERROR(MOD(J1507,1),1)&gt;0,AND(ISNUMBER(J1507),OR(J1507&lt;50,J1507&gt;20000000))),"Введите целое число от 50 до 20000000",IF(NOT(ABS(IFERROR(VALUE(LEFT(M1507,FIND("-",M1507)-1)),M1507)*100-(5000+2000000000)/2)&lt;=ABS(5000-2000000000)/2),"Цена со скидкой должна быть от 50 до 20000000",IF(IFERROR(VALUE(LEFT(M1507,FIND("-",M1507)-1)),M1507)*190&lt;46400,"Вы уменьшили цену в несколько раз, товар попадет в карантин цен","")))),"")</f>
      </c>
    </row>
    <row r="1508">
      <c r="A1508" s="2" t="inlineStr">
        <is>
          <t>CuteShop</t>
        </is>
      </c>
      <c r="B1508" s="2" t="inlineStr">
        <is>
          <t>Аксессуары для рукоделия</t>
        </is>
      </c>
      <c r="C1508" s="2">
        <v>137867449</v>
      </c>
      <c r="D1508" s="2" t="inlineStr">
        <is>
          <t>Ser-Straz-GolOval-2</t>
        </is>
      </c>
      <c r="E1508" s="2" t="inlineStr">
        <is>
          <t>2037234272048</t>
        </is>
      </c>
      <c r="F1508" s="2">
        <v>0</v>
      </c>
      <c r="G1508" s="2">
        <v>0</v>
      </c>
      <c r="H1508" s="2" t="inlineStr">
        <is>
          <t/>
        </is>
      </c>
      <c r="I1508" s="2" t="inlineStr">
        <is>
          <t>290</t>
        </is>
      </c>
      <c r="J1508" s="4"/>
      <c r="K1508" s="2">
        <v>0</v>
      </c>
      <c r="L1508" s="6"/>
      <c r="M1508" s="2" t="str">
        <f>IF(J1508="",ROUND(I1508*(1-IF(ISBLANK(L1508),K1508,L1508)/100),2),ROUND(J1508*(1-IF(ISBLANK(L1508),K1508,L1508)/100),2))</f>
      </c>
      <c r="N1508" s="7" t="str">
        <f>IF(NOT(AND(J1508="",L1508="")),IF(OR(AND(L1508&lt;&gt;"",NOT(ISNUMBER(L1508))),IFERROR(MOD(L1508,1),1)&gt;0,AND(ISNUMBER(L1508),OR(L1508&lt;0,L1508&gt;95))),"Введите целое число от 0 до 95",IF(OR(AND(J1508&lt;&gt;"",NOT(ISNUMBER(J1508))),IFERROR(MOD(J1508,1),1)&gt;0,AND(ISNUMBER(J1508),OR(J1508&lt;50,J1508&gt;20000000))),"Введите целое число от 50 до 20000000",IF(NOT(ABS(IFERROR(VALUE(LEFT(M1508,FIND("-",M1508)-1)),M1508)*100-(5000+2000000000)/2)&lt;=ABS(5000-2000000000)/2),"Цена со скидкой должна быть от 50 до 20000000",IF(IFERROR(VALUE(LEFT(M1508,FIND("-",M1508)-1)),M1508)*190&lt;29000,"Вы уменьшили цену в несколько раз, товар попадет в карантин цен","")))),"")</f>
      </c>
    </row>
    <row r="1509">
      <c r="A1509" s="2" t="inlineStr">
        <is>
          <t>CuteShop</t>
        </is>
      </c>
      <c r="B1509" s="2" t="inlineStr">
        <is>
          <t>Ленты для рукоделия</t>
        </is>
      </c>
      <c r="C1509" s="2">
        <v>398640035</v>
      </c>
      <c r="D1509" s="2" t="inlineStr">
        <is>
          <t>Lenta-Rep-9May-10-4m</t>
        </is>
      </c>
      <c r="E1509" s="2" t="inlineStr">
        <is>
          <t>2043775612984</t>
        </is>
      </c>
      <c r="F1509" s="2">
        <v>0</v>
      </c>
      <c r="G1509" s="2">
        <v>0</v>
      </c>
      <c r="H1509" s="2" t="inlineStr">
        <is>
          <t/>
        </is>
      </c>
      <c r="I1509" s="2" t="inlineStr">
        <is>
          <t>310</t>
        </is>
      </c>
      <c r="J1509" s="4"/>
      <c r="K1509" s="2">
        <v>5</v>
      </c>
      <c r="L1509" s="6"/>
      <c r="M1509" s="2" t="str">
        <f>IF(J1509="",ROUND(I1509*(1-IF(ISBLANK(L1509),K1509,L1509)/100),2),ROUND(J1509*(1-IF(ISBLANK(L1509),K1509,L1509)/100),2))</f>
      </c>
      <c r="N1509" s="7" t="str">
        <f>IF(NOT(AND(J1509="",L1509="")),IF(OR(AND(L1509&lt;&gt;"",NOT(ISNUMBER(L1509))),IFERROR(MOD(L1509,1),1)&gt;0,AND(ISNUMBER(L1509),OR(L1509&lt;0,L1509&gt;95))),"Введите целое число от 0 до 95",IF(OR(AND(J1509&lt;&gt;"",NOT(ISNUMBER(J1509))),IFERROR(MOD(J1509,1),1)&gt;0,AND(ISNUMBER(J1509),OR(J1509&lt;50,J1509&gt;20000000))),"Введите целое число от 50 до 20000000",IF(NOT(ABS(IFERROR(VALUE(LEFT(M1509,FIND("-",M1509)-1)),M1509)*100-(5000+2000000000)/2)&lt;=ABS(5000-2000000000)/2),"Цена со скидкой должна быть от 50 до 20000000",IF(IFERROR(VALUE(LEFT(M1509,FIND("-",M1509)-1)),M1509)*190&lt;29450,"Вы уменьшили цену в несколько раз, товар попадет в карантин цен","")))),"")</f>
      </c>
    </row>
    <row r="1510">
      <c r="A1510" s="2" t="inlineStr">
        <is>
          <t>CuteShop</t>
        </is>
      </c>
      <c r="B1510" s="2" t="inlineStr">
        <is>
          <t>Аксессуары для рукоделия</t>
        </is>
      </c>
      <c r="C1510" s="2">
        <v>137867448</v>
      </c>
      <c r="D1510" s="2" t="inlineStr">
        <is>
          <t>Ser-Straz-RozOval-2</t>
        </is>
      </c>
      <c r="E1510" s="2" t="inlineStr">
        <is>
          <t>2037234275292</t>
        </is>
      </c>
      <c r="F1510" s="2">
        <v>0</v>
      </c>
      <c r="G1510" s="2">
        <v>0</v>
      </c>
      <c r="H1510" s="2">
        <v>0</v>
      </c>
      <c r="I1510" s="2" t="inlineStr">
        <is>
          <t>290</t>
        </is>
      </c>
      <c r="J1510" s="4"/>
      <c r="K1510" s="2">
        <v>0</v>
      </c>
      <c r="L1510" s="6"/>
      <c r="M1510" s="2" t="str">
        <f>IF(J1510="",ROUND(I1510*(1-IF(ISBLANK(L1510),K1510,L1510)/100),2),ROUND(J1510*(1-IF(ISBLANK(L1510),K1510,L1510)/100),2))</f>
      </c>
      <c r="N1510" s="7" t="str">
        <f>IF(NOT(AND(J1510="",L1510="")),IF(OR(AND(L1510&lt;&gt;"",NOT(ISNUMBER(L1510))),IFERROR(MOD(L1510,1),1)&gt;0,AND(ISNUMBER(L1510),OR(L1510&lt;0,L1510&gt;95))),"Введите целое число от 0 до 95",IF(OR(AND(J1510&lt;&gt;"",NOT(ISNUMBER(J1510))),IFERROR(MOD(J1510,1),1)&gt;0,AND(ISNUMBER(J1510),OR(J1510&lt;50,J1510&gt;20000000))),"Введите целое число от 50 до 20000000",IF(NOT(ABS(IFERROR(VALUE(LEFT(M1510,FIND("-",M1510)-1)),M1510)*100-(5000+2000000000)/2)&lt;=ABS(5000-2000000000)/2),"Цена со скидкой должна быть от 50 до 20000000",IF(IFERROR(VALUE(LEFT(M1510,FIND("-",M1510)-1)),M1510)*190&lt;29000,"Вы уменьшили цену в несколько раз, товар попадет в карантин цен","")))),"")</f>
      </c>
    </row>
    <row r="1511">
      <c r="A1511" s="2" t="inlineStr">
        <is>
          <t>CuteShop</t>
        </is>
      </c>
      <c r="B1511" s="2" t="inlineStr">
        <is>
          <t>Бусины</t>
        </is>
      </c>
      <c r="C1511" s="2">
        <v>151583879</v>
      </c>
      <c r="D1511" s="2" t="inlineStr">
        <is>
          <t>Bus-akril-8mm-mix2-500</t>
        </is>
      </c>
      <c r="E1511" s="2" t="inlineStr">
        <is>
          <t>2037600731766</t>
        </is>
      </c>
      <c r="F1511" s="2">
        <v>0</v>
      </c>
      <c r="G1511" s="2">
        <v>0</v>
      </c>
      <c r="H1511" s="2" t="inlineStr">
        <is>
          <t/>
        </is>
      </c>
      <c r="I1511" s="2" t="inlineStr">
        <is>
          <t>620</t>
        </is>
      </c>
      <c r="J1511" s="4"/>
      <c r="K1511" s="2">
        <v>0</v>
      </c>
      <c r="L1511" s="6"/>
      <c r="M1511" s="2" t="str">
        <f>IF(J1511="",ROUND(I1511*(1-IF(ISBLANK(L1511),K1511,L1511)/100),2),ROUND(J1511*(1-IF(ISBLANK(L1511),K1511,L1511)/100),2))</f>
      </c>
      <c r="N1511" s="7" t="str">
        <f>IF(NOT(AND(J1511="",L1511="")),IF(OR(AND(L1511&lt;&gt;"",NOT(ISNUMBER(L1511))),IFERROR(MOD(L1511,1),1)&gt;0,AND(ISNUMBER(L1511),OR(L1511&lt;0,L1511&gt;95))),"Введите целое число от 0 до 95",IF(OR(AND(J1511&lt;&gt;"",NOT(ISNUMBER(J1511))),IFERROR(MOD(J1511,1),1)&gt;0,AND(ISNUMBER(J1511),OR(J1511&lt;50,J1511&gt;20000000))),"Введите целое число от 50 до 20000000",IF(NOT(ABS(IFERROR(VALUE(LEFT(M1511,FIND("-",M1511)-1)),M1511)*100-(5000+2000000000)/2)&lt;=ABS(5000-2000000000)/2),"Цена со скидкой должна быть от 50 до 20000000",IF(IFERROR(VALUE(LEFT(M1511,FIND("-",M1511)-1)),M1511)*190&lt;62000,"Вы уменьшили цену в несколько раз, товар попадет в карантин цен","")))),"")</f>
      </c>
    </row>
    <row r="1512">
      <c r="A1512" s="2" t="inlineStr">
        <is>
          <t>CuteShop</t>
        </is>
      </c>
      <c r="B1512" s="2" t="inlineStr">
        <is>
          <t>Аксессуары для рукоделия</t>
        </is>
      </c>
      <c r="C1512" s="2">
        <v>245093530</v>
      </c>
      <c r="D1512" s="2" t="inlineStr">
        <is>
          <t>Kab-Ledenec-10</t>
        </is>
      </c>
      <c r="E1512" s="2" t="inlineStr">
        <is>
          <t>2040697240219</t>
        </is>
      </c>
      <c r="F1512" s="2">
        <v>0</v>
      </c>
      <c r="G1512" s="2">
        <v>0</v>
      </c>
      <c r="H1512" s="2" t="inlineStr">
        <is>
          <t/>
        </is>
      </c>
      <c r="I1512" s="2" t="inlineStr">
        <is>
          <t>370</t>
        </is>
      </c>
      <c r="J1512" s="4"/>
      <c r="K1512" s="2">
        <v>0</v>
      </c>
      <c r="L1512" s="6"/>
      <c r="M1512" s="2" t="str">
        <f>IF(J1512="",ROUND(I1512*(1-IF(ISBLANK(L1512),K1512,L1512)/100),2),ROUND(J1512*(1-IF(ISBLANK(L1512),K1512,L1512)/100),2))</f>
      </c>
      <c r="N1512" s="7" t="str">
        <f>IF(NOT(AND(J1512="",L1512="")),IF(OR(AND(L1512&lt;&gt;"",NOT(ISNUMBER(L1512))),IFERROR(MOD(L1512,1),1)&gt;0,AND(ISNUMBER(L1512),OR(L1512&lt;0,L1512&gt;95))),"Введите целое число от 0 до 95",IF(OR(AND(J1512&lt;&gt;"",NOT(ISNUMBER(J1512))),IFERROR(MOD(J1512,1),1)&gt;0,AND(ISNUMBER(J1512),OR(J1512&lt;50,J1512&gt;20000000))),"Введите целое число от 50 до 20000000",IF(NOT(ABS(IFERROR(VALUE(LEFT(M1512,FIND("-",M1512)-1)),M1512)*100-(5000+2000000000)/2)&lt;=ABS(5000-2000000000)/2),"Цена со скидкой должна быть от 50 до 20000000",IF(IFERROR(VALUE(LEFT(M1512,FIND("-",M1512)-1)),M1512)*190&lt;37000,"Вы уменьшили цену в несколько раз, товар попадет в карантин цен","")))),"")</f>
      </c>
    </row>
    <row r="1513">
      <c r="A1513" s="2" t="inlineStr">
        <is>
          <t>CuteShop</t>
        </is>
      </c>
      <c r="B1513" s="2" t="inlineStr">
        <is>
          <t>Аксессуары для рукоделия</t>
        </is>
      </c>
      <c r="C1513" s="2">
        <v>138945996</v>
      </c>
      <c r="D1513" s="2" t="inlineStr">
        <is>
          <t>Ser-Straz-Azhurmix-4</t>
        </is>
      </c>
      <c r="E1513" s="2" t="inlineStr">
        <is>
          <t>2037255615183</t>
        </is>
      </c>
      <c r="F1513" s="2">
        <v>0</v>
      </c>
      <c r="G1513" s="2">
        <v>0</v>
      </c>
      <c r="H1513" s="2" t="inlineStr">
        <is>
          <t/>
        </is>
      </c>
      <c r="I1513" s="2" t="inlineStr">
        <is>
          <t>410</t>
        </is>
      </c>
      <c r="J1513" s="4"/>
      <c r="K1513" s="2">
        <v>0</v>
      </c>
      <c r="L1513" s="6"/>
      <c r="M1513" s="2" t="str">
        <f>IF(J1513="",ROUND(I1513*(1-IF(ISBLANK(L1513),K1513,L1513)/100),2),ROUND(J1513*(1-IF(ISBLANK(L1513),K1513,L1513)/100),2))</f>
      </c>
      <c r="N1513" s="7" t="str">
        <f>IF(NOT(AND(J1513="",L1513="")),IF(OR(AND(L1513&lt;&gt;"",NOT(ISNUMBER(L1513))),IFERROR(MOD(L1513,1),1)&gt;0,AND(ISNUMBER(L1513),OR(L1513&lt;0,L1513&gt;95))),"Введите целое число от 0 до 95",IF(OR(AND(J1513&lt;&gt;"",NOT(ISNUMBER(J1513))),IFERROR(MOD(J1513,1),1)&gt;0,AND(ISNUMBER(J1513),OR(J1513&lt;50,J1513&gt;20000000))),"Введите целое число от 50 до 20000000",IF(NOT(ABS(IFERROR(VALUE(LEFT(M1513,FIND("-",M1513)-1)),M1513)*100-(5000+2000000000)/2)&lt;=ABS(5000-2000000000)/2),"Цена со скидкой должна быть от 50 до 20000000",IF(IFERROR(VALUE(LEFT(M1513,FIND("-",M1513)-1)),M1513)*190&lt;41000,"Вы уменьшили цену в несколько раз, товар попадет в карантин цен","")))),"")</f>
      </c>
    </row>
    <row r="1514">
      <c r="A1514" s="2" t="inlineStr">
        <is>
          <t>CuteShop</t>
        </is>
      </c>
      <c r="B1514" s="2" t="inlineStr">
        <is>
          <t>Аксессуары для рукоделия</t>
        </is>
      </c>
      <c r="C1514" s="2">
        <v>139459560</v>
      </c>
      <c r="D1514" s="2" t="inlineStr">
        <is>
          <t>Ser-Straz-1.4-Mix-30</t>
        </is>
      </c>
      <c r="E1514" s="2" t="inlineStr">
        <is>
          <t>2037275907466</t>
        </is>
      </c>
      <c r="F1514" s="2">
        <v>0</v>
      </c>
      <c r="G1514" s="2">
        <v>0</v>
      </c>
      <c r="H1514" s="2">
        <v>0</v>
      </c>
      <c r="I1514" s="2" t="inlineStr">
        <is>
          <t>400</t>
        </is>
      </c>
      <c r="J1514" s="4"/>
      <c r="K1514" s="2">
        <v>0</v>
      </c>
      <c r="L1514" s="6"/>
      <c r="M1514" s="2" t="str">
        <f>IF(J1514="",ROUND(I1514*(1-IF(ISBLANK(L1514),K1514,L1514)/100),2),ROUND(J1514*(1-IF(ISBLANK(L1514),K1514,L1514)/100),2))</f>
      </c>
      <c r="N1514" s="7" t="str">
        <f>IF(NOT(AND(J1514="",L1514="")),IF(OR(AND(L1514&lt;&gt;"",NOT(ISNUMBER(L1514))),IFERROR(MOD(L1514,1),1)&gt;0,AND(ISNUMBER(L1514),OR(L1514&lt;0,L1514&gt;95))),"Введите целое число от 0 до 95",IF(OR(AND(J1514&lt;&gt;"",NOT(ISNUMBER(J1514))),IFERROR(MOD(J1514,1),1)&gt;0,AND(ISNUMBER(J1514),OR(J1514&lt;50,J1514&gt;20000000))),"Введите целое число от 50 до 20000000",IF(NOT(ABS(IFERROR(VALUE(LEFT(M1514,FIND("-",M1514)-1)),M1514)*100-(5000+2000000000)/2)&lt;=ABS(5000-2000000000)/2),"Цена со скидкой должна быть от 50 до 20000000",IF(IFERROR(VALUE(LEFT(M1514,FIND("-",M1514)-1)),M1514)*190&lt;40000,"Вы уменьшили цену в несколько раз, товар попадет в карантин цен","")))),"")</f>
      </c>
    </row>
    <row r="1515">
      <c r="A1515" s="2" t="inlineStr">
        <is>
          <t>CuteShop</t>
        </is>
      </c>
      <c r="B1515" s="2" t="inlineStr">
        <is>
          <t>Аксессуары для рукоделия</t>
        </is>
      </c>
      <c r="C1515" s="2">
        <v>138942232</v>
      </c>
      <c r="D1515" s="2" t="inlineStr">
        <is>
          <t>Podves-Zim-Mix</t>
        </is>
      </c>
      <c r="E1515" s="2" t="inlineStr">
        <is>
          <t>2037255541093</t>
        </is>
      </c>
      <c r="F1515" s="2">
        <v>0</v>
      </c>
      <c r="G1515" s="2">
        <v>0</v>
      </c>
      <c r="H1515" s="2" t="inlineStr">
        <is>
          <t/>
        </is>
      </c>
      <c r="I1515" s="2" t="inlineStr">
        <is>
          <t>290</t>
        </is>
      </c>
      <c r="J1515" s="4"/>
      <c r="K1515" s="2">
        <v>0</v>
      </c>
      <c r="L1515" s="6"/>
      <c r="M1515" s="2" t="str">
        <f>IF(J1515="",ROUND(I1515*(1-IF(ISBLANK(L1515),K1515,L1515)/100),2),ROUND(J1515*(1-IF(ISBLANK(L1515),K1515,L1515)/100),2))</f>
      </c>
      <c r="N1515" s="7" t="str">
        <f>IF(NOT(AND(J1515="",L1515="")),IF(OR(AND(L1515&lt;&gt;"",NOT(ISNUMBER(L1515))),IFERROR(MOD(L1515,1),1)&gt;0,AND(ISNUMBER(L1515),OR(L1515&lt;0,L1515&gt;95))),"Введите целое число от 0 до 95",IF(OR(AND(J1515&lt;&gt;"",NOT(ISNUMBER(J1515))),IFERROR(MOD(J1515,1),1)&gt;0,AND(ISNUMBER(J1515),OR(J1515&lt;50,J1515&gt;20000000))),"Введите целое число от 50 до 20000000",IF(NOT(ABS(IFERROR(VALUE(LEFT(M1515,FIND("-",M1515)-1)),M1515)*100-(5000+2000000000)/2)&lt;=ABS(5000-2000000000)/2),"Цена со скидкой должна быть от 50 до 20000000",IF(IFERROR(VALUE(LEFT(M1515,FIND("-",M1515)-1)),M1515)*190&lt;29000,"Вы уменьшили цену в несколько раз, товар попадет в карантин цен","")))),"")</f>
      </c>
    </row>
    <row r="1516">
      <c r="A1516" s="2" t="inlineStr">
        <is>
          <t>CuteShop</t>
        </is>
      </c>
      <c r="B1516" s="2" t="inlineStr">
        <is>
          <t>Бусины</t>
        </is>
      </c>
      <c r="C1516" s="2">
        <v>153290854</v>
      </c>
      <c r="D1516" s="2" t="inlineStr">
        <is>
          <t>Bus-raduzh-8mm-siren-200</t>
        </is>
      </c>
      <c r="E1516" s="2" t="inlineStr">
        <is>
          <t>2037631362069</t>
        </is>
      </c>
      <c r="F1516" s="2">
        <v>0</v>
      </c>
      <c r="G1516" s="2">
        <v>0</v>
      </c>
      <c r="H1516" s="2" t="inlineStr">
        <is>
          <t/>
        </is>
      </c>
      <c r="I1516" s="2" t="inlineStr">
        <is>
          <t>320</t>
        </is>
      </c>
      <c r="J1516" s="4"/>
      <c r="K1516" s="2">
        <v>5</v>
      </c>
      <c r="L1516" s="6"/>
      <c r="M1516" s="2" t="str">
        <f>IF(J1516="",ROUND(I1516*(1-IF(ISBLANK(L1516),K1516,L1516)/100),2),ROUND(J1516*(1-IF(ISBLANK(L1516),K1516,L1516)/100),2))</f>
      </c>
      <c r="N1516" s="7" t="str">
        <f>IF(NOT(AND(J1516="",L1516="")),IF(OR(AND(L1516&lt;&gt;"",NOT(ISNUMBER(L1516))),IFERROR(MOD(L1516,1),1)&gt;0,AND(ISNUMBER(L1516),OR(L1516&lt;0,L1516&gt;95))),"Введите целое число от 0 до 95",IF(OR(AND(J1516&lt;&gt;"",NOT(ISNUMBER(J1516))),IFERROR(MOD(J1516,1),1)&gt;0,AND(ISNUMBER(J1516),OR(J1516&lt;50,J1516&gt;20000000))),"Введите целое число от 50 до 20000000",IF(NOT(ABS(IFERROR(VALUE(LEFT(M1516,FIND("-",M1516)-1)),M1516)*100-(5000+2000000000)/2)&lt;=ABS(5000-2000000000)/2),"Цена со скидкой должна быть от 50 до 20000000",IF(IFERROR(VALUE(LEFT(M1516,FIND("-",M1516)-1)),M1516)*190&lt;30400,"Вы уменьшили цену в несколько раз, товар попадет в карантин цен","")))),"")</f>
      </c>
    </row>
    <row r="1517">
      <c r="A1517" s="2" t="inlineStr">
        <is>
          <t>CuteShop</t>
        </is>
      </c>
      <c r="B1517" s="2" t="inlineStr">
        <is>
          <t>Ленты для рукоделия</t>
        </is>
      </c>
      <c r="C1517" s="2">
        <v>116437127</v>
      </c>
      <c r="D1517" s="2" t="inlineStr">
        <is>
          <t>Lenta-Rep-Shkoln4</t>
        </is>
      </c>
      <c r="E1517" s="2" t="inlineStr">
        <is>
          <t>2041652801629</t>
        </is>
      </c>
      <c r="F1517" s="2">
        <v>0</v>
      </c>
      <c r="G1517" s="2">
        <v>0</v>
      </c>
      <c r="H1517" s="2">
        <v>0</v>
      </c>
      <c r="I1517" s="2" t="inlineStr">
        <is>
          <t>369</t>
        </is>
      </c>
      <c r="J1517" s="4"/>
      <c r="K1517" s="2">
        <v>0</v>
      </c>
      <c r="L1517" s="6"/>
      <c r="M1517" s="2" t="str">
        <f>IF(J1517="",ROUND(I1517*(1-IF(ISBLANK(L1517),K1517,L1517)/100),2),ROUND(J1517*(1-IF(ISBLANK(L1517),K1517,L1517)/100),2))</f>
      </c>
      <c r="N1517" s="7" t="str">
        <f>IF(NOT(AND(J1517="",L1517="")),IF(OR(AND(L1517&lt;&gt;"",NOT(ISNUMBER(L1517))),IFERROR(MOD(L1517,1),1)&gt;0,AND(ISNUMBER(L1517),OR(L1517&lt;0,L1517&gt;95))),"Введите целое число от 0 до 95",IF(OR(AND(J1517&lt;&gt;"",NOT(ISNUMBER(J1517))),IFERROR(MOD(J1517,1),1)&gt;0,AND(ISNUMBER(J1517),OR(J1517&lt;50,J1517&gt;20000000))),"Введите целое число от 50 до 20000000",IF(NOT(ABS(IFERROR(VALUE(LEFT(M1517,FIND("-",M1517)-1)),M1517)*100-(5000+2000000000)/2)&lt;=ABS(5000-2000000000)/2),"Цена со скидкой должна быть от 50 до 20000000",IF(IFERROR(VALUE(LEFT(M1517,FIND("-",M1517)-1)),M1517)*190&lt;36900,"Вы уменьшили цену в несколько раз, товар попадет в карантин цен","")))),"")</f>
      </c>
    </row>
    <row r="1518">
      <c r="A1518" s="2" t="inlineStr">
        <is>
          <t>CuteShop</t>
        </is>
      </c>
      <c r="B1518" s="2" t="inlineStr">
        <is>
          <t>Бусины</t>
        </is>
      </c>
      <c r="C1518" s="2">
        <v>151582876</v>
      </c>
      <c r="D1518" s="2" t="inlineStr">
        <is>
          <t>Bus-akril-8mm-sir-200</t>
        </is>
      </c>
      <c r="E1518" s="2" t="inlineStr">
        <is>
          <t>2037600712314</t>
        </is>
      </c>
      <c r="F1518" s="2">
        <v>0</v>
      </c>
      <c r="G1518" s="2">
        <v>0</v>
      </c>
      <c r="H1518" s="2">
        <v>0</v>
      </c>
      <c r="I1518" s="2" t="inlineStr">
        <is>
          <t>320</t>
        </is>
      </c>
      <c r="J1518" s="4"/>
      <c r="K1518" s="2">
        <v>0</v>
      </c>
      <c r="L1518" s="6"/>
      <c r="M1518" s="2" t="str">
        <f>IF(J1518="",ROUND(I1518*(1-IF(ISBLANK(L1518),K1518,L1518)/100),2),ROUND(J1518*(1-IF(ISBLANK(L1518),K1518,L1518)/100),2))</f>
      </c>
      <c r="N1518" s="7" t="str">
        <f>IF(NOT(AND(J1518="",L1518="")),IF(OR(AND(L1518&lt;&gt;"",NOT(ISNUMBER(L1518))),IFERROR(MOD(L1518,1),1)&gt;0,AND(ISNUMBER(L1518),OR(L1518&lt;0,L1518&gt;95))),"Введите целое число от 0 до 95",IF(OR(AND(J1518&lt;&gt;"",NOT(ISNUMBER(J1518))),IFERROR(MOD(J1518,1),1)&gt;0,AND(ISNUMBER(J1518),OR(J1518&lt;50,J1518&gt;20000000))),"Введите целое число от 50 до 20000000",IF(NOT(ABS(IFERROR(VALUE(LEFT(M1518,FIND("-",M1518)-1)),M1518)*100-(5000+2000000000)/2)&lt;=ABS(5000-2000000000)/2),"Цена со скидкой должна быть от 50 до 20000000",IF(IFERROR(VALUE(LEFT(M1518,FIND("-",M1518)-1)),M1518)*190&lt;32000,"Вы уменьшили цену в несколько раз, товар попадет в карантин цен","")))),"")</f>
      </c>
    </row>
    <row r="1519">
      <c r="A1519" s="2" t="inlineStr">
        <is>
          <t>CuteShop</t>
        </is>
      </c>
      <c r="B1519" s="2" t="inlineStr">
        <is>
          <t>Ленты для рукоделия</t>
        </is>
      </c>
      <c r="C1519" s="2">
        <v>229484544</v>
      </c>
      <c r="D1519" s="2" t="inlineStr">
        <is>
          <t>Kruzhevo-Temno-Ser-3-5</t>
        </is>
      </c>
      <c r="E1519" s="2" t="inlineStr">
        <is>
          <t>2039938564771</t>
        </is>
      </c>
      <c r="F1519" s="2">
        <v>0</v>
      </c>
      <c r="G1519" s="2">
        <v>0</v>
      </c>
      <c r="H1519" s="2" t="inlineStr">
        <is>
          <t/>
        </is>
      </c>
      <c r="I1519" s="2" t="inlineStr">
        <is>
          <t>200</t>
        </is>
      </c>
      <c r="J1519" s="4"/>
      <c r="K1519" s="2">
        <v>0</v>
      </c>
      <c r="L1519" s="6"/>
      <c r="M1519" s="2" t="str">
        <f>IF(J1519="",ROUND(I1519*(1-IF(ISBLANK(L1519),K1519,L1519)/100),2),ROUND(J1519*(1-IF(ISBLANK(L1519),K1519,L1519)/100),2))</f>
      </c>
      <c r="N1519" s="7" t="str">
        <f>IF(NOT(AND(J1519="",L1519="")),IF(OR(AND(L1519&lt;&gt;"",NOT(ISNUMBER(L1519))),IFERROR(MOD(L1519,1),1)&gt;0,AND(ISNUMBER(L1519),OR(L1519&lt;0,L1519&gt;95))),"Введите целое число от 0 до 95",IF(OR(AND(J1519&lt;&gt;"",NOT(ISNUMBER(J1519))),IFERROR(MOD(J1519,1),1)&gt;0,AND(ISNUMBER(J1519),OR(J1519&lt;50,J1519&gt;20000000))),"Введите целое число от 50 до 20000000",IF(NOT(ABS(IFERROR(VALUE(LEFT(M1519,FIND("-",M1519)-1)),M1519)*100-(5000+2000000000)/2)&lt;=ABS(5000-2000000000)/2),"Цена со скидкой должна быть от 50 до 20000000",IF(IFERROR(VALUE(LEFT(M1519,FIND("-",M1519)-1)),M1519)*190&lt;20000,"Вы уменьшили цену в несколько раз, товар попадет в карантин цен","")))),"")</f>
      </c>
    </row>
    <row r="1520">
      <c r="A1520" s="2" t="inlineStr">
        <is>
          <t>CuteShop</t>
        </is>
      </c>
      <c r="B1520" s="2" t="inlineStr">
        <is>
          <t>Аксессуары для рукоделия</t>
        </is>
      </c>
      <c r="C1520" s="2">
        <v>139461088</v>
      </c>
      <c r="D1520" s="2" t="inlineStr">
        <is>
          <t>Kab-Kot2-10</t>
        </is>
      </c>
      <c r="E1520" s="2" t="inlineStr">
        <is>
          <t>2037275935551</t>
        </is>
      </c>
      <c r="F1520" s="2">
        <v>0</v>
      </c>
      <c r="G1520" s="2">
        <v>0</v>
      </c>
      <c r="H1520" s="2">
        <v>0</v>
      </c>
      <c r="I1520" s="2" t="inlineStr">
        <is>
          <t>290</t>
        </is>
      </c>
      <c r="J1520" s="4"/>
      <c r="K1520" s="2">
        <v>0</v>
      </c>
      <c r="L1520" s="6"/>
      <c r="M1520" s="2" t="str">
        <f>IF(J1520="",ROUND(I1520*(1-IF(ISBLANK(L1520),K1520,L1520)/100),2),ROUND(J1520*(1-IF(ISBLANK(L1520),K1520,L1520)/100),2))</f>
      </c>
      <c r="N1520" s="7" t="str">
        <f>IF(NOT(AND(J1520="",L1520="")),IF(OR(AND(L1520&lt;&gt;"",NOT(ISNUMBER(L1520))),IFERROR(MOD(L1520,1),1)&gt;0,AND(ISNUMBER(L1520),OR(L1520&lt;0,L1520&gt;95))),"Введите целое число от 0 до 95",IF(OR(AND(J1520&lt;&gt;"",NOT(ISNUMBER(J1520))),IFERROR(MOD(J1520,1),1)&gt;0,AND(ISNUMBER(J1520),OR(J1520&lt;50,J1520&gt;20000000))),"Введите целое число от 50 до 20000000",IF(NOT(ABS(IFERROR(VALUE(LEFT(M1520,FIND("-",M1520)-1)),M1520)*100-(5000+2000000000)/2)&lt;=ABS(5000-2000000000)/2),"Цена со скидкой должна быть от 50 до 20000000",IF(IFERROR(VALUE(LEFT(M1520,FIND("-",M1520)-1)),M1520)*190&lt;29000,"Вы уменьшили цену в несколько раз, товар попадет в карантин цен","")))),"")</f>
      </c>
    </row>
    <row r="1521">
      <c r="A1521" s="2" t="inlineStr">
        <is>
          <t>CuteShop</t>
        </is>
      </c>
      <c r="B1521" s="2" t="inlineStr">
        <is>
          <t>Ленты для рукоделия</t>
        </is>
      </c>
      <c r="C1521" s="2">
        <v>277507080</v>
      </c>
      <c r="D1521" s="2" t="inlineStr">
        <is>
          <t>Lenta-Rep-Baboch-Bordo-10</t>
        </is>
      </c>
      <c r="E1521" s="2" t="inlineStr">
        <is>
          <t>2041645650807</t>
        </is>
      </c>
      <c r="F1521" s="2">
        <v>0</v>
      </c>
      <c r="G1521" s="2">
        <v>0</v>
      </c>
      <c r="H1521" s="2" t="inlineStr">
        <is>
          <t/>
        </is>
      </c>
      <c r="I1521" s="2" t="inlineStr">
        <is>
          <t>370</t>
        </is>
      </c>
      <c r="J1521" s="4"/>
      <c r="K1521" s="2">
        <v>10</v>
      </c>
      <c r="L1521" s="6"/>
      <c r="M1521" s="2" t="str">
        <f>IF(J1521="",ROUND(I1521*(1-IF(ISBLANK(L1521),K1521,L1521)/100),2),ROUND(J1521*(1-IF(ISBLANK(L1521),K1521,L1521)/100),2))</f>
      </c>
      <c r="N1521" s="7" t="str">
        <f>IF(NOT(AND(J1521="",L1521="")),IF(OR(AND(L1521&lt;&gt;"",NOT(ISNUMBER(L1521))),IFERROR(MOD(L1521,1),1)&gt;0,AND(ISNUMBER(L1521),OR(L1521&lt;0,L1521&gt;95))),"Введите целое число от 0 до 95",IF(OR(AND(J1521&lt;&gt;"",NOT(ISNUMBER(J1521))),IFERROR(MOD(J1521,1),1)&gt;0,AND(ISNUMBER(J1521),OR(J1521&lt;50,J1521&gt;20000000))),"Введите целое число от 50 до 20000000",IF(NOT(ABS(IFERROR(VALUE(LEFT(M1521,FIND("-",M1521)-1)),M1521)*100-(5000+2000000000)/2)&lt;=ABS(5000-2000000000)/2),"Цена со скидкой должна быть от 50 до 20000000",IF(IFERROR(VALUE(LEFT(M1521,FIND("-",M1521)-1)),M1521)*190&lt;33300,"Вы уменьшили цену в несколько раз, товар попадет в карантин цен","")))),"")</f>
      </c>
    </row>
    <row r="1522">
      <c r="A1522" s="2" t="inlineStr">
        <is>
          <t>CuteShop</t>
        </is>
      </c>
      <c r="B1522" s="2" t="inlineStr">
        <is>
          <t>Ленты для рукоделия</t>
        </is>
      </c>
      <c r="C1522" s="2">
        <v>277507078</v>
      </c>
      <c r="D1522" s="2" t="inlineStr">
        <is>
          <t>Lenta-Rep-Baboch-Bordo-5</t>
        </is>
      </c>
      <c r="E1522" s="2" t="inlineStr">
        <is>
          <t>2041645647395</t>
        </is>
      </c>
      <c r="F1522" s="2">
        <v>0</v>
      </c>
      <c r="G1522" s="2">
        <v>0</v>
      </c>
      <c r="H1522" s="2" t="inlineStr">
        <is>
          <t/>
        </is>
      </c>
      <c r="I1522" s="2" t="inlineStr">
        <is>
          <t>302</t>
        </is>
      </c>
      <c r="J1522" s="4"/>
      <c r="K1522" s="2">
        <v>10</v>
      </c>
      <c r="L1522" s="6"/>
      <c r="M1522" s="2" t="str">
        <f>IF(J1522="",ROUND(I1522*(1-IF(ISBLANK(L1522),K1522,L1522)/100),2),ROUND(J1522*(1-IF(ISBLANK(L1522),K1522,L1522)/100),2))</f>
      </c>
      <c r="N1522" s="7" t="str">
        <f>IF(NOT(AND(J1522="",L1522="")),IF(OR(AND(L1522&lt;&gt;"",NOT(ISNUMBER(L1522))),IFERROR(MOD(L1522,1),1)&gt;0,AND(ISNUMBER(L1522),OR(L1522&lt;0,L1522&gt;95))),"Введите целое число от 0 до 95",IF(OR(AND(J1522&lt;&gt;"",NOT(ISNUMBER(J1522))),IFERROR(MOD(J1522,1),1)&gt;0,AND(ISNUMBER(J1522),OR(J1522&lt;50,J1522&gt;20000000))),"Введите целое число от 50 до 20000000",IF(NOT(ABS(IFERROR(VALUE(LEFT(M1522,FIND("-",M1522)-1)),M1522)*100-(5000+2000000000)/2)&lt;=ABS(5000-2000000000)/2),"Цена со скидкой должна быть от 50 до 20000000",IF(IFERROR(VALUE(LEFT(M1522,FIND("-",M1522)-1)),M1522)*190&lt;27180,"Вы уменьшили цену в несколько раз, товар попадет в карантин цен","")))),"")</f>
      </c>
    </row>
    <row r="1523">
      <c r="A1523" s="2" t="inlineStr">
        <is>
          <t>CuteShop</t>
        </is>
      </c>
      <c r="B1523" s="2" t="inlineStr">
        <is>
          <t>Ленты для рукоделия</t>
        </is>
      </c>
      <c r="C1523" s="2">
        <v>191703169</v>
      </c>
      <c r="D1523" s="2" t="inlineStr">
        <is>
          <t>Lenta-Rep-Snezh-Krasn</t>
        </is>
      </c>
      <c r="E1523" s="2" t="inlineStr">
        <is>
          <t>2039048874708</t>
        </is>
      </c>
      <c r="F1523" s="2">
        <v>0</v>
      </c>
      <c r="G1523" s="2">
        <v>0</v>
      </c>
      <c r="H1523" s="2" t="inlineStr">
        <is>
          <t/>
        </is>
      </c>
      <c r="I1523" s="2" t="inlineStr">
        <is>
          <t>400</t>
        </is>
      </c>
      <c r="J1523" s="4"/>
      <c r="K1523" s="2">
        <v>7</v>
      </c>
      <c r="L1523" s="6"/>
      <c r="M1523" s="2" t="str">
        <f>IF(J1523="",ROUND(I1523*(1-IF(ISBLANK(L1523),K1523,L1523)/100),2),ROUND(J1523*(1-IF(ISBLANK(L1523),K1523,L1523)/100),2))</f>
      </c>
      <c r="N1523" s="7" t="str">
        <f>IF(NOT(AND(J1523="",L1523="")),IF(OR(AND(L1523&lt;&gt;"",NOT(ISNUMBER(L1523))),IFERROR(MOD(L1523,1),1)&gt;0,AND(ISNUMBER(L1523),OR(L1523&lt;0,L1523&gt;95))),"Введите целое число от 0 до 95",IF(OR(AND(J1523&lt;&gt;"",NOT(ISNUMBER(J1523))),IFERROR(MOD(J1523,1),1)&gt;0,AND(ISNUMBER(J1523),OR(J1523&lt;50,J1523&gt;20000000))),"Введите целое число от 50 до 20000000",IF(NOT(ABS(IFERROR(VALUE(LEFT(M1523,FIND("-",M1523)-1)),M1523)*100-(5000+2000000000)/2)&lt;=ABS(5000-2000000000)/2),"Цена со скидкой должна быть от 50 до 20000000",IF(IFERROR(VALUE(LEFT(M1523,FIND("-",M1523)-1)),M1523)*190&lt;37200,"Вы уменьшили цену в несколько раз, товар попадет в карантин цен","")))),"")</f>
      </c>
    </row>
    <row r="1524">
      <c r="A1524" s="2" t="inlineStr">
        <is>
          <t>CuteShop</t>
        </is>
      </c>
      <c r="B1524" s="2" t="inlineStr">
        <is>
          <t>Ленты для рукоделия</t>
        </is>
      </c>
      <c r="C1524" s="2">
        <v>191695387</v>
      </c>
      <c r="D1524" s="2" t="inlineStr">
        <is>
          <t>Lenta-Rep-Snezh-Gol</t>
        </is>
      </c>
      <c r="E1524" s="2" t="inlineStr">
        <is>
          <t>2039048607535</t>
        </is>
      </c>
      <c r="F1524" s="2">
        <v>0</v>
      </c>
      <c r="G1524" s="2">
        <v>0</v>
      </c>
      <c r="H1524" s="2" t="inlineStr">
        <is>
          <t/>
        </is>
      </c>
      <c r="I1524" s="2" t="inlineStr">
        <is>
          <t>400</t>
        </is>
      </c>
      <c r="J1524" s="4"/>
      <c r="K1524" s="2">
        <v>10</v>
      </c>
      <c r="L1524" s="6"/>
      <c r="M1524" s="2" t="str">
        <f>IF(J1524="",ROUND(I1524*(1-IF(ISBLANK(L1524),K1524,L1524)/100),2),ROUND(J1524*(1-IF(ISBLANK(L1524),K1524,L1524)/100),2))</f>
      </c>
      <c r="N1524" s="7" t="str">
        <f>IF(NOT(AND(J1524="",L1524="")),IF(OR(AND(L1524&lt;&gt;"",NOT(ISNUMBER(L1524))),IFERROR(MOD(L1524,1),1)&gt;0,AND(ISNUMBER(L1524),OR(L1524&lt;0,L1524&gt;95))),"Введите целое число от 0 до 95",IF(OR(AND(J1524&lt;&gt;"",NOT(ISNUMBER(J1524))),IFERROR(MOD(J1524,1),1)&gt;0,AND(ISNUMBER(J1524),OR(J1524&lt;50,J1524&gt;20000000))),"Введите целое число от 50 до 20000000",IF(NOT(ABS(IFERROR(VALUE(LEFT(M1524,FIND("-",M1524)-1)),M1524)*100-(5000+2000000000)/2)&lt;=ABS(5000-2000000000)/2),"Цена со скидкой должна быть от 50 до 20000000",IF(IFERROR(VALUE(LEFT(M1524,FIND("-",M1524)-1)),M1524)*190&lt;36000,"Вы уменьшили цену в несколько раз, товар попадет в карантин цен","")))),"")</f>
      </c>
    </row>
    <row r="1525">
      <c r="A1525" s="2" t="inlineStr">
        <is>
          <t>CuteShop</t>
        </is>
      </c>
      <c r="B1525" s="2" t="inlineStr">
        <is>
          <t>Ленты для рукоделия</t>
        </is>
      </c>
      <c r="C1525" s="2">
        <v>277517438</v>
      </c>
      <c r="D1525" s="2" t="inlineStr">
        <is>
          <t>Lenta-Rep-Goroh-Bordo-10</t>
        </is>
      </c>
      <c r="E1525" s="2" t="inlineStr">
        <is>
          <t>2041645879529</t>
        </is>
      </c>
      <c r="F1525" s="2">
        <v>0</v>
      </c>
      <c r="G1525" s="2">
        <v>0</v>
      </c>
      <c r="H1525" s="2" t="inlineStr">
        <is>
          <t/>
        </is>
      </c>
      <c r="I1525" s="2" t="inlineStr">
        <is>
          <t>370</t>
        </is>
      </c>
      <c r="J1525" s="4"/>
      <c r="K1525" s="2">
        <v>0</v>
      </c>
      <c r="L1525" s="6"/>
      <c r="M1525" s="2" t="str">
        <f>IF(J1525="",ROUND(I1525*(1-IF(ISBLANK(L1525),K1525,L1525)/100),2),ROUND(J1525*(1-IF(ISBLANK(L1525),K1525,L1525)/100),2))</f>
      </c>
      <c r="N1525" s="7" t="str">
        <f>IF(NOT(AND(J1525="",L1525="")),IF(OR(AND(L1525&lt;&gt;"",NOT(ISNUMBER(L1525))),IFERROR(MOD(L1525,1),1)&gt;0,AND(ISNUMBER(L1525),OR(L1525&lt;0,L1525&gt;95))),"Введите целое число от 0 до 95",IF(OR(AND(J1525&lt;&gt;"",NOT(ISNUMBER(J1525))),IFERROR(MOD(J1525,1),1)&gt;0,AND(ISNUMBER(J1525),OR(J1525&lt;50,J1525&gt;20000000))),"Введите целое число от 50 до 20000000",IF(NOT(ABS(IFERROR(VALUE(LEFT(M1525,FIND("-",M1525)-1)),M1525)*100-(5000+2000000000)/2)&lt;=ABS(5000-2000000000)/2),"Цена со скидкой должна быть от 50 до 20000000",IF(IFERROR(VALUE(LEFT(M1525,FIND("-",M1525)-1)),M1525)*190&lt;37000,"Вы уменьшили цену в несколько раз, товар попадет в карантин цен","")))),"")</f>
      </c>
    </row>
    <row r="1526">
      <c r="A1526" s="2" t="inlineStr">
        <is>
          <t>CuteShop</t>
        </is>
      </c>
      <c r="B1526" s="2" t="inlineStr">
        <is>
          <t>Аксессуары для рукоделия</t>
        </is>
      </c>
      <c r="C1526" s="2">
        <v>192289193</v>
      </c>
      <c r="D1526" s="2" t="inlineStr">
        <is>
          <t>LentaKab-Nabor-Drakon</t>
        </is>
      </c>
      <c r="E1526" s="2" t="inlineStr">
        <is>
          <t>2039073321994</t>
        </is>
      </c>
      <c r="F1526" s="2">
        <v>0</v>
      </c>
      <c r="G1526" s="2">
        <v>0</v>
      </c>
      <c r="H1526" s="2" t="inlineStr">
        <is>
          <t/>
        </is>
      </c>
      <c r="I1526" s="2" t="inlineStr">
        <is>
          <t>400</t>
        </is>
      </c>
      <c r="J1526" s="4"/>
      <c r="K1526" s="2">
        <v>0</v>
      </c>
      <c r="L1526" s="6"/>
      <c r="M1526" s="2" t="str">
        <f>IF(J1526="",ROUND(I1526*(1-IF(ISBLANK(L1526),K1526,L1526)/100),2),ROUND(J1526*(1-IF(ISBLANK(L1526),K1526,L1526)/100),2))</f>
      </c>
      <c r="N1526" s="7" t="str">
        <f>IF(NOT(AND(J1526="",L1526="")),IF(OR(AND(L1526&lt;&gt;"",NOT(ISNUMBER(L1526))),IFERROR(MOD(L1526,1),1)&gt;0,AND(ISNUMBER(L1526),OR(L1526&lt;0,L1526&gt;95))),"Введите целое число от 0 до 95",IF(OR(AND(J1526&lt;&gt;"",NOT(ISNUMBER(J1526))),IFERROR(MOD(J1526,1),1)&gt;0,AND(ISNUMBER(J1526),OR(J1526&lt;50,J1526&gt;20000000))),"Введите целое число от 50 до 20000000",IF(NOT(ABS(IFERROR(VALUE(LEFT(M1526,FIND("-",M1526)-1)),M1526)*100-(5000+2000000000)/2)&lt;=ABS(5000-2000000000)/2),"Цена со скидкой должна быть от 50 до 20000000",IF(IFERROR(VALUE(LEFT(M1526,FIND("-",M1526)-1)),M1526)*190&lt;40000,"Вы уменьшили цену в несколько раз, товар попадет в карантин цен","")))),"")</f>
      </c>
    </row>
    <row r="1527">
      <c r="A1527" s="2" t="inlineStr">
        <is>
          <t>CuteShop</t>
        </is>
      </c>
      <c r="B1527" s="2" t="inlineStr">
        <is>
          <t>Ленты для рукоделия</t>
        </is>
      </c>
      <c r="C1527" s="2">
        <v>274321615</v>
      </c>
      <c r="D1527" s="2" t="inlineStr">
        <is>
          <t>LentaKab-Nabor-Zim7</t>
        </is>
      </c>
      <c r="E1527" s="2" t="inlineStr">
        <is>
          <t>2041553264479</t>
        </is>
      </c>
      <c r="F1527" s="2">
        <v>0</v>
      </c>
      <c r="G1527" s="2">
        <v>0</v>
      </c>
      <c r="H1527" s="2" t="inlineStr">
        <is>
          <t/>
        </is>
      </c>
      <c r="I1527" s="2" t="inlineStr">
        <is>
          <t>450</t>
        </is>
      </c>
      <c r="J1527" s="4"/>
      <c r="K1527" s="2">
        <v>0</v>
      </c>
      <c r="L1527" s="6"/>
      <c r="M1527" s="2" t="str">
        <f>IF(J1527="",ROUND(I1527*(1-IF(ISBLANK(L1527),K1527,L1527)/100),2),ROUND(J1527*(1-IF(ISBLANK(L1527),K1527,L1527)/100),2))</f>
      </c>
      <c r="N1527" s="7" t="str">
        <f>IF(NOT(AND(J1527="",L1527="")),IF(OR(AND(L1527&lt;&gt;"",NOT(ISNUMBER(L1527))),IFERROR(MOD(L1527,1),1)&gt;0,AND(ISNUMBER(L1527),OR(L1527&lt;0,L1527&gt;95))),"Введите целое число от 0 до 95",IF(OR(AND(J1527&lt;&gt;"",NOT(ISNUMBER(J1527))),IFERROR(MOD(J1527,1),1)&gt;0,AND(ISNUMBER(J1527),OR(J1527&lt;50,J1527&gt;20000000))),"Введите целое число от 50 до 20000000",IF(NOT(ABS(IFERROR(VALUE(LEFT(M1527,FIND("-",M1527)-1)),M1527)*100-(5000+2000000000)/2)&lt;=ABS(5000-2000000000)/2),"Цена со скидкой должна быть от 50 до 20000000",IF(IFERROR(VALUE(LEFT(M1527,FIND("-",M1527)-1)),M1527)*190&lt;45000,"Вы уменьшили цену в несколько раз, товар попадет в карантин цен","")))),"")</f>
      </c>
    </row>
    <row r="1528">
      <c r="A1528" s="2" t="inlineStr">
        <is>
          <t/>
        </is>
      </c>
      <c r="B1528" s="2" t="inlineStr">
        <is>
          <t>Ленты для рукоделия</t>
        </is>
      </c>
      <c r="C1528" s="2">
        <v>218283565</v>
      </c>
      <c r="D1528" s="2" t="inlineStr">
        <is>
          <t>Lenta-Rep4-nabor5-27,8</t>
        </is>
      </c>
      <c r="E1528" s="2" t="inlineStr">
        <is>
          <t>2039684134303</t>
        </is>
      </c>
      <c r="F1528" s="2">
        <v>0</v>
      </c>
      <c r="G1528" s="2">
        <v>0</v>
      </c>
      <c r="H1528" s="2" t="inlineStr">
        <is>
          <t/>
        </is>
      </c>
      <c r="I1528" s="2" t="inlineStr">
        <is>
          <t>560</t>
        </is>
      </c>
      <c r="J1528" s="4"/>
      <c r="K1528" s="2">
        <v>0</v>
      </c>
      <c r="L1528" s="6"/>
      <c r="M1528" s="2" t="str">
        <f>IF(J1528="",ROUND(I1528*(1-IF(ISBLANK(L1528),K1528,L1528)/100),2),ROUND(J1528*(1-IF(ISBLANK(L1528),K1528,L1528)/100),2))</f>
      </c>
      <c r="N1528" s="7" t="str">
        <f>IF(NOT(AND(J1528="",L1528="")),IF(OR(AND(L1528&lt;&gt;"",NOT(ISNUMBER(L1528))),IFERROR(MOD(L1528,1),1)&gt;0,AND(ISNUMBER(L1528),OR(L1528&lt;0,L1528&gt;95))),"Введите целое число от 0 до 95",IF(OR(AND(J1528&lt;&gt;"",NOT(ISNUMBER(J1528))),IFERROR(MOD(J1528,1),1)&gt;0,AND(ISNUMBER(J1528),OR(J1528&lt;50,J1528&gt;20000000))),"Введите целое число от 50 до 20000000",IF(NOT(ABS(IFERROR(VALUE(LEFT(M1528,FIND("-",M1528)-1)),M1528)*100-(5000+2000000000)/2)&lt;=ABS(5000-2000000000)/2),"Цена со скидкой должна быть от 50 до 20000000",IF(IFERROR(VALUE(LEFT(M1528,FIND("-",M1528)-1)),M1528)*190&lt;56000,"Вы уменьшили цену в несколько раз, товар попадет в карантин цен","")))),"")</f>
      </c>
    </row>
    <row r="1529">
      <c r="A1529" s="2" t="inlineStr">
        <is>
          <t>CuteShop</t>
        </is>
      </c>
      <c r="B1529" s="2" t="inlineStr">
        <is>
          <t>Аксессуары для рукоделия</t>
        </is>
      </c>
      <c r="C1529" s="2">
        <v>137867445</v>
      </c>
      <c r="D1529" s="2" t="inlineStr">
        <is>
          <t>Ser-Straz-SinOval-4</t>
        </is>
      </c>
      <c r="E1529" s="2" t="inlineStr">
        <is>
          <t>2037234269253</t>
        </is>
      </c>
      <c r="F1529" s="2">
        <v>0</v>
      </c>
      <c r="G1529" s="2">
        <v>0</v>
      </c>
      <c r="H1529" s="2" t="inlineStr">
        <is>
          <t/>
        </is>
      </c>
      <c r="I1529" s="2" t="inlineStr">
        <is>
          <t>390</t>
        </is>
      </c>
      <c r="J1529" s="4"/>
      <c r="K1529" s="2">
        <v>0</v>
      </c>
      <c r="L1529" s="6"/>
      <c r="M1529" s="2" t="str">
        <f>IF(J1529="",ROUND(I1529*(1-IF(ISBLANK(L1529),K1529,L1529)/100),2),ROUND(J1529*(1-IF(ISBLANK(L1529),K1529,L1529)/100),2))</f>
      </c>
      <c r="N1529" s="7" t="str">
        <f>IF(NOT(AND(J1529="",L1529="")),IF(OR(AND(L1529&lt;&gt;"",NOT(ISNUMBER(L1529))),IFERROR(MOD(L1529,1),1)&gt;0,AND(ISNUMBER(L1529),OR(L1529&lt;0,L1529&gt;95))),"Введите целое число от 0 до 95",IF(OR(AND(J1529&lt;&gt;"",NOT(ISNUMBER(J1529))),IFERROR(MOD(J1529,1),1)&gt;0,AND(ISNUMBER(J1529),OR(J1529&lt;50,J1529&gt;20000000))),"Введите целое число от 50 до 20000000",IF(NOT(ABS(IFERROR(VALUE(LEFT(M1529,FIND("-",M1529)-1)),M1529)*100-(5000+2000000000)/2)&lt;=ABS(5000-2000000000)/2),"Цена со скидкой должна быть от 50 до 20000000",IF(IFERROR(VALUE(LEFT(M1529,FIND("-",M1529)-1)),M1529)*190&lt;39000,"Вы уменьшили цену в несколько раз, товар попадет в карантин цен","")))),"")</f>
      </c>
    </row>
    <row r="1530">
      <c r="A1530" s="2" t="inlineStr">
        <is>
          <t>CuteShop</t>
        </is>
      </c>
      <c r="B1530" s="2" t="inlineStr">
        <is>
          <t>Аксессуары для рукоделия</t>
        </is>
      </c>
      <c r="C1530" s="2">
        <v>123871878</v>
      </c>
      <c r="D1530" s="2" t="inlineStr">
        <is>
          <t>Ser-Straz-5Bus</t>
        </is>
      </c>
      <c r="E1530" s="2" t="inlineStr">
        <is>
          <t>2036977430548</t>
        </is>
      </c>
      <c r="F1530" s="2">
        <v>0</v>
      </c>
      <c r="G1530" s="2">
        <v>0</v>
      </c>
      <c r="H1530" s="2">
        <v>0</v>
      </c>
      <c r="I1530" s="2" t="inlineStr">
        <is>
          <t>488</t>
        </is>
      </c>
      <c r="J1530" s="4"/>
      <c r="K1530" s="2">
        <v>0</v>
      </c>
      <c r="L1530" s="6"/>
      <c r="M1530" s="2" t="str">
        <f>IF(J1530="",ROUND(I1530*(1-IF(ISBLANK(L1530),K1530,L1530)/100),2),ROUND(J1530*(1-IF(ISBLANK(L1530),K1530,L1530)/100),2))</f>
      </c>
      <c r="N1530" s="7" t="str">
        <f>IF(NOT(AND(J1530="",L1530="")),IF(OR(AND(L1530&lt;&gt;"",NOT(ISNUMBER(L1530))),IFERROR(MOD(L1530,1),1)&gt;0,AND(ISNUMBER(L1530),OR(L1530&lt;0,L1530&gt;95))),"Введите целое число от 0 до 95",IF(OR(AND(J1530&lt;&gt;"",NOT(ISNUMBER(J1530))),IFERROR(MOD(J1530,1),1)&gt;0,AND(ISNUMBER(J1530),OR(J1530&lt;50,J1530&gt;20000000))),"Введите целое число от 50 до 20000000",IF(NOT(ABS(IFERROR(VALUE(LEFT(M1530,FIND("-",M1530)-1)),M1530)*100-(5000+2000000000)/2)&lt;=ABS(5000-2000000000)/2),"Цена со скидкой должна быть от 50 до 20000000",IF(IFERROR(VALUE(LEFT(M1530,FIND("-",M1530)-1)),M1530)*190&lt;48800,"Вы уменьшили цену в несколько раз, товар попадет в карантин цен","")))),"")</f>
      </c>
    </row>
    <row r="1531">
      <c r="A1531" s="2" t="inlineStr">
        <is>
          <t>CuteShop</t>
        </is>
      </c>
      <c r="B1531" s="2" t="inlineStr">
        <is>
          <t>Аксессуары для рукоделия</t>
        </is>
      </c>
      <c r="C1531" s="2">
        <v>213778740</v>
      </c>
      <c r="D1531" s="2" t="inlineStr">
        <is>
          <t>Kab-9May-2</t>
        </is>
      </c>
      <c r="E1531" s="2" t="inlineStr">
        <is>
          <t>2039581881270</t>
        </is>
      </c>
      <c r="F1531" s="2">
        <v>0</v>
      </c>
      <c r="G1531" s="2">
        <v>0</v>
      </c>
      <c r="H1531" s="2" t="inlineStr">
        <is>
          <t/>
        </is>
      </c>
      <c r="I1531" s="2" t="inlineStr">
        <is>
          <t>370</t>
        </is>
      </c>
      <c r="J1531" s="4"/>
      <c r="K1531" s="2">
        <v>7</v>
      </c>
      <c r="L1531" s="6"/>
      <c r="M1531" s="2" t="str">
        <f>IF(J1531="",ROUND(I1531*(1-IF(ISBLANK(L1531),K1531,L1531)/100),2),ROUND(J1531*(1-IF(ISBLANK(L1531),K1531,L1531)/100),2))</f>
      </c>
      <c r="N1531" s="7" t="str">
        <f>IF(NOT(AND(J1531="",L1531="")),IF(OR(AND(L1531&lt;&gt;"",NOT(ISNUMBER(L1531))),IFERROR(MOD(L1531,1),1)&gt;0,AND(ISNUMBER(L1531),OR(L1531&lt;0,L1531&gt;95))),"Введите целое число от 0 до 95",IF(OR(AND(J1531&lt;&gt;"",NOT(ISNUMBER(J1531))),IFERROR(MOD(J1531,1),1)&gt;0,AND(ISNUMBER(J1531),OR(J1531&lt;50,J1531&gt;20000000))),"Введите целое число от 50 до 20000000",IF(NOT(ABS(IFERROR(VALUE(LEFT(M1531,FIND("-",M1531)-1)),M1531)*100-(5000+2000000000)/2)&lt;=ABS(5000-2000000000)/2),"Цена со скидкой должна быть от 50 до 20000000",IF(IFERROR(VALUE(LEFT(M1531,FIND("-",M1531)-1)),M1531)*190&lt;34410,"Вы уменьшили цену в несколько раз, товар попадет в карантин цен","")))),"")</f>
      </c>
    </row>
    <row r="1532">
      <c r="A1532" s="2" t="inlineStr">
        <is>
          <t>CuteShop</t>
        </is>
      </c>
      <c r="B1532" s="2" t="inlineStr">
        <is>
          <t>Аксессуары для рукоделия</t>
        </is>
      </c>
      <c r="C1532" s="2">
        <v>223034943</v>
      </c>
      <c r="D1532" s="2" t="inlineStr">
        <is>
          <t>Kab-9May-7</t>
        </is>
      </c>
      <c r="E1532" s="2" t="inlineStr">
        <is>
          <t>2039805585410</t>
        </is>
      </c>
      <c r="F1532" s="2">
        <v>0</v>
      </c>
      <c r="G1532" s="2">
        <v>0</v>
      </c>
      <c r="H1532" s="2" t="inlineStr">
        <is>
          <t/>
        </is>
      </c>
      <c r="I1532" s="2" t="inlineStr">
        <is>
          <t>370</t>
        </is>
      </c>
      <c r="J1532" s="4"/>
      <c r="K1532" s="2">
        <v>3</v>
      </c>
      <c r="L1532" s="6"/>
      <c r="M1532" s="2" t="str">
        <f>IF(J1532="",ROUND(I1532*(1-IF(ISBLANK(L1532),K1532,L1532)/100),2),ROUND(J1532*(1-IF(ISBLANK(L1532),K1532,L1532)/100),2))</f>
      </c>
      <c r="N1532" s="7" t="str">
        <f>IF(NOT(AND(J1532="",L1532="")),IF(OR(AND(L1532&lt;&gt;"",NOT(ISNUMBER(L1532))),IFERROR(MOD(L1532,1),1)&gt;0,AND(ISNUMBER(L1532),OR(L1532&lt;0,L1532&gt;95))),"Введите целое число от 0 до 95",IF(OR(AND(J1532&lt;&gt;"",NOT(ISNUMBER(J1532))),IFERROR(MOD(J1532,1),1)&gt;0,AND(ISNUMBER(J1532),OR(J1532&lt;50,J1532&gt;20000000))),"Введите целое число от 50 до 20000000",IF(NOT(ABS(IFERROR(VALUE(LEFT(M1532,FIND("-",M1532)-1)),M1532)*100-(5000+2000000000)/2)&lt;=ABS(5000-2000000000)/2),"Цена со скидкой должна быть от 50 до 20000000",IF(IFERROR(VALUE(LEFT(M1532,FIND("-",M1532)-1)),M1532)*190&lt;35890,"Вы уменьшили цену в несколько раз, товар попадет в карантин цен","")))),"")</f>
      </c>
    </row>
    <row r="1533">
      <c r="A1533" s="2" t="inlineStr">
        <is>
          <t>CuteShop</t>
        </is>
      </c>
      <c r="B1533" s="2" t="inlineStr">
        <is>
          <t>Аксессуары для рукоделия</t>
        </is>
      </c>
      <c r="C1533" s="2">
        <v>221059819</v>
      </c>
      <c r="D1533" s="2" t="inlineStr">
        <is>
          <t xml:space="preserve"> Kab-9May-6</t>
        </is>
      </c>
      <c r="E1533" s="2" t="inlineStr">
        <is>
          <t>2039758275628</t>
        </is>
      </c>
      <c r="F1533" s="2">
        <v>0</v>
      </c>
      <c r="G1533" s="2">
        <v>0</v>
      </c>
      <c r="H1533" s="2" t="inlineStr">
        <is>
          <t/>
        </is>
      </c>
      <c r="I1533" s="2" t="inlineStr">
        <is>
          <t>370</t>
        </is>
      </c>
      <c r="J1533" s="4"/>
      <c r="K1533" s="2">
        <v>5</v>
      </c>
      <c r="L1533" s="6"/>
      <c r="M1533" s="2" t="str">
        <f>IF(J1533="",ROUND(I1533*(1-IF(ISBLANK(L1533),K1533,L1533)/100),2),ROUND(J1533*(1-IF(ISBLANK(L1533),K1533,L1533)/100),2))</f>
      </c>
      <c r="N1533" s="7" t="str">
        <f>IF(NOT(AND(J1533="",L1533="")),IF(OR(AND(L1533&lt;&gt;"",NOT(ISNUMBER(L1533))),IFERROR(MOD(L1533,1),1)&gt;0,AND(ISNUMBER(L1533),OR(L1533&lt;0,L1533&gt;95))),"Введите целое число от 0 до 95",IF(OR(AND(J1533&lt;&gt;"",NOT(ISNUMBER(J1533))),IFERROR(MOD(J1533,1),1)&gt;0,AND(ISNUMBER(J1533),OR(J1533&lt;50,J1533&gt;20000000))),"Введите целое число от 50 до 20000000",IF(NOT(ABS(IFERROR(VALUE(LEFT(M1533,FIND("-",M1533)-1)),M1533)*100-(5000+2000000000)/2)&lt;=ABS(5000-2000000000)/2),"Цена со скидкой должна быть от 50 до 20000000",IF(IFERROR(VALUE(LEFT(M1533,FIND("-",M1533)-1)),M1533)*190&lt;35150,"Вы уменьшили цену в несколько раз, товар попадет в карантин цен","")))),"")</f>
      </c>
    </row>
    <row r="1534">
      <c r="A1534" s="2" t="inlineStr">
        <is>
          <t>CuteShop</t>
        </is>
      </c>
      <c r="B1534" s="2" t="inlineStr">
        <is>
          <t>Аксессуары для рукоделия</t>
        </is>
      </c>
      <c r="C1534" s="2">
        <v>213778743</v>
      </c>
      <c r="D1534" s="2" t="inlineStr">
        <is>
          <t>Kab-9May-5</t>
        </is>
      </c>
      <c r="E1534" s="2" t="inlineStr">
        <is>
          <t>2039581922591</t>
        </is>
      </c>
      <c r="F1534" s="2">
        <v>0</v>
      </c>
      <c r="G1534" s="2">
        <v>0</v>
      </c>
      <c r="H1534" s="2" t="inlineStr">
        <is>
          <t/>
        </is>
      </c>
      <c r="I1534" s="2" t="inlineStr">
        <is>
          <t>370</t>
        </is>
      </c>
      <c r="J1534" s="4"/>
      <c r="K1534" s="2">
        <v>5</v>
      </c>
      <c r="L1534" s="6"/>
      <c r="M1534" s="2" t="str">
        <f>IF(J1534="",ROUND(I1534*(1-IF(ISBLANK(L1534),K1534,L1534)/100),2),ROUND(J1534*(1-IF(ISBLANK(L1534),K1534,L1534)/100),2))</f>
      </c>
      <c r="N1534" s="7" t="str">
        <f>IF(NOT(AND(J1534="",L1534="")),IF(OR(AND(L1534&lt;&gt;"",NOT(ISNUMBER(L1534))),IFERROR(MOD(L1534,1),1)&gt;0,AND(ISNUMBER(L1534),OR(L1534&lt;0,L1534&gt;95))),"Введите целое число от 0 до 95",IF(OR(AND(J1534&lt;&gt;"",NOT(ISNUMBER(J1534))),IFERROR(MOD(J1534,1),1)&gt;0,AND(ISNUMBER(J1534),OR(J1534&lt;50,J1534&gt;20000000))),"Введите целое число от 50 до 20000000",IF(NOT(ABS(IFERROR(VALUE(LEFT(M1534,FIND("-",M1534)-1)),M1534)*100-(5000+2000000000)/2)&lt;=ABS(5000-2000000000)/2),"Цена со скидкой должна быть от 50 до 20000000",IF(IFERROR(VALUE(LEFT(M1534,FIND("-",M1534)-1)),M1534)*190&lt;35150,"Вы уменьшили цену в несколько раз, товар попадет в карантин цен","")))),"")</f>
      </c>
    </row>
    <row r="1535">
      <c r="A1535" s="2" t="inlineStr">
        <is>
          <t>CuteShop</t>
        </is>
      </c>
      <c r="B1535" s="2" t="inlineStr">
        <is>
          <t>Аксессуары для рукоделия</t>
        </is>
      </c>
      <c r="C1535" s="2">
        <v>213778741</v>
      </c>
      <c r="D1535" s="2" t="inlineStr">
        <is>
          <t>Kab-9May-3</t>
        </is>
      </c>
      <c r="E1535" s="2" t="inlineStr">
        <is>
          <t>2039581918921</t>
        </is>
      </c>
      <c r="F1535" s="2">
        <v>0</v>
      </c>
      <c r="G1535" s="2">
        <v>0</v>
      </c>
      <c r="H1535" s="2" t="inlineStr">
        <is>
          <t/>
        </is>
      </c>
      <c r="I1535" s="2" t="inlineStr">
        <is>
          <t>370</t>
        </is>
      </c>
      <c r="J1535" s="4"/>
      <c r="K1535" s="2">
        <v>3</v>
      </c>
      <c r="L1535" s="6"/>
      <c r="M1535" s="2" t="str">
        <f>IF(J1535="",ROUND(I1535*(1-IF(ISBLANK(L1535),K1535,L1535)/100),2),ROUND(J1535*(1-IF(ISBLANK(L1535),K1535,L1535)/100),2))</f>
      </c>
      <c r="N1535" s="7" t="str">
        <f>IF(NOT(AND(J1535="",L1535="")),IF(OR(AND(L1535&lt;&gt;"",NOT(ISNUMBER(L1535))),IFERROR(MOD(L1535,1),1)&gt;0,AND(ISNUMBER(L1535),OR(L1535&lt;0,L1535&gt;95))),"Введите целое число от 0 до 95",IF(OR(AND(J1535&lt;&gt;"",NOT(ISNUMBER(J1535))),IFERROR(MOD(J1535,1),1)&gt;0,AND(ISNUMBER(J1535),OR(J1535&lt;50,J1535&gt;20000000))),"Введите целое число от 50 до 20000000",IF(NOT(ABS(IFERROR(VALUE(LEFT(M1535,FIND("-",M1535)-1)),M1535)*100-(5000+2000000000)/2)&lt;=ABS(5000-2000000000)/2),"Цена со скидкой должна быть от 50 до 20000000",IF(IFERROR(VALUE(LEFT(M1535,FIND("-",M1535)-1)),M1535)*190&lt;35890,"Вы уменьшили цену в несколько раз, товар попадет в карантин цен","")))),"")</f>
      </c>
    </row>
    <row r="1536">
      <c r="A1536" s="2" t="inlineStr">
        <is>
          <t>CuteShop</t>
        </is>
      </c>
      <c r="B1536" s="2" t="inlineStr">
        <is>
          <t>Бусины</t>
        </is>
      </c>
      <c r="C1536" s="2">
        <v>194507052</v>
      </c>
      <c r="D1536" s="2" t="inlineStr">
        <is>
          <t>Bus-Serd-SvetVTem-Mix-100</t>
        </is>
      </c>
      <c r="E1536" s="2" t="inlineStr">
        <is>
          <t>2039125080473</t>
        </is>
      </c>
      <c r="F1536" s="2">
        <v>0</v>
      </c>
      <c r="G1536" s="2">
        <v>0</v>
      </c>
      <c r="H1536" s="2" t="inlineStr">
        <is>
          <t/>
        </is>
      </c>
      <c r="I1536" s="2" t="inlineStr">
        <is>
          <t>300</t>
        </is>
      </c>
      <c r="J1536" s="4"/>
      <c r="K1536" s="2">
        <v>0</v>
      </c>
      <c r="L1536" s="6"/>
      <c r="M1536" s="2" t="str">
        <f>IF(J1536="",ROUND(I1536*(1-IF(ISBLANK(L1536),K1536,L1536)/100),2),ROUND(J1536*(1-IF(ISBLANK(L1536),K1536,L1536)/100),2))</f>
      </c>
      <c r="N1536" s="7" t="str">
        <f>IF(NOT(AND(J1536="",L1536="")),IF(OR(AND(L1536&lt;&gt;"",NOT(ISNUMBER(L1536))),IFERROR(MOD(L1536,1),1)&gt;0,AND(ISNUMBER(L1536),OR(L1536&lt;0,L1536&gt;95))),"Введите целое число от 0 до 95",IF(OR(AND(J1536&lt;&gt;"",NOT(ISNUMBER(J1536))),IFERROR(MOD(J1536,1),1)&gt;0,AND(ISNUMBER(J1536),OR(J1536&lt;50,J1536&gt;20000000))),"Введите целое число от 50 до 20000000",IF(NOT(ABS(IFERROR(VALUE(LEFT(M1536,FIND("-",M1536)-1)),M1536)*100-(5000+2000000000)/2)&lt;=ABS(5000-2000000000)/2),"Цена со скидкой должна быть от 50 до 20000000",IF(IFERROR(VALUE(LEFT(M1536,FIND("-",M1536)-1)),M1536)*190&lt;30000,"Вы уменьшили цену в несколько раз, товар попадет в карантин цен","")))),"")</f>
      </c>
    </row>
    <row r="1537">
      <c r="A1537" s="2" t="inlineStr">
        <is>
          <t>CuteShop</t>
        </is>
      </c>
      <c r="B1537" s="2" t="inlineStr">
        <is>
          <t>Ленты для рукоделия</t>
        </is>
      </c>
      <c r="C1537" s="2">
        <v>192225856</v>
      </c>
      <c r="D1537" s="2" t="inlineStr">
        <is>
          <t>Lenta-Rep-Snegur2-10</t>
        </is>
      </c>
      <c r="E1537" s="2" t="inlineStr">
        <is>
          <t>2039068203816</t>
        </is>
      </c>
      <c r="F1537" s="2">
        <v>0</v>
      </c>
      <c r="G1537" s="2">
        <v>0</v>
      </c>
      <c r="H1537" s="2" t="inlineStr">
        <is>
          <t/>
        </is>
      </c>
      <c r="I1537" s="2" t="inlineStr">
        <is>
          <t>430</t>
        </is>
      </c>
      <c r="J1537" s="4"/>
      <c r="K1537" s="2">
        <v>0</v>
      </c>
      <c r="L1537" s="6"/>
      <c r="M1537" s="2" t="str">
        <f>IF(J1537="",ROUND(I1537*(1-IF(ISBLANK(L1537),K1537,L1537)/100),2),ROUND(J1537*(1-IF(ISBLANK(L1537),K1537,L1537)/100),2))</f>
      </c>
      <c r="N1537" s="7" t="str">
        <f>IF(NOT(AND(J1537="",L1537="")),IF(OR(AND(L1537&lt;&gt;"",NOT(ISNUMBER(L1537))),IFERROR(MOD(L1537,1),1)&gt;0,AND(ISNUMBER(L1537),OR(L1537&lt;0,L1537&gt;95))),"Введите целое число от 0 до 95",IF(OR(AND(J1537&lt;&gt;"",NOT(ISNUMBER(J1537))),IFERROR(MOD(J1537,1),1)&gt;0,AND(ISNUMBER(J1537),OR(J1537&lt;50,J1537&gt;20000000))),"Введите целое число от 50 до 20000000",IF(NOT(ABS(IFERROR(VALUE(LEFT(M1537,FIND("-",M1537)-1)),M1537)*100-(5000+2000000000)/2)&lt;=ABS(5000-2000000000)/2),"Цена со скидкой должна быть от 50 до 20000000",IF(IFERROR(VALUE(LEFT(M1537,FIND("-",M1537)-1)),M1537)*190&lt;43000,"Вы уменьшили цену в несколько раз, товар попадет в карантин цен","")))),"")</f>
      </c>
    </row>
    <row r="1538">
      <c r="A1538" s="2" t="inlineStr">
        <is>
          <t>CuteShop</t>
        </is>
      </c>
      <c r="B1538" s="2" t="inlineStr">
        <is>
          <t>Ленты для рукоделия</t>
        </is>
      </c>
      <c r="C1538" s="2">
        <v>192225855</v>
      </c>
      <c r="D1538" s="2" t="inlineStr">
        <is>
          <t>Lenta-Rep-Snegur2-5</t>
        </is>
      </c>
      <c r="E1538" s="2" t="inlineStr">
        <is>
          <t>2039066630553</t>
        </is>
      </c>
      <c r="F1538" s="2">
        <v>0</v>
      </c>
      <c r="G1538" s="2">
        <v>0</v>
      </c>
      <c r="H1538" s="2" t="inlineStr">
        <is>
          <t/>
        </is>
      </c>
      <c r="I1538" s="2" t="inlineStr">
        <is>
          <t>320</t>
        </is>
      </c>
      <c r="J1538" s="4"/>
      <c r="K1538" s="2">
        <v>0</v>
      </c>
      <c r="L1538" s="6"/>
      <c r="M1538" s="2" t="str">
        <f>IF(J1538="",ROUND(I1538*(1-IF(ISBLANK(L1538),K1538,L1538)/100),2),ROUND(J1538*(1-IF(ISBLANK(L1538),K1538,L1538)/100),2))</f>
      </c>
      <c r="N1538" s="7" t="str">
        <f>IF(NOT(AND(J1538="",L1538="")),IF(OR(AND(L1538&lt;&gt;"",NOT(ISNUMBER(L1538))),IFERROR(MOD(L1538,1),1)&gt;0,AND(ISNUMBER(L1538),OR(L1538&lt;0,L1538&gt;95))),"Введите целое число от 0 до 95",IF(OR(AND(J1538&lt;&gt;"",NOT(ISNUMBER(J1538))),IFERROR(MOD(J1538,1),1)&gt;0,AND(ISNUMBER(J1538),OR(J1538&lt;50,J1538&gt;20000000))),"Введите целое число от 50 до 20000000",IF(NOT(ABS(IFERROR(VALUE(LEFT(M1538,FIND("-",M1538)-1)),M1538)*100-(5000+2000000000)/2)&lt;=ABS(5000-2000000000)/2),"Цена со скидкой должна быть от 50 до 20000000",IF(IFERROR(VALUE(LEFT(M1538,FIND("-",M1538)-1)),M1538)*190&lt;32000,"Вы уменьшили цену в несколько раз, товар попадет в карантин цен","")))),"")</f>
      </c>
    </row>
    <row r="1539">
      <c r="A1539" s="2" t="inlineStr">
        <is>
          <t/>
        </is>
      </c>
      <c r="B1539" s="2" t="inlineStr">
        <is>
          <t>Ткани для рукоделия</t>
        </is>
      </c>
      <c r="C1539" s="2">
        <v>189550252</v>
      </c>
      <c r="D1539" s="2" t="inlineStr">
        <is>
          <t>Fatin-Goroh15-Zel-5</t>
        </is>
      </c>
      <c r="E1539" s="2" t="inlineStr">
        <is>
          <t>2038979504630</t>
        </is>
      </c>
      <c r="F1539" s="2">
        <v>0</v>
      </c>
      <c r="G1539" s="2">
        <v>0</v>
      </c>
      <c r="H1539" s="2">
        <v>1</v>
      </c>
      <c r="I1539" s="2" t="inlineStr">
        <is>
          <t>340</t>
        </is>
      </c>
      <c r="J1539" s="4"/>
      <c r="K1539" s="2">
        <v>0</v>
      </c>
      <c r="L1539" s="6"/>
      <c r="M1539" s="2" t="str">
        <f>IF(J1539="",ROUND(I1539*(1-IF(ISBLANK(L1539),K1539,L1539)/100),2),ROUND(J1539*(1-IF(ISBLANK(L1539),K1539,L1539)/100),2))</f>
      </c>
      <c r="N1539" s="7" t="str">
        <f>IF(NOT(AND(J1539="",L1539="")),IF(OR(AND(L1539&lt;&gt;"",NOT(ISNUMBER(L1539))),IFERROR(MOD(L1539,1),1)&gt;0,AND(ISNUMBER(L1539),OR(L1539&lt;0,L1539&gt;95))),"Введите целое число от 0 до 95",IF(OR(AND(J1539&lt;&gt;"",NOT(ISNUMBER(J1539))),IFERROR(MOD(J1539,1),1)&gt;0,AND(ISNUMBER(J1539),OR(J1539&lt;50,J1539&gt;20000000))),"Введите целое число от 50 до 20000000",IF(NOT(ABS(IFERROR(VALUE(LEFT(M1539,FIND("-",M1539)-1)),M1539)*100-(5000+2000000000)/2)&lt;=ABS(5000-2000000000)/2),"Цена со скидкой должна быть от 50 до 20000000",IF(IFERROR(VALUE(LEFT(M1539,FIND("-",M1539)-1)),M1539)*190&lt;34000,"Вы уменьшили цену в несколько раз, товар попадет в карантин цен","")))),"")</f>
      </c>
    </row>
    <row r="1540">
      <c r="A1540" s="2" t="inlineStr">
        <is>
          <t>CuteShop</t>
        </is>
      </c>
      <c r="B1540" s="2" t="inlineStr">
        <is>
          <t>Аксессуары для рукоделия</t>
        </is>
      </c>
      <c r="C1540" s="2">
        <v>138945997</v>
      </c>
      <c r="D1540" s="2" t="inlineStr">
        <is>
          <t>Ser-Straz-Azhursereb-4</t>
        </is>
      </c>
      <c r="E1540" s="2" t="inlineStr">
        <is>
          <t>2037255604798</t>
        </is>
      </c>
      <c r="F1540" s="2">
        <v>0</v>
      </c>
      <c r="G1540" s="2">
        <v>0</v>
      </c>
      <c r="H1540" s="2" t="inlineStr">
        <is>
          <t/>
        </is>
      </c>
      <c r="I1540" s="2" t="inlineStr">
        <is>
          <t>410</t>
        </is>
      </c>
      <c r="J1540" s="4"/>
      <c r="K1540" s="2">
        <v>0</v>
      </c>
      <c r="L1540" s="6"/>
      <c r="M1540" s="2" t="str">
        <f>IF(J1540="",ROUND(I1540*(1-IF(ISBLANK(L1540),K1540,L1540)/100),2),ROUND(J1540*(1-IF(ISBLANK(L1540),K1540,L1540)/100),2))</f>
      </c>
      <c r="N1540" s="7" t="str">
        <f>IF(NOT(AND(J1540="",L1540="")),IF(OR(AND(L1540&lt;&gt;"",NOT(ISNUMBER(L1540))),IFERROR(MOD(L1540,1),1)&gt;0,AND(ISNUMBER(L1540),OR(L1540&lt;0,L1540&gt;95))),"Введите целое число от 0 до 95",IF(OR(AND(J1540&lt;&gt;"",NOT(ISNUMBER(J1540))),IFERROR(MOD(J1540,1),1)&gt;0,AND(ISNUMBER(J1540),OR(J1540&lt;50,J1540&gt;20000000))),"Введите целое число от 50 до 20000000",IF(NOT(ABS(IFERROR(VALUE(LEFT(M1540,FIND("-",M1540)-1)),M1540)*100-(5000+2000000000)/2)&lt;=ABS(5000-2000000000)/2),"Цена со скидкой должна быть от 50 до 20000000",IF(IFERROR(VALUE(LEFT(M1540,FIND("-",M1540)-1)),M1540)*190&lt;41000,"Вы уменьшили цену в несколько раз, товар попадет в карантин цен","")))),"")</f>
      </c>
    </row>
    <row r="1541">
      <c r="A1541" s="2" t="inlineStr">
        <is>
          <t>CuteShop</t>
        </is>
      </c>
      <c r="B1541" s="2" t="inlineStr">
        <is>
          <t>Аксессуары для рукоделия</t>
        </is>
      </c>
      <c r="C1541" s="2">
        <v>139461087</v>
      </c>
      <c r="D1541" s="2" t="inlineStr">
        <is>
          <t>Kab-Kot1-10</t>
        </is>
      </c>
      <c r="E1541" s="2" t="inlineStr">
        <is>
          <t>2037275928430</t>
        </is>
      </c>
      <c r="F1541" s="2">
        <v>0</v>
      </c>
      <c r="G1541" s="2">
        <v>0</v>
      </c>
      <c r="H1541" s="2">
        <v>0</v>
      </c>
      <c r="I1541" s="2" t="inlineStr">
        <is>
          <t>290</t>
        </is>
      </c>
      <c r="J1541" s="4"/>
      <c r="K1541" s="2">
        <v>0</v>
      </c>
      <c r="L1541" s="6"/>
      <c r="M1541" s="2" t="str">
        <f>IF(J1541="",ROUND(I1541*(1-IF(ISBLANK(L1541),K1541,L1541)/100),2),ROUND(J1541*(1-IF(ISBLANK(L1541),K1541,L1541)/100),2))</f>
      </c>
      <c r="N1541" s="7" t="str">
        <f>IF(NOT(AND(J1541="",L1541="")),IF(OR(AND(L1541&lt;&gt;"",NOT(ISNUMBER(L1541))),IFERROR(MOD(L1541,1),1)&gt;0,AND(ISNUMBER(L1541),OR(L1541&lt;0,L1541&gt;95))),"Введите целое число от 0 до 95",IF(OR(AND(J1541&lt;&gt;"",NOT(ISNUMBER(J1541))),IFERROR(MOD(J1541,1),1)&gt;0,AND(ISNUMBER(J1541),OR(J1541&lt;50,J1541&gt;20000000))),"Введите целое число от 50 до 20000000",IF(NOT(ABS(IFERROR(VALUE(LEFT(M1541,FIND("-",M1541)-1)),M1541)*100-(5000+2000000000)/2)&lt;=ABS(5000-2000000000)/2),"Цена со скидкой должна быть от 50 до 20000000",IF(IFERROR(VALUE(LEFT(M1541,FIND("-",M1541)-1)),M1541)*190&lt;29000,"Вы уменьшили цену в несколько раз, товар попадет в карантин цен","")))),"")</f>
      </c>
    </row>
    <row r="1542">
      <c r="A1542" s="2" t="inlineStr">
        <is>
          <t>CuteShop</t>
        </is>
      </c>
      <c r="B1542" s="2" t="inlineStr">
        <is>
          <t>Аксессуары для рукоделия</t>
        </is>
      </c>
      <c r="C1542" s="2">
        <v>139459476</v>
      </c>
      <c r="D1542" s="2" t="inlineStr">
        <is>
          <t>Ser-Straz-1.4-Roz-18</t>
        </is>
      </c>
      <c r="E1542" s="2" t="inlineStr">
        <is>
          <t>2037275906100</t>
        </is>
      </c>
      <c r="F1542" s="2">
        <v>0</v>
      </c>
      <c r="G1542" s="2">
        <v>0</v>
      </c>
      <c r="H1542" s="2">
        <v>0</v>
      </c>
      <c r="I1542" s="2" t="inlineStr">
        <is>
          <t>320</t>
        </is>
      </c>
      <c r="J1542" s="4"/>
      <c r="K1542" s="2">
        <v>0</v>
      </c>
      <c r="L1542" s="6"/>
      <c r="M1542" s="2" t="str">
        <f>IF(J1542="",ROUND(I1542*(1-IF(ISBLANK(L1542),K1542,L1542)/100),2),ROUND(J1542*(1-IF(ISBLANK(L1542),K1542,L1542)/100),2))</f>
      </c>
      <c r="N1542" s="7" t="str">
        <f>IF(NOT(AND(J1542="",L1542="")),IF(OR(AND(L1542&lt;&gt;"",NOT(ISNUMBER(L1542))),IFERROR(MOD(L1542,1),1)&gt;0,AND(ISNUMBER(L1542),OR(L1542&lt;0,L1542&gt;95))),"Введите целое число от 0 до 95",IF(OR(AND(J1542&lt;&gt;"",NOT(ISNUMBER(J1542))),IFERROR(MOD(J1542,1),1)&gt;0,AND(ISNUMBER(J1542),OR(J1542&lt;50,J1542&gt;20000000))),"Введите целое число от 50 до 20000000",IF(NOT(ABS(IFERROR(VALUE(LEFT(M1542,FIND("-",M1542)-1)),M1542)*100-(5000+2000000000)/2)&lt;=ABS(5000-2000000000)/2),"Цена со скидкой должна быть от 50 до 20000000",IF(IFERROR(VALUE(LEFT(M1542,FIND("-",M1542)-1)),M1542)*190&lt;32000,"Вы уменьшили цену в несколько раз, товар попадет в карантин цен","")))),"")</f>
      </c>
    </row>
    <row r="1543">
      <c r="A1543" s="2" t="inlineStr">
        <is>
          <t>CuteShop</t>
        </is>
      </c>
      <c r="B1543" s="2" t="inlineStr">
        <is>
          <t>Аксессуары для рукоделия</t>
        </is>
      </c>
      <c r="C1543" s="2">
        <v>343406889</v>
      </c>
      <c r="D1543" s="2" t="inlineStr">
        <is>
          <t xml:space="preserve"> Kab-Zver4</t>
        </is>
      </c>
      <c r="E1543" s="2" t="inlineStr">
        <is>
          <t>2043023056447</t>
        </is>
      </c>
      <c r="F1543" s="2">
        <v>0</v>
      </c>
      <c r="G1543" s="2">
        <v>1</v>
      </c>
      <c r="H1543" s="2" t="inlineStr">
        <is>
          <t/>
        </is>
      </c>
      <c r="I1543" s="2" t="inlineStr">
        <is>
          <t>290</t>
        </is>
      </c>
      <c r="J1543" s="4"/>
      <c r="K1543" s="2">
        <v>10</v>
      </c>
      <c r="L1543" s="6"/>
      <c r="M1543" s="2" t="str">
        <f>IF(J1543="",ROUND(I1543*(1-IF(ISBLANK(L1543),K1543,L1543)/100),2),ROUND(J1543*(1-IF(ISBLANK(L1543),K1543,L1543)/100),2))</f>
      </c>
      <c r="N1543" s="7" t="str">
        <f>IF(NOT(AND(J1543="",L1543="")),IF(OR(AND(L1543&lt;&gt;"",NOT(ISNUMBER(L1543))),IFERROR(MOD(L1543,1),1)&gt;0,AND(ISNUMBER(L1543),OR(L1543&lt;0,L1543&gt;95))),"Введите целое число от 0 до 95",IF(OR(AND(J1543&lt;&gt;"",NOT(ISNUMBER(J1543))),IFERROR(MOD(J1543,1),1)&gt;0,AND(ISNUMBER(J1543),OR(J1543&lt;50,J1543&gt;20000000))),"Введите целое число от 50 до 20000000",IF(NOT(ABS(IFERROR(VALUE(LEFT(M1543,FIND("-",M1543)-1)),M1543)*100-(5000+2000000000)/2)&lt;=ABS(5000-2000000000)/2),"Цена со скидкой должна быть от 50 до 20000000",IF(IFERROR(VALUE(LEFT(M1543,FIND("-",M1543)-1)),M1543)*190&lt;26100,"Вы уменьшили цену в несколько раз, товар попадет в карантин цен","")))),"")</f>
      </c>
    </row>
    <row r="1544">
      <c r="A1544" s="2" t="inlineStr">
        <is>
          <t>CuteShop</t>
        </is>
      </c>
      <c r="B1544" s="2" t="inlineStr">
        <is>
          <t>Бусины</t>
        </is>
      </c>
      <c r="C1544" s="2">
        <v>194015719</v>
      </c>
      <c r="D1544" s="2" t="inlineStr">
        <is>
          <t>Bus-Serd-MixZal3-100</t>
        </is>
      </c>
      <c r="E1544" s="2" t="inlineStr">
        <is>
          <t>2039117768853</t>
        </is>
      </c>
      <c r="F1544" s="2">
        <v>0</v>
      </c>
      <c r="G1544" s="2">
        <v>1</v>
      </c>
      <c r="H1544" s="2" t="inlineStr">
        <is>
          <t/>
        </is>
      </c>
      <c r="I1544" s="2" t="inlineStr">
        <is>
          <t>280</t>
        </is>
      </c>
      <c r="J1544" s="4"/>
      <c r="K1544" s="2">
        <v>10</v>
      </c>
      <c r="L1544" s="6"/>
      <c r="M1544" s="2" t="str">
        <f>IF(J1544="",ROUND(I1544*(1-IF(ISBLANK(L1544),K1544,L1544)/100),2),ROUND(J1544*(1-IF(ISBLANK(L1544),K1544,L1544)/100),2))</f>
      </c>
      <c r="N1544" s="7" t="str">
        <f>IF(NOT(AND(J1544="",L1544="")),IF(OR(AND(L1544&lt;&gt;"",NOT(ISNUMBER(L1544))),IFERROR(MOD(L1544,1),1)&gt;0,AND(ISNUMBER(L1544),OR(L1544&lt;0,L1544&gt;95))),"Введите целое число от 0 до 95",IF(OR(AND(J1544&lt;&gt;"",NOT(ISNUMBER(J1544))),IFERROR(MOD(J1544,1),1)&gt;0,AND(ISNUMBER(J1544),OR(J1544&lt;50,J1544&gt;20000000))),"Введите целое число от 50 до 20000000",IF(NOT(ABS(IFERROR(VALUE(LEFT(M1544,FIND("-",M1544)-1)),M1544)*100-(5000+2000000000)/2)&lt;=ABS(5000-2000000000)/2),"Цена со скидкой должна быть от 50 до 20000000",IF(IFERROR(VALUE(LEFT(M1544,FIND("-",M1544)-1)),M1544)*190&lt;25200,"Вы уменьшили цену в несколько раз, товар попадет в карантин цен","")))),"")</f>
      </c>
    </row>
    <row r="1545">
      <c r="A1545" s="2" t="inlineStr">
        <is>
          <t>CuteShop</t>
        </is>
      </c>
      <c r="B1545" s="2" t="inlineStr">
        <is>
          <t>Аксессуары для рукоделия</t>
        </is>
      </c>
      <c r="C1545" s="2">
        <v>136539722</v>
      </c>
      <c r="D1545" s="2" t="inlineStr">
        <is>
          <t>Kab-Dev1-10</t>
        </is>
      </c>
      <c r="E1545" s="2" t="inlineStr">
        <is>
          <t>2037188271326</t>
        </is>
      </c>
      <c r="F1545" s="2">
        <v>0</v>
      </c>
      <c r="G1545" s="2">
        <v>0</v>
      </c>
      <c r="H1545" s="2">
        <v>0</v>
      </c>
      <c r="I1545" s="2" t="inlineStr">
        <is>
          <t>290</t>
        </is>
      </c>
      <c r="J1545" s="4"/>
      <c r="K1545" s="2">
        <v>10</v>
      </c>
      <c r="L1545" s="6"/>
      <c r="M1545" s="2" t="str">
        <f>IF(J1545="",ROUND(I1545*(1-IF(ISBLANK(L1545),K1545,L1545)/100),2),ROUND(J1545*(1-IF(ISBLANK(L1545),K1545,L1545)/100),2))</f>
      </c>
      <c r="N1545" s="7" t="str">
        <f>IF(NOT(AND(J1545="",L1545="")),IF(OR(AND(L1545&lt;&gt;"",NOT(ISNUMBER(L1545))),IFERROR(MOD(L1545,1),1)&gt;0,AND(ISNUMBER(L1545),OR(L1545&lt;0,L1545&gt;95))),"Введите целое число от 0 до 95",IF(OR(AND(J1545&lt;&gt;"",NOT(ISNUMBER(J1545))),IFERROR(MOD(J1545,1),1)&gt;0,AND(ISNUMBER(J1545),OR(J1545&lt;50,J1545&gt;20000000))),"Введите целое число от 50 до 20000000",IF(NOT(ABS(IFERROR(VALUE(LEFT(M1545,FIND("-",M1545)-1)),M1545)*100-(5000+2000000000)/2)&lt;=ABS(5000-2000000000)/2),"Цена со скидкой должна быть от 50 до 20000000",IF(IFERROR(VALUE(LEFT(M1545,FIND("-",M1545)-1)),M1545)*190&lt;26100,"Вы уменьшили цену в несколько раз, товар попадет в карантин цен","")))),"")</f>
      </c>
    </row>
    <row r="1546">
      <c r="A1546" s="2" t="inlineStr">
        <is>
          <t>CuteShop</t>
        </is>
      </c>
      <c r="B1546" s="2" t="inlineStr">
        <is>
          <t>Ленты для рукоделия</t>
        </is>
      </c>
      <c r="C1546" s="2">
        <v>191763828</v>
      </c>
      <c r="D1546" s="2" t="inlineStr">
        <is>
          <t>Lenta-Atlas-Snezh-Roz</t>
        </is>
      </c>
      <c r="E1546" s="2" t="inlineStr">
        <is>
          <t>2039051070142</t>
        </is>
      </c>
      <c r="F1546" s="2">
        <v>0</v>
      </c>
      <c r="G1546" s="2">
        <v>0</v>
      </c>
      <c r="H1546" s="2" t="inlineStr">
        <is>
          <t/>
        </is>
      </c>
      <c r="I1546" s="2" t="inlineStr">
        <is>
          <t>390</t>
        </is>
      </c>
      <c r="J1546" s="4"/>
      <c r="K1546" s="2">
        <v>0</v>
      </c>
      <c r="L1546" s="6"/>
      <c r="M1546" s="2" t="str">
        <f>IF(J1546="",ROUND(I1546*(1-IF(ISBLANK(L1546),K1546,L1546)/100),2),ROUND(J1546*(1-IF(ISBLANK(L1546),K1546,L1546)/100),2))</f>
      </c>
      <c r="N1546" s="7" t="str">
        <f>IF(NOT(AND(J1546="",L1546="")),IF(OR(AND(L1546&lt;&gt;"",NOT(ISNUMBER(L1546))),IFERROR(MOD(L1546,1),1)&gt;0,AND(ISNUMBER(L1546),OR(L1546&lt;0,L1546&gt;95))),"Введите целое число от 0 до 95",IF(OR(AND(J1546&lt;&gt;"",NOT(ISNUMBER(J1546))),IFERROR(MOD(J1546,1),1)&gt;0,AND(ISNUMBER(J1546),OR(J1546&lt;50,J1546&gt;20000000))),"Введите целое число от 50 до 20000000",IF(NOT(ABS(IFERROR(VALUE(LEFT(M1546,FIND("-",M1546)-1)),M1546)*100-(5000+2000000000)/2)&lt;=ABS(5000-2000000000)/2),"Цена со скидкой должна быть от 50 до 20000000",IF(IFERROR(VALUE(LEFT(M1546,FIND("-",M1546)-1)),M1546)*190&lt;39000,"Вы уменьшили цену в несколько раз, товар попадет в карантин цен","")))),"")</f>
      </c>
    </row>
    <row r="1547">
      <c r="A1547" s="2" t="inlineStr">
        <is>
          <t>CuteShop</t>
        </is>
      </c>
      <c r="B1547" s="2" t="inlineStr">
        <is>
          <t>Ленты для рукоделия</t>
        </is>
      </c>
      <c r="C1547" s="2">
        <v>195275775</v>
      </c>
      <c r="D1547" s="2" t="inlineStr">
        <is>
          <t>Lenta-Rep-Snezh-BelZol-40-7,5</t>
        </is>
      </c>
      <c r="E1547" s="2" t="inlineStr">
        <is>
          <t>2039139863345</t>
        </is>
      </c>
      <c r="F1547" s="2">
        <v>0</v>
      </c>
      <c r="G1547" s="2">
        <v>0</v>
      </c>
      <c r="H1547" s="2" t="inlineStr">
        <is>
          <t/>
        </is>
      </c>
      <c r="I1547" s="2" t="inlineStr">
        <is>
          <t>420</t>
        </is>
      </c>
      <c r="J1547" s="4"/>
      <c r="K1547" s="2">
        <v>0</v>
      </c>
      <c r="L1547" s="6"/>
      <c r="M1547" s="2" t="str">
        <f>IF(J1547="",ROUND(I1547*(1-IF(ISBLANK(L1547),K1547,L1547)/100),2),ROUND(J1547*(1-IF(ISBLANK(L1547),K1547,L1547)/100),2))</f>
      </c>
      <c r="N1547" s="7" t="str">
        <f>IF(NOT(AND(J1547="",L1547="")),IF(OR(AND(L1547&lt;&gt;"",NOT(ISNUMBER(L1547))),IFERROR(MOD(L1547,1),1)&gt;0,AND(ISNUMBER(L1547),OR(L1547&lt;0,L1547&gt;95))),"Введите целое число от 0 до 95",IF(OR(AND(J1547&lt;&gt;"",NOT(ISNUMBER(J1547))),IFERROR(MOD(J1547,1),1)&gt;0,AND(ISNUMBER(J1547),OR(J1547&lt;50,J1547&gt;20000000))),"Введите целое число от 50 до 20000000",IF(NOT(ABS(IFERROR(VALUE(LEFT(M1547,FIND("-",M1547)-1)),M1547)*100-(5000+2000000000)/2)&lt;=ABS(5000-2000000000)/2),"Цена со скидкой должна быть от 50 до 20000000",IF(IFERROR(VALUE(LEFT(M1547,FIND("-",M1547)-1)),M1547)*190&lt;42000,"Вы уменьшили цену в несколько раз, товар попадет в карантин цен","")))),"")</f>
      </c>
    </row>
    <row r="1548">
      <c r="A1548" s="2" t="inlineStr">
        <is>
          <t>CuteShop</t>
        </is>
      </c>
      <c r="B1548" s="2" t="inlineStr">
        <is>
          <t>Бусины</t>
        </is>
      </c>
      <c r="C1548" s="2">
        <v>153292137</v>
      </c>
      <c r="D1548" s="2" t="inlineStr">
        <is>
          <t>Bus-raduzh-8mm-zel-100</t>
        </is>
      </c>
      <c r="E1548" s="2" t="inlineStr">
        <is>
          <t>2037631385907</t>
        </is>
      </c>
      <c r="F1548" s="2">
        <v>0</v>
      </c>
      <c r="G1548" s="2">
        <v>0</v>
      </c>
      <c r="H1548" s="2" t="inlineStr">
        <is>
          <t/>
        </is>
      </c>
      <c r="I1548" s="2" t="inlineStr">
        <is>
          <t>260</t>
        </is>
      </c>
      <c r="J1548" s="4"/>
      <c r="K1548" s="2">
        <v>5</v>
      </c>
      <c r="L1548" s="6"/>
      <c r="M1548" s="2" t="str">
        <f>IF(J1548="",ROUND(I1548*(1-IF(ISBLANK(L1548),K1548,L1548)/100),2),ROUND(J1548*(1-IF(ISBLANK(L1548),K1548,L1548)/100),2))</f>
      </c>
      <c r="N1548" s="7" t="str">
        <f>IF(NOT(AND(J1548="",L1548="")),IF(OR(AND(L1548&lt;&gt;"",NOT(ISNUMBER(L1548))),IFERROR(MOD(L1548,1),1)&gt;0,AND(ISNUMBER(L1548),OR(L1548&lt;0,L1548&gt;95))),"Введите целое число от 0 до 95",IF(OR(AND(J1548&lt;&gt;"",NOT(ISNUMBER(J1548))),IFERROR(MOD(J1548,1),1)&gt;0,AND(ISNUMBER(J1548),OR(J1548&lt;50,J1548&gt;20000000))),"Введите целое число от 50 до 20000000",IF(NOT(ABS(IFERROR(VALUE(LEFT(M1548,FIND("-",M1548)-1)),M1548)*100-(5000+2000000000)/2)&lt;=ABS(5000-2000000000)/2),"Цена со скидкой должна быть от 50 до 20000000",IF(IFERROR(VALUE(LEFT(M1548,FIND("-",M1548)-1)),M1548)*190&lt;24700,"Вы уменьшили цену в несколько раз, товар попадет в карантин цен","")))),"")</f>
      </c>
    </row>
    <row r="1549">
      <c r="A1549" s="2" t="inlineStr">
        <is>
          <t>CuteShop</t>
        </is>
      </c>
      <c r="B1549" s="2" t="inlineStr">
        <is>
          <t>Ленты для рукоделия</t>
        </is>
      </c>
      <c r="C1549" s="2">
        <v>132279609</v>
      </c>
      <c r="D1549" s="2" t="inlineStr">
        <is>
          <t>Lenta-Rep-Mult</t>
        </is>
      </c>
      <c r="E1549" s="2" t="inlineStr">
        <is>
          <t>2037043060102</t>
        </is>
      </c>
      <c r="F1549" s="2">
        <v>0</v>
      </c>
      <c r="G1549" s="2">
        <v>0</v>
      </c>
      <c r="H1549" s="2">
        <v>0</v>
      </c>
      <c r="I1549" s="2" t="inlineStr">
        <is>
          <t>405</t>
        </is>
      </c>
      <c r="J1549" s="4"/>
      <c r="K1549" s="2">
        <v>0</v>
      </c>
      <c r="L1549" s="6"/>
      <c r="M1549" s="2" t="str">
        <f>IF(J1549="",ROUND(I1549*(1-IF(ISBLANK(L1549),K1549,L1549)/100),2),ROUND(J1549*(1-IF(ISBLANK(L1549),K1549,L1549)/100),2))</f>
      </c>
      <c r="N1549" s="7" t="str">
        <f>IF(NOT(AND(J1549="",L1549="")),IF(OR(AND(L1549&lt;&gt;"",NOT(ISNUMBER(L1549))),IFERROR(MOD(L1549,1),1)&gt;0,AND(ISNUMBER(L1549),OR(L1549&lt;0,L1549&gt;95))),"Введите целое число от 0 до 95",IF(OR(AND(J1549&lt;&gt;"",NOT(ISNUMBER(J1549))),IFERROR(MOD(J1549,1),1)&gt;0,AND(ISNUMBER(J1549),OR(J1549&lt;50,J1549&gt;20000000))),"Введите целое число от 50 до 20000000",IF(NOT(ABS(IFERROR(VALUE(LEFT(M1549,FIND("-",M1549)-1)),M1549)*100-(5000+2000000000)/2)&lt;=ABS(5000-2000000000)/2),"Цена со скидкой должна быть от 50 до 20000000",IF(IFERROR(VALUE(LEFT(M1549,FIND("-",M1549)-1)),M1549)*190&lt;40500,"Вы уменьшили цену в несколько раз, товар попадет в карантин цен","")))),"")</f>
      </c>
    </row>
    <row r="1550">
      <c r="A1550" s="2" t="inlineStr">
        <is>
          <t>CuteShop</t>
        </is>
      </c>
      <c r="B1550" s="2" t="inlineStr">
        <is>
          <t>Аксессуары для рукоделия</t>
        </is>
      </c>
      <c r="C1550" s="2">
        <v>139454884</v>
      </c>
      <c r="D1550" s="2" t="inlineStr">
        <is>
          <t>Podves-Mishki8-12</t>
        </is>
      </c>
      <c r="E1550" s="2" t="inlineStr">
        <is>
          <t>2037275860280</t>
        </is>
      </c>
      <c r="F1550" s="2">
        <v>0</v>
      </c>
      <c r="G1550" s="2">
        <v>0</v>
      </c>
      <c r="H1550" s="2">
        <v>0</v>
      </c>
      <c r="I1550" s="2" t="inlineStr">
        <is>
          <t>330</t>
        </is>
      </c>
      <c r="J1550" s="4"/>
      <c r="K1550" s="2">
        <v>0</v>
      </c>
      <c r="L1550" s="6"/>
      <c r="M1550" s="2" t="str">
        <f>IF(J1550="",ROUND(I1550*(1-IF(ISBLANK(L1550),K1550,L1550)/100),2),ROUND(J1550*(1-IF(ISBLANK(L1550),K1550,L1550)/100),2))</f>
      </c>
      <c r="N1550" s="7" t="str">
        <f>IF(NOT(AND(J1550="",L1550="")),IF(OR(AND(L1550&lt;&gt;"",NOT(ISNUMBER(L1550))),IFERROR(MOD(L1550,1),1)&gt;0,AND(ISNUMBER(L1550),OR(L1550&lt;0,L1550&gt;95))),"Введите целое число от 0 до 95",IF(OR(AND(J1550&lt;&gt;"",NOT(ISNUMBER(J1550))),IFERROR(MOD(J1550,1),1)&gt;0,AND(ISNUMBER(J1550),OR(J1550&lt;50,J1550&gt;20000000))),"Введите целое число от 50 до 20000000",IF(NOT(ABS(IFERROR(VALUE(LEFT(M1550,FIND("-",M1550)-1)),M1550)*100-(5000+2000000000)/2)&lt;=ABS(5000-2000000000)/2),"Цена со скидкой должна быть от 50 до 20000000",IF(IFERROR(VALUE(LEFT(M1550,FIND("-",M1550)-1)),M1550)*190&lt;33000,"Вы уменьшили цену в несколько раз, товар попадет в карантин цен","")))),"")</f>
      </c>
    </row>
    <row r="1551">
      <c r="A1551" s="2" t="inlineStr">
        <is>
          <t/>
        </is>
      </c>
      <c r="B1551" s="2" t="inlineStr">
        <is>
          <t>Ткани для рукоделия</t>
        </is>
      </c>
      <c r="C1551" s="2">
        <v>195316900</v>
      </c>
      <c r="D1551" s="2" t="inlineStr">
        <is>
          <t>Fatin-Goroh15-Bel-9</t>
        </is>
      </c>
      <c r="E1551" s="2" t="inlineStr">
        <is>
          <t>2039140809240</t>
        </is>
      </c>
      <c r="F1551" s="2">
        <v>0</v>
      </c>
      <c r="G1551" s="2">
        <v>0</v>
      </c>
      <c r="H1551" s="2" t="inlineStr">
        <is>
          <t/>
        </is>
      </c>
      <c r="I1551" s="2" t="inlineStr">
        <is>
          <t>470</t>
        </is>
      </c>
      <c r="J1551" s="4"/>
      <c r="K1551" s="2">
        <v>0</v>
      </c>
      <c r="L1551" s="6"/>
      <c r="M1551" s="2" t="str">
        <f>IF(J1551="",ROUND(I1551*(1-IF(ISBLANK(L1551),K1551,L1551)/100),2),ROUND(J1551*(1-IF(ISBLANK(L1551),K1551,L1551)/100),2))</f>
      </c>
      <c r="N1551" s="7" t="str">
        <f>IF(NOT(AND(J1551="",L1551="")),IF(OR(AND(L1551&lt;&gt;"",NOT(ISNUMBER(L1551))),IFERROR(MOD(L1551,1),1)&gt;0,AND(ISNUMBER(L1551),OR(L1551&lt;0,L1551&gt;95))),"Введите целое число от 0 до 95",IF(OR(AND(J1551&lt;&gt;"",NOT(ISNUMBER(J1551))),IFERROR(MOD(J1551,1),1)&gt;0,AND(ISNUMBER(J1551),OR(J1551&lt;50,J1551&gt;20000000))),"Введите целое число от 50 до 20000000",IF(NOT(ABS(IFERROR(VALUE(LEFT(M1551,FIND("-",M1551)-1)),M1551)*100-(5000+2000000000)/2)&lt;=ABS(5000-2000000000)/2),"Цена со скидкой должна быть от 50 до 20000000",IF(IFERROR(VALUE(LEFT(M1551,FIND("-",M1551)-1)),M1551)*190&lt;47000,"Вы уменьшили цену в несколько раз, товар попадет в карантин цен","")))),"")</f>
      </c>
    </row>
    <row r="1552">
      <c r="A1552" s="2" t="inlineStr">
        <is>
          <t>CuteShop</t>
        </is>
      </c>
      <c r="B1552" s="2" t="inlineStr">
        <is>
          <t>Бусины</t>
        </is>
      </c>
      <c r="C1552" s="2">
        <v>151575804</v>
      </c>
      <c r="D1552" s="2" t="inlineStr">
        <is>
          <t>Bus-akril-8mm-zhelt-100</t>
        </is>
      </c>
      <c r="E1552" s="2" t="inlineStr">
        <is>
          <t>2037600548777</t>
        </is>
      </c>
      <c r="F1552" s="2">
        <v>0</v>
      </c>
      <c r="G1552" s="2">
        <v>0</v>
      </c>
      <c r="H1552" s="2" t="inlineStr">
        <is>
          <t/>
        </is>
      </c>
      <c r="I1552" s="2" t="inlineStr">
        <is>
          <t>260</t>
        </is>
      </c>
      <c r="J1552" s="4"/>
      <c r="K1552" s="2">
        <v>0</v>
      </c>
      <c r="L1552" s="6"/>
      <c r="M1552" s="2" t="str">
        <f>IF(J1552="",ROUND(I1552*(1-IF(ISBLANK(L1552),K1552,L1552)/100),2),ROUND(J1552*(1-IF(ISBLANK(L1552),K1552,L1552)/100),2))</f>
      </c>
      <c r="N1552" s="7" t="str">
        <f>IF(NOT(AND(J1552="",L1552="")),IF(OR(AND(L1552&lt;&gt;"",NOT(ISNUMBER(L1552))),IFERROR(MOD(L1552,1),1)&gt;0,AND(ISNUMBER(L1552),OR(L1552&lt;0,L1552&gt;95))),"Введите целое число от 0 до 95",IF(OR(AND(J1552&lt;&gt;"",NOT(ISNUMBER(J1552))),IFERROR(MOD(J1552,1),1)&gt;0,AND(ISNUMBER(J1552),OR(J1552&lt;50,J1552&gt;20000000))),"Введите целое число от 50 до 20000000",IF(NOT(ABS(IFERROR(VALUE(LEFT(M1552,FIND("-",M1552)-1)),M1552)*100-(5000+2000000000)/2)&lt;=ABS(5000-2000000000)/2),"Цена со скидкой должна быть от 50 до 20000000",IF(IFERROR(VALUE(LEFT(M1552,FIND("-",M1552)-1)),M1552)*190&lt;26000,"Вы уменьшили цену в несколько раз, товар попадет в карантин цен","")))),"")</f>
      </c>
    </row>
    <row r="1553">
      <c r="A1553" s="2" t="inlineStr">
        <is>
          <t>CuteShop</t>
        </is>
      </c>
      <c r="B1553" s="2" t="inlineStr">
        <is>
          <t>Бусины</t>
        </is>
      </c>
      <c r="C1553" s="2">
        <v>151582871</v>
      </c>
      <c r="D1553" s="2" t="inlineStr">
        <is>
          <t>Bus-akril-8mm-nebgol-200</t>
        </is>
      </c>
      <c r="E1553" s="2" t="inlineStr">
        <is>
          <t>2037600709055</t>
        </is>
      </c>
      <c r="F1553" s="2">
        <v>0</v>
      </c>
      <c r="G1553" s="2">
        <v>0</v>
      </c>
      <c r="H1553" s="2" t="inlineStr">
        <is>
          <t/>
        </is>
      </c>
      <c r="I1553" s="2" t="inlineStr">
        <is>
          <t>320</t>
        </is>
      </c>
      <c r="J1553" s="4"/>
      <c r="K1553" s="2">
        <v>0</v>
      </c>
      <c r="L1553" s="6"/>
      <c r="M1553" s="2" t="str">
        <f>IF(J1553="",ROUND(I1553*(1-IF(ISBLANK(L1553),K1553,L1553)/100),2),ROUND(J1553*(1-IF(ISBLANK(L1553),K1553,L1553)/100),2))</f>
      </c>
      <c r="N1553" s="7" t="str">
        <f>IF(NOT(AND(J1553="",L1553="")),IF(OR(AND(L1553&lt;&gt;"",NOT(ISNUMBER(L1553))),IFERROR(MOD(L1553,1),1)&gt;0,AND(ISNUMBER(L1553),OR(L1553&lt;0,L1553&gt;95))),"Введите целое число от 0 до 95",IF(OR(AND(J1553&lt;&gt;"",NOT(ISNUMBER(J1553))),IFERROR(MOD(J1553,1),1)&gt;0,AND(ISNUMBER(J1553),OR(J1553&lt;50,J1553&gt;20000000))),"Введите целое число от 50 до 20000000",IF(NOT(ABS(IFERROR(VALUE(LEFT(M1553,FIND("-",M1553)-1)),M1553)*100-(5000+2000000000)/2)&lt;=ABS(5000-2000000000)/2),"Цена со скидкой должна быть от 50 до 20000000",IF(IFERROR(VALUE(LEFT(M1553,FIND("-",M1553)-1)),M1553)*190&lt;32000,"Вы уменьшили цену в несколько раз, товар попадет в карантин цен","")))),"")</f>
      </c>
    </row>
    <row r="1554">
      <c r="A1554" s="2" t="inlineStr">
        <is>
          <t>CuteShop</t>
        </is>
      </c>
      <c r="B1554" s="2" t="inlineStr">
        <is>
          <t>Бусины</t>
        </is>
      </c>
      <c r="C1554" s="2">
        <v>151571615</v>
      </c>
      <c r="D1554" s="2" t="inlineStr">
        <is>
          <t>Bus-akril-8mm-mix-720</t>
        </is>
      </c>
      <c r="E1554" s="2" t="inlineStr">
        <is>
          <t>2037600481531</t>
        </is>
      </c>
      <c r="F1554" s="2">
        <v>0</v>
      </c>
      <c r="G1554" s="2">
        <v>0</v>
      </c>
      <c r="H1554" s="2" t="inlineStr">
        <is>
          <t/>
        </is>
      </c>
      <c r="I1554" s="2" t="inlineStr">
        <is>
          <t>620</t>
        </is>
      </c>
      <c r="J1554" s="4"/>
      <c r="K1554" s="2">
        <v>0</v>
      </c>
      <c r="L1554" s="6"/>
      <c r="M1554" s="2" t="str">
        <f>IF(J1554="",ROUND(I1554*(1-IF(ISBLANK(L1554),K1554,L1554)/100),2),ROUND(J1554*(1-IF(ISBLANK(L1554),K1554,L1554)/100),2))</f>
      </c>
      <c r="N1554" s="7" t="str">
        <f>IF(NOT(AND(J1554="",L1554="")),IF(OR(AND(L1554&lt;&gt;"",NOT(ISNUMBER(L1554))),IFERROR(MOD(L1554,1),1)&gt;0,AND(ISNUMBER(L1554),OR(L1554&lt;0,L1554&gt;95))),"Введите целое число от 0 до 95",IF(OR(AND(J1554&lt;&gt;"",NOT(ISNUMBER(J1554))),IFERROR(MOD(J1554,1),1)&gt;0,AND(ISNUMBER(J1554),OR(J1554&lt;50,J1554&gt;20000000))),"Введите целое число от 50 до 20000000",IF(NOT(ABS(IFERROR(VALUE(LEFT(M1554,FIND("-",M1554)-1)),M1554)*100-(5000+2000000000)/2)&lt;=ABS(5000-2000000000)/2),"Цена со скидкой должна быть от 50 до 20000000",IF(IFERROR(VALUE(LEFT(M1554,FIND("-",M1554)-1)),M1554)*190&lt;62000,"Вы уменьшили цену в несколько раз, товар попадет в карантин цен","")))),"")</f>
      </c>
    </row>
    <row r="1555">
      <c r="A1555" s="2" t="inlineStr">
        <is>
          <t>CuteShop</t>
        </is>
      </c>
      <c r="B1555" s="2" t="inlineStr">
        <is>
          <t>Бусины</t>
        </is>
      </c>
      <c r="C1555" s="2">
        <v>151582879</v>
      </c>
      <c r="D1555" s="2" t="inlineStr">
        <is>
          <t>Bus-akril-8mm-mix1-200</t>
        </is>
      </c>
      <c r="E1555" s="2" t="inlineStr">
        <is>
          <t>2037600713137</t>
        </is>
      </c>
      <c r="F1555" s="2">
        <v>0</v>
      </c>
      <c r="G1555" s="2">
        <v>0</v>
      </c>
      <c r="H1555" s="2">
        <v>0</v>
      </c>
      <c r="I1555" s="2" t="inlineStr">
        <is>
          <t>320</t>
        </is>
      </c>
      <c r="J1555" s="4"/>
      <c r="K1555" s="2">
        <v>0</v>
      </c>
      <c r="L1555" s="6"/>
      <c r="M1555" s="2" t="str">
        <f>IF(J1555="",ROUND(I1555*(1-IF(ISBLANK(L1555),K1555,L1555)/100),2),ROUND(J1555*(1-IF(ISBLANK(L1555),K1555,L1555)/100),2))</f>
      </c>
      <c r="N1555" s="7" t="str">
        <f>IF(NOT(AND(J1555="",L1555="")),IF(OR(AND(L1555&lt;&gt;"",NOT(ISNUMBER(L1555))),IFERROR(MOD(L1555,1),1)&gt;0,AND(ISNUMBER(L1555),OR(L1555&lt;0,L1555&gt;95))),"Введите целое число от 0 до 95",IF(OR(AND(J1555&lt;&gt;"",NOT(ISNUMBER(J1555))),IFERROR(MOD(J1555,1),1)&gt;0,AND(ISNUMBER(J1555),OR(J1555&lt;50,J1555&gt;20000000))),"Введите целое число от 50 до 20000000",IF(NOT(ABS(IFERROR(VALUE(LEFT(M1555,FIND("-",M1555)-1)),M1555)*100-(5000+2000000000)/2)&lt;=ABS(5000-2000000000)/2),"Цена со скидкой должна быть от 50 до 20000000",IF(IFERROR(VALUE(LEFT(M1555,FIND("-",M1555)-1)),M1555)*190&lt;32000,"Вы уменьшили цену в несколько раз, товар попадет в карантин цен","")))),"")</f>
      </c>
    </row>
    <row r="1556">
      <c r="A1556" s="2" t="inlineStr">
        <is>
          <t>CuteShop</t>
        </is>
      </c>
      <c r="B1556" s="2" t="inlineStr">
        <is>
          <t>Аксессуары для рукоделия</t>
        </is>
      </c>
      <c r="C1556" s="2">
        <v>136539723</v>
      </c>
      <c r="D1556" s="2" t="inlineStr">
        <is>
          <t>Kab-Shkoln2</t>
        </is>
      </c>
      <c r="E1556" s="2" t="inlineStr">
        <is>
          <t>2037188269491</t>
        </is>
      </c>
      <c r="F1556" s="2">
        <v>0</v>
      </c>
      <c r="G1556" s="2">
        <v>0</v>
      </c>
      <c r="H1556" s="2">
        <v>0</v>
      </c>
      <c r="I1556" s="2" t="inlineStr">
        <is>
          <t>390</t>
        </is>
      </c>
      <c r="J1556" s="4"/>
      <c r="K1556" s="2">
        <v>0</v>
      </c>
      <c r="L1556" s="6"/>
      <c r="M1556" s="2" t="str">
        <f>IF(J1556="",ROUND(I1556*(1-IF(ISBLANK(L1556),K1556,L1556)/100),2),ROUND(J1556*(1-IF(ISBLANK(L1556),K1556,L1556)/100),2))</f>
      </c>
      <c r="N1556" s="7" t="str">
        <f>IF(NOT(AND(J1556="",L1556="")),IF(OR(AND(L1556&lt;&gt;"",NOT(ISNUMBER(L1556))),IFERROR(MOD(L1556,1),1)&gt;0,AND(ISNUMBER(L1556),OR(L1556&lt;0,L1556&gt;95))),"Введите целое число от 0 до 95",IF(OR(AND(J1556&lt;&gt;"",NOT(ISNUMBER(J1556))),IFERROR(MOD(J1556,1),1)&gt;0,AND(ISNUMBER(J1556),OR(J1556&lt;50,J1556&gt;20000000))),"Введите целое число от 50 до 20000000",IF(NOT(ABS(IFERROR(VALUE(LEFT(M1556,FIND("-",M1556)-1)),M1556)*100-(5000+2000000000)/2)&lt;=ABS(5000-2000000000)/2),"Цена со скидкой должна быть от 50 до 20000000",IF(IFERROR(VALUE(LEFT(M1556,FIND("-",M1556)-1)),M1556)*190&lt;39000,"Вы уменьшили цену в несколько раз, товар попадет в карантин цен","")))),"")</f>
      </c>
    </row>
    <row r="1557">
      <c r="A1557" s="2" t="inlineStr">
        <is>
          <t>CuteShop</t>
        </is>
      </c>
      <c r="B1557" s="2" t="inlineStr">
        <is>
          <t>Бусины</t>
        </is>
      </c>
      <c r="C1557" s="2">
        <v>151575803</v>
      </c>
      <c r="D1557" s="2" t="inlineStr">
        <is>
          <t>Bus-akril-8mm-nezhroz-100</t>
        </is>
      </c>
      <c r="E1557" s="2" t="inlineStr">
        <is>
          <t>2037600548364</t>
        </is>
      </c>
      <c r="F1557" s="2">
        <v>0</v>
      </c>
      <c r="G1557" s="2">
        <v>0</v>
      </c>
      <c r="H1557" s="2" t="inlineStr">
        <is>
          <t/>
        </is>
      </c>
      <c r="I1557" s="2" t="inlineStr">
        <is>
          <t>260</t>
        </is>
      </c>
      <c r="J1557" s="4"/>
      <c r="K1557" s="2">
        <v>0</v>
      </c>
      <c r="L1557" s="6"/>
      <c r="M1557" s="2" t="str">
        <f>IF(J1557="",ROUND(I1557*(1-IF(ISBLANK(L1557),K1557,L1557)/100),2),ROUND(J1557*(1-IF(ISBLANK(L1557),K1557,L1557)/100),2))</f>
      </c>
      <c r="N1557" s="7" t="str">
        <f>IF(NOT(AND(J1557="",L1557="")),IF(OR(AND(L1557&lt;&gt;"",NOT(ISNUMBER(L1557))),IFERROR(MOD(L1557,1),1)&gt;0,AND(ISNUMBER(L1557),OR(L1557&lt;0,L1557&gt;95))),"Введите целое число от 0 до 95",IF(OR(AND(J1557&lt;&gt;"",NOT(ISNUMBER(J1557))),IFERROR(MOD(J1557,1),1)&gt;0,AND(ISNUMBER(J1557),OR(J1557&lt;50,J1557&gt;20000000))),"Введите целое число от 50 до 20000000",IF(NOT(ABS(IFERROR(VALUE(LEFT(M1557,FIND("-",M1557)-1)),M1557)*100-(5000+2000000000)/2)&lt;=ABS(5000-2000000000)/2),"Цена со скидкой должна быть от 50 до 20000000",IF(IFERROR(VALUE(LEFT(M1557,FIND("-",M1557)-1)),M1557)*190&lt;26000,"Вы уменьшили цену в несколько раз, товар попадет в карантин цен","")))),"")</f>
      </c>
    </row>
    <row r="1558">
      <c r="A1558" s="2" t="inlineStr">
        <is>
          <t>CuteShop</t>
        </is>
      </c>
      <c r="B1558" s="2" t="inlineStr">
        <is>
          <t>Бусины</t>
        </is>
      </c>
      <c r="C1558" s="2">
        <v>153291598</v>
      </c>
      <c r="D1558" s="2" t="inlineStr">
        <is>
          <t>Bus-raduzh-8mm-golub-200</t>
        </is>
      </c>
      <c r="E1558" s="2" t="inlineStr">
        <is>
          <t>2037631376189</t>
        </is>
      </c>
      <c r="F1558" s="2">
        <v>0</v>
      </c>
      <c r="G1558" s="2">
        <v>0</v>
      </c>
      <c r="H1558" s="2" t="inlineStr">
        <is>
          <t/>
        </is>
      </c>
      <c r="I1558" s="2" t="inlineStr">
        <is>
          <t>320</t>
        </is>
      </c>
      <c r="J1558" s="4"/>
      <c r="K1558" s="2">
        <v>0</v>
      </c>
      <c r="L1558" s="6"/>
      <c r="M1558" s="2" t="str">
        <f>IF(J1558="",ROUND(I1558*(1-IF(ISBLANK(L1558),K1558,L1558)/100),2),ROUND(J1558*(1-IF(ISBLANK(L1558),K1558,L1558)/100),2))</f>
      </c>
      <c r="N1558" s="7" t="str">
        <f>IF(NOT(AND(J1558="",L1558="")),IF(OR(AND(L1558&lt;&gt;"",NOT(ISNUMBER(L1558))),IFERROR(MOD(L1558,1),1)&gt;0,AND(ISNUMBER(L1558),OR(L1558&lt;0,L1558&gt;95))),"Введите целое число от 0 до 95",IF(OR(AND(J1558&lt;&gt;"",NOT(ISNUMBER(J1558))),IFERROR(MOD(J1558,1),1)&gt;0,AND(ISNUMBER(J1558),OR(J1558&lt;50,J1558&gt;20000000))),"Введите целое число от 50 до 20000000",IF(NOT(ABS(IFERROR(VALUE(LEFT(M1558,FIND("-",M1558)-1)),M1558)*100-(5000+2000000000)/2)&lt;=ABS(5000-2000000000)/2),"Цена со скидкой должна быть от 50 до 20000000",IF(IFERROR(VALUE(LEFT(M1558,FIND("-",M1558)-1)),M1558)*190&lt;32000,"Вы уменьшили цену в несколько раз, товар попадет в карантин цен","")))),"")</f>
      </c>
    </row>
    <row r="1559">
      <c r="A1559" s="2" t="inlineStr">
        <is>
          <t>CuteShop</t>
        </is>
      </c>
      <c r="B1559" s="2" t="inlineStr">
        <is>
          <t>Аксессуары для рукоделия</t>
        </is>
      </c>
      <c r="C1559" s="2">
        <v>343395442</v>
      </c>
      <c r="D1559" s="2" t="inlineStr">
        <is>
          <t>Kab-Sovush5</t>
        </is>
      </c>
      <c r="E1559" s="2" t="inlineStr">
        <is>
          <t>2043022842157</t>
        </is>
      </c>
      <c r="F1559" s="2">
        <v>0</v>
      </c>
      <c r="G1559" s="2">
        <v>1</v>
      </c>
      <c r="H1559" s="2" t="inlineStr">
        <is>
          <t/>
        </is>
      </c>
      <c r="I1559" s="2" t="inlineStr">
        <is>
          <t>0</t>
        </is>
      </c>
      <c r="J1559" s="4"/>
      <c r="K1559" s="2">
        <v>0</v>
      </c>
      <c r="L1559" s="6"/>
      <c r="M1559" s="2" t="str">
        <f>IF(J1559="",ROUND(I1559*(1-IF(ISBLANK(L1559),K1559,L1559)/100),2),ROUND(J1559*(1-IF(ISBLANK(L1559),K1559,L1559)/100),2))</f>
      </c>
      <c r="N1559" s="7" t="str">
        <f>IF(NOT(AND(J1559="",L1559="")),IF(OR(AND(L1559&lt;&gt;"",NOT(ISNUMBER(L1559))),IFERROR(MOD(L1559,1),1)&gt;0,AND(ISNUMBER(L1559),OR(L1559&lt;0,L1559&gt;95))),"Введите целое число от 0 до 95",IF(OR(AND(J1559&lt;&gt;"",NOT(ISNUMBER(J1559))),IFERROR(MOD(J1559,1),1)&gt;0,AND(ISNUMBER(J1559),OR(J1559&lt;50,J1559&gt;20000000))),"Введите целое число от 50 до 20000000",IF(NOT(ABS(IFERROR(VALUE(LEFT(M1559,FIND("-",M1559)-1)),M1559)*100-(5000+2000000000)/2)&lt;=ABS(5000-2000000000)/2),"Цена со скидкой должна быть от 50 до 20000000",IF(IFERROR(VALUE(LEFT(M1559,FIND("-",M1559)-1)),M1559)*190&lt;0,"Вы уменьшили цену в несколько раз, товар попадет в карантин цен","")))),"")</f>
      </c>
    </row>
    <row r="1560">
      <c r="A1560" s="2" t="inlineStr">
        <is>
          <t>CuteShop</t>
        </is>
      </c>
      <c r="B1560" s="2" t="inlineStr">
        <is>
          <t>Бусины</t>
        </is>
      </c>
      <c r="C1560" s="2">
        <v>153290369</v>
      </c>
      <c r="D1560" s="2" t="inlineStr">
        <is>
          <t>Bus-raduzh-8mm-prozrach-200</t>
        </is>
      </c>
      <c r="E1560" s="2" t="inlineStr">
        <is>
          <t>2037631355481</t>
        </is>
      </c>
      <c r="F1560" s="2">
        <v>0</v>
      </c>
      <c r="G1560" s="2">
        <v>0</v>
      </c>
      <c r="H1560" s="2" t="inlineStr">
        <is>
          <t/>
        </is>
      </c>
      <c r="I1560" s="2" t="inlineStr">
        <is>
          <t>320</t>
        </is>
      </c>
      <c r="J1560" s="4"/>
      <c r="K1560" s="2">
        <v>0</v>
      </c>
      <c r="L1560" s="6"/>
      <c r="M1560" s="2" t="str">
        <f>IF(J1560="",ROUND(I1560*(1-IF(ISBLANK(L1560),K1560,L1560)/100),2),ROUND(J1560*(1-IF(ISBLANK(L1560),K1560,L1560)/100),2))</f>
      </c>
      <c r="N1560" s="7" t="str">
        <f>IF(NOT(AND(J1560="",L1560="")),IF(OR(AND(L1560&lt;&gt;"",NOT(ISNUMBER(L1560))),IFERROR(MOD(L1560,1),1)&gt;0,AND(ISNUMBER(L1560),OR(L1560&lt;0,L1560&gt;95))),"Введите целое число от 0 до 95",IF(OR(AND(J1560&lt;&gt;"",NOT(ISNUMBER(J1560))),IFERROR(MOD(J1560,1),1)&gt;0,AND(ISNUMBER(J1560),OR(J1560&lt;50,J1560&gt;20000000))),"Введите целое число от 50 до 20000000",IF(NOT(ABS(IFERROR(VALUE(LEFT(M1560,FIND("-",M1560)-1)),M1560)*100-(5000+2000000000)/2)&lt;=ABS(5000-2000000000)/2),"Цена со скидкой должна быть от 50 до 20000000",IF(IFERROR(VALUE(LEFT(M1560,FIND("-",M1560)-1)),M1560)*190&lt;32000,"Вы уменьшили цену в несколько раз, товар попадет в карантин цен","")))),"")</f>
      </c>
    </row>
    <row r="1561">
      <c r="A1561" s="2" t="inlineStr">
        <is>
          <t>CuteShop</t>
        </is>
      </c>
      <c r="B1561" s="2" t="inlineStr">
        <is>
          <t>Бусины</t>
        </is>
      </c>
      <c r="C1561" s="2">
        <v>153291133</v>
      </c>
      <c r="D1561" s="2" t="inlineStr">
        <is>
          <t>Bus-raduzh-8mm-malin-200</t>
        </is>
      </c>
      <c r="E1561" s="2" t="inlineStr">
        <is>
          <t>2037631366869</t>
        </is>
      </c>
      <c r="F1561" s="2">
        <v>0</v>
      </c>
      <c r="G1561" s="2">
        <v>0</v>
      </c>
      <c r="H1561" s="2" t="inlineStr">
        <is>
          <t/>
        </is>
      </c>
      <c r="I1561" s="2" t="inlineStr">
        <is>
          <t>320</t>
        </is>
      </c>
      <c r="J1561" s="4"/>
      <c r="K1561" s="2">
        <v>0</v>
      </c>
      <c r="L1561" s="6"/>
      <c r="M1561" s="2" t="str">
        <f>IF(J1561="",ROUND(I1561*(1-IF(ISBLANK(L1561),K1561,L1561)/100),2),ROUND(J1561*(1-IF(ISBLANK(L1561),K1561,L1561)/100),2))</f>
      </c>
      <c r="N1561" s="7" t="str">
        <f>IF(NOT(AND(J1561="",L1561="")),IF(OR(AND(L1561&lt;&gt;"",NOT(ISNUMBER(L1561))),IFERROR(MOD(L1561,1),1)&gt;0,AND(ISNUMBER(L1561),OR(L1561&lt;0,L1561&gt;95))),"Введите целое число от 0 до 95",IF(OR(AND(J1561&lt;&gt;"",NOT(ISNUMBER(J1561))),IFERROR(MOD(J1561,1),1)&gt;0,AND(ISNUMBER(J1561),OR(J1561&lt;50,J1561&gt;20000000))),"Введите целое число от 50 до 20000000",IF(NOT(ABS(IFERROR(VALUE(LEFT(M1561,FIND("-",M1561)-1)),M1561)*100-(5000+2000000000)/2)&lt;=ABS(5000-2000000000)/2),"Цена со скидкой должна быть от 50 до 20000000",IF(IFERROR(VALUE(LEFT(M1561,FIND("-",M1561)-1)),M1561)*190&lt;32000,"Вы уменьшили цену в несколько раз, товар попадет в карантин цен","")))),"")</f>
      </c>
    </row>
    <row r="1562">
      <c r="A1562" s="2" t="inlineStr">
        <is>
          <t>CuteShop</t>
        </is>
      </c>
      <c r="B1562" s="2" t="inlineStr">
        <is>
          <t>Бусины</t>
        </is>
      </c>
      <c r="C1562" s="2">
        <v>153291599</v>
      </c>
      <c r="D1562" s="2" t="inlineStr">
        <is>
          <t>Bus-raduzh-8mm-golub-500</t>
        </is>
      </c>
      <c r="E1562" s="2" t="inlineStr">
        <is>
          <t>2037631377537</t>
        </is>
      </c>
      <c r="F1562" s="2">
        <v>0</v>
      </c>
      <c r="G1562" s="2">
        <v>0</v>
      </c>
      <c r="H1562" s="2">
        <v>1</v>
      </c>
      <c r="I1562" s="2" t="inlineStr">
        <is>
          <t>620</t>
        </is>
      </c>
      <c r="J1562" s="4"/>
      <c r="K1562" s="2">
        <v>0</v>
      </c>
      <c r="L1562" s="6"/>
      <c r="M1562" s="2" t="str">
        <f>IF(J1562="",ROUND(I1562*(1-IF(ISBLANK(L1562),K1562,L1562)/100),2),ROUND(J1562*(1-IF(ISBLANK(L1562),K1562,L1562)/100),2))</f>
      </c>
      <c r="N1562" s="7" t="str">
        <f>IF(NOT(AND(J1562="",L1562="")),IF(OR(AND(L1562&lt;&gt;"",NOT(ISNUMBER(L1562))),IFERROR(MOD(L1562,1),1)&gt;0,AND(ISNUMBER(L1562),OR(L1562&lt;0,L1562&gt;95))),"Введите целое число от 0 до 95",IF(OR(AND(J1562&lt;&gt;"",NOT(ISNUMBER(J1562))),IFERROR(MOD(J1562,1),1)&gt;0,AND(ISNUMBER(J1562),OR(J1562&lt;50,J1562&gt;20000000))),"Введите целое число от 50 до 20000000",IF(NOT(ABS(IFERROR(VALUE(LEFT(M1562,FIND("-",M1562)-1)),M1562)*100-(5000+2000000000)/2)&lt;=ABS(5000-2000000000)/2),"Цена со скидкой должна быть от 50 до 20000000",IF(IFERROR(VALUE(LEFT(M1562,FIND("-",M1562)-1)),M1562)*190&lt;62000,"Вы уменьшили цену в несколько раз, товар попадет в карантин цен","")))),"")</f>
      </c>
    </row>
    <row r="1563">
      <c r="A1563" s="2" t="inlineStr">
        <is>
          <t>CuteShop</t>
        </is>
      </c>
      <c r="B1563" s="2" t="inlineStr">
        <is>
          <t>Бусины</t>
        </is>
      </c>
      <c r="C1563" s="2">
        <v>151575806</v>
      </c>
      <c r="D1563" s="2" t="inlineStr">
        <is>
          <t>Bus-akril-8mm-biruz-100</t>
        </is>
      </c>
      <c r="E1563" s="2" t="inlineStr">
        <is>
          <t>2037600549101</t>
        </is>
      </c>
      <c r="F1563" s="2">
        <v>0</v>
      </c>
      <c r="G1563" s="2">
        <v>0</v>
      </c>
      <c r="H1563" s="2" t="inlineStr">
        <is>
          <t/>
        </is>
      </c>
      <c r="I1563" s="2" t="inlineStr">
        <is>
          <t>260</t>
        </is>
      </c>
      <c r="J1563" s="4"/>
      <c r="K1563" s="2">
        <v>0</v>
      </c>
      <c r="L1563" s="6"/>
      <c r="M1563" s="2" t="str">
        <f>IF(J1563="",ROUND(I1563*(1-IF(ISBLANK(L1563),K1563,L1563)/100),2),ROUND(J1563*(1-IF(ISBLANK(L1563),K1563,L1563)/100),2))</f>
      </c>
      <c r="N1563" s="7" t="str">
        <f>IF(NOT(AND(J1563="",L1563="")),IF(OR(AND(L1563&lt;&gt;"",NOT(ISNUMBER(L1563))),IFERROR(MOD(L1563,1),1)&gt;0,AND(ISNUMBER(L1563),OR(L1563&lt;0,L1563&gt;95))),"Введите целое число от 0 до 95",IF(OR(AND(J1563&lt;&gt;"",NOT(ISNUMBER(J1563))),IFERROR(MOD(J1563,1),1)&gt;0,AND(ISNUMBER(J1563),OR(J1563&lt;50,J1563&gt;20000000))),"Введите целое число от 50 до 20000000",IF(NOT(ABS(IFERROR(VALUE(LEFT(M1563,FIND("-",M1563)-1)),M1563)*100-(5000+2000000000)/2)&lt;=ABS(5000-2000000000)/2),"Цена со скидкой должна быть от 50 до 20000000",IF(IFERROR(VALUE(LEFT(M1563,FIND("-",M1563)-1)),M1563)*190&lt;26000,"Вы уменьшили цену в несколько раз, товар попадет в карантин цен","")))),"")</f>
      </c>
    </row>
    <row r="1564">
      <c r="A1564" s="2" t="inlineStr">
        <is>
          <t>CuteShop</t>
        </is>
      </c>
      <c r="B1564" s="2" t="inlineStr">
        <is>
          <t>Бусины</t>
        </is>
      </c>
      <c r="C1564" s="2">
        <v>151575796</v>
      </c>
      <c r="D1564" s="2" t="inlineStr">
        <is>
          <t>Bus-akril-8mm-korich-100</t>
        </is>
      </c>
      <c r="E1564" s="2" t="inlineStr">
        <is>
          <t>2037600547732</t>
        </is>
      </c>
      <c r="F1564" s="2">
        <v>0</v>
      </c>
      <c r="G1564" s="2">
        <v>0</v>
      </c>
      <c r="H1564" s="2">
        <v>0</v>
      </c>
      <c r="I1564" s="2" t="inlineStr">
        <is>
          <t>260</t>
        </is>
      </c>
      <c r="J1564" s="4"/>
      <c r="K1564" s="2">
        <v>0</v>
      </c>
      <c r="L1564" s="6"/>
      <c r="M1564" s="2" t="str">
        <f>IF(J1564="",ROUND(I1564*(1-IF(ISBLANK(L1564),K1564,L1564)/100),2),ROUND(J1564*(1-IF(ISBLANK(L1564),K1564,L1564)/100),2))</f>
      </c>
      <c r="N1564" s="7" t="str">
        <f>IF(NOT(AND(J1564="",L1564="")),IF(OR(AND(L1564&lt;&gt;"",NOT(ISNUMBER(L1564))),IFERROR(MOD(L1564,1),1)&gt;0,AND(ISNUMBER(L1564),OR(L1564&lt;0,L1564&gt;95))),"Введите целое число от 0 до 95",IF(OR(AND(J1564&lt;&gt;"",NOT(ISNUMBER(J1564))),IFERROR(MOD(J1564,1),1)&gt;0,AND(ISNUMBER(J1564),OR(J1564&lt;50,J1564&gt;20000000))),"Введите целое число от 50 до 20000000",IF(NOT(ABS(IFERROR(VALUE(LEFT(M1564,FIND("-",M1564)-1)),M1564)*100-(5000+2000000000)/2)&lt;=ABS(5000-2000000000)/2),"Цена со скидкой должна быть от 50 до 20000000",IF(IFERROR(VALUE(LEFT(M1564,FIND("-",M1564)-1)),M1564)*190&lt;26000,"Вы уменьшили цену в несколько раз, товар попадет в карантин цен","")))),"")</f>
      </c>
    </row>
    <row r="1565">
      <c r="A1565" s="2" t="inlineStr">
        <is>
          <t>CuteShop</t>
        </is>
      </c>
      <c r="B1565" s="2" t="inlineStr">
        <is>
          <t>Бусины</t>
        </is>
      </c>
      <c r="C1565" s="2">
        <v>194508820</v>
      </c>
      <c r="D1565" s="2" t="inlineStr">
        <is>
          <t>Bus-Serd-RedZal-100</t>
        </is>
      </c>
      <c r="E1565" s="2" t="inlineStr">
        <is>
          <t>2039125128953</t>
        </is>
      </c>
      <c r="F1565" s="2">
        <v>0</v>
      </c>
      <c r="G1565" s="2">
        <v>2</v>
      </c>
      <c r="H1565" s="2" t="inlineStr">
        <is>
          <t/>
        </is>
      </c>
      <c r="I1565" s="2" t="inlineStr">
        <is>
          <t>280</t>
        </is>
      </c>
      <c r="J1565" s="4"/>
      <c r="K1565" s="2">
        <v>10</v>
      </c>
      <c r="L1565" s="6"/>
      <c r="M1565" s="2" t="str">
        <f>IF(J1565="",ROUND(I1565*(1-IF(ISBLANK(L1565),K1565,L1565)/100),2),ROUND(J1565*(1-IF(ISBLANK(L1565),K1565,L1565)/100),2))</f>
      </c>
      <c r="N1565" s="7" t="str">
        <f>IF(NOT(AND(J1565="",L1565="")),IF(OR(AND(L1565&lt;&gt;"",NOT(ISNUMBER(L1565))),IFERROR(MOD(L1565,1),1)&gt;0,AND(ISNUMBER(L1565),OR(L1565&lt;0,L1565&gt;95))),"Введите целое число от 0 до 95",IF(OR(AND(J1565&lt;&gt;"",NOT(ISNUMBER(J1565))),IFERROR(MOD(J1565,1),1)&gt;0,AND(ISNUMBER(J1565),OR(J1565&lt;50,J1565&gt;20000000))),"Введите целое число от 50 до 20000000",IF(NOT(ABS(IFERROR(VALUE(LEFT(M1565,FIND("-",M1565)-1)),M1565)*100-(5000+2000000000)/2)&lt;=ABS(5000-2000000000)/2),"Цена со скидкой должна быть от 50 до 20000000",IF(IFERROR(VALUE(LEFT(M1565,FIND("-",M1565)-1)),M1565)*190&lt;25200,"Вы уменьшили цену в несколько раз, товар попадет в карантин цен","")))),"")</f>
      </c>
    </row>
    <row r="1566">
      <c r="A1566" s="2" t="inlineStr">
        <is>
          <t>CuteShop</t>
        </is>
      </c>
      <c r="B1566" s="2" t="inlineStr">
        <is>
          <t>Бусины</t>
        </is>
      </c>
      <c r="C1566" s="2">
        <v>151575807</v>
      </c>
      <c r="D1566" s="2" t="inlineStr">
        <is>
          <t>Bus-akril-8mm-korall-100</t>
        </is>
      </c>
      <c r="E1566" s="2" t="inlineStr">
        <is>
          <t>2037600549293</t>
        </is>
      </c>
      <c r="F1566" s="2">
        <v>0</v>
      </c>
      <c r="G1566" s="2">
        <v>0</v>
      </c>
      <c r="H1566" s="2">
        <v>0</v>
      </c>
      <c r="I1566" s="2" t="inlineStr">
        <is>
          <t>260</t>
        </is>
      </c>
      <c r="J1566" s="4"/>
      <c r="K1566" s="2">
        <v>0</v>
      </c>
      <c r="L1566" s="6"/>
      <c r="M1566" s="2" t="str">
        <f>IF(J1566="",ROUND(I1566*(1-IF(ISBLANK(L1566),K1566,L1566)/100),2),ROUND(J1566*(1-IF(ISBLANK(L1566),K1566,L1566)/100),2))</f>
      </c>
      <c r="N1566" s="7" t="str">
        <f>IF(NOT(AND(J1566="",L1566="")),IF(OR(AND(L1566&lt;&gt;"",NOT(ISNUMBER(L1566))),IFERROR(MOD(L1566,1),1)&gt;0,AND(ISNUMBER(L1566),OR(L1566&lt;0,L1566&gt;95))),"Введите целое число от 0 до 95",IF(OR(AND(J1566&lt;&gt;"",NOT(ISNUMBER(J1566))),IFERROR(MOD(J1566,1),1)&gt;0,AND(ISNUMBER(J1566),OR(J1566&lt;50,J1566&gt;20000000))),"Введите целое число от 50 до 20000000",IF(NOT(ABS(IFERROR(VALUE(LEFT(M1566,FIND("-",M1566)-1)),M1566)*100-(5000+2000000000)/2)&lt;=ABS(5000-2000000000)/2),"Цена со скидкой должна быть от 50 до 20000000",IF(IFERROR(VALUE(LEFT(M1566,FIND("-",M1566)-1)),M1566)*190&lt;26000,"Вы уменьшили цену в несколько раз, товар попадет в карантин цен","")))),"")</f>
      </c>
    </row>
    <row r="1567">
      <c r="A1567" s="2" t="inlineStr">
        <is>
          <t>CuteShop</t>
        </is>
      </c>
      <c r="B1567" s="2" t="inlineStr">
        <is>
          <t>Бусины</t>
        </is>
      </c>
      <c r="C1567" s="2">
        <v>151582873</v>
      </c>
      <c r="D1567" s="2" t="inlineStr">
        <is>
          <t>Bus-akril-8mm-roz-200</t>
        </is>
      </c>
      <c r="E1567" s="2" t="inlineStr">
        <is>
          <t>2037600710914</t>
        </is>
      </c>
      <c r="F1567" s="2">
        <v>0</v>
      </c>
      <c r="G1567" s="2">
        <v>0</v>
      </c>
      <c r="H1567" s="2" t="inlineStr">
        <is>
          <t/>
        </is>
      </c>
      <c r="I1567" s="2" t="inlineStr">
        <is>
          <t>320</t>
        </is>
      </c>
      <c r="J1567" s="4"/>
      <c r="K1567" s="2">
        <v>0</v>
      </c>
      <c r="L1567" s="6"/>
      <c r="M1567" s="2" t="str">
        <f>IF(J1567="",ROUND(I1567*(1-IF(ISBLANK(L1567),K1567,L1567)/100),2),ROUND(J1567*(1-IF(ISBLANK(L1567),K1567,L1567)/100),2))</f>
      </c>
      <c r="N1567" s="7" t="str">
        <f>IF(NOT(AND(J1567="",L1567="")),IF(OR(AND(L1567&lt;&gt;"",NOT(ISNUMBER(L1567))),IFERROR(MOD(L1567,1),1)&gt;0,AND(ISNUMBER(L1567),OR(L1567&lt;0,L1567&gt;95))),"Введите целое число от 0 до 95",IF(OR(AND(J1567&lt;&gt;"",NOT(ISNUMBER(J1567))),IFERROR(MOD(J1567,1),1)&gt;0,AND(ISNUMBER(J1567),OR(J1567&lt;50,J1567&gt;20000000))),"Введите целое число от 50 до 20000000",IF(NOT(ABS(IFERROR(VALUE(LEFT(M1567,FIND("-",M1567)-1)),M1567)*100-(5000+2000000000)/2)&lt;=ABS(5000-2000000000)/2),"Цена со скидкой должна быть от 50 до 20000000",IF(IFERROR(VALUE(LEFT(M1567,FIND("-",M1567)-1)),M1567)*190&lt;32000,"Вы уменьшили цену в несколько раз, товар попадет в карантин цен","")))),"")</f>
      </c>
    </row>
    <row r="1568">
      <c r="A1568" s="2" t="inlineStr">
        <is>
          <t/>
        </is>
      </c>
      <c r="B1568" s="2" t="inlineStr">
        <is>
          <t>Ткани для рукоделия</t>
        </is>
      </c>
      <c r="C1568" s="2">
        <v>189550253</v>
      </c>
      <c r="D1568" s="2" t="inlineStr">
        <is>
          <t>Fatin-Goroh15-Zel-8</t>
        </is>
      </c>
      <c r="E1568" s="2" t="inlineStr">
        <is>
          <t>2038979510013</t>
        </is>
      </c>
      <c r="F1568" s="2">
        <v>0</v>
      </c>
      <c r="G1568" s="2">
        <v>0</v>
      </c>
      <c r="H1568" s="2" t="inlineStr">
        <is>
          <t/>
        </is>
      </c>
      <c r="I1568" s="2" t="inlineStr">
        <is>
          <t>390</t>
        </is>
      </c>
      <c r="J1568" s="4"/>
      <c r="K1568" s="2">
        <v>0</v>
      </c>
      <c r="L1568" s="6"/>
      <c r="M1568" s="2" t="str">
        <f>IF(J1568="",ROUND(I1568*(1-IF(ISBLANK(L1568),K1568,L1568)/100),2),ROUND(J1568*(1-IF(ISBLANK(L1568),K1568,L1568)/100),2))</f>
      </c>
      <c r="N1568" s="7" t="str">
        <f>IF(NOT(AND(J1568="",L1568="")),IF(OR(AND(L1568&lt;&gt;"",NOT(ISNUMBER(L1568))),IFERROR(MOD(L1568,1),1)&gt;0,AND(ISNUMBER(L1568),OR(L1568&lt;0,L1568&gt;95))),"Введите целое число от 0 до 95",IF(OR(AND(J1568&lt;&gt;"",NOT(ISNUMBER(J1568))),IFERROR(MOD(J1568,1),1)&gt;0,AND(ISNUMBER(J1568),OR(J1568&lt;50,J1568&gt;20000000))),"Введите целое число от 50 до 20000000",IF(NOT(ABS(IFERROR(VALUE(LEFT(M1568,FIND("-",M1568)-1)),M1568)*100-(5000+2000000000)/2)&lt;=ABS(5000-2000000000)/2),"Цена со скидкой должна быть от 50 до 20000000",IF(IFERROR(VALUE(LEFT(M1568,FIND("-",M1568)-1)),M1568)*190&lt;39000,"Вы уменьшили цену в несколько раз, товар попадет в карантин цен","")))),"")</f>
      </c>
    </row>
    <row r="1569">
      <c r="A1569" s="2" t="inlineStr">
        <is>
          <t>CuteShop</t>
        </is>
      </c>
      <c r="B1569" s="2" t="inlineStr">
        <is>
          <t>Бусины</t>
        </is>
      </c>
      <c r="C1569" s="2">
        <v>151575851</v>
      </c>
      <c r="D1569" s="2" t="inlineStr">
        <is>
          <t>Bus-akril-8mm-mix2-100</t>
        </is>
      </c>
      <c r="E1569" s="2" t="inlineStr">
        <is>
          <t>2037600550787</t>
        </is>
      </c>
      <c r="F1569" s="2">
        <v>0</v>
      </c>
      <c r="G1569" s="2">
        <v>0</v>
      </c>
      <c r="H1569" s="2" t="inlineStr">
        <is>
          <t/>
        </is>
      </c>
      <c r="I1569" s="2" t="inlineStr">
        <is>
          <t>260</t>
        </is>
      </c>
      <c r="J1569" s="4"/>
      <c r="K1569" s="2">
        <v>0</v>
      </c>
      <c r="L1569" s="6"/>
      <c r="M1569" s="2" t="str">
        <f>IF(J1569="",ROUND(I1569*(1-IF(ISBLANK(L1569),K1569,L1569)/100),2),ROUND(J1569*(1-IF(ISBLANK(L1569),K1569,L1569)/100),2))</f>
      </c>
      <c r="N1569" s="7" t="str">
        <f>IF(NOT(AND(J1569="",L1569="")),IF(OR(AND(L1569&lt;&gt;"",NOT(ISNUMBER(L1569))),IFERROR(MOD(L1569,1),1)&gt;0,AND(ISNUMBER(L1569),OR(L1569&lt;0,L1569&gt;95))),"Введите целое число от 0 до 95",IF(OR(AND(J1569&lt;&gt;"",NOT(ISNUMBER(J1569))),IFERROR(MOD(J1569,1),1)&gt;0,AND(ISNUMBER(J1569),OR(J1569&lt;50,J1569&gt;20000000))),"Введите целое число от 50 до 20000000",IF(NOT(ABS(IFERROR(VALUE(LEFT(M1569,FIND("-",M1569)-1)),M1569)*100-(5000+2000000000)/2)&lt;=ABS(5000-2000000000)/2),"Цена со скидкой должна быть от 50 до 20000000",IF(IFERROR(VALUE(LEFT(M1569,FIND("-",M1569)-1)),M1569)*190&lt;26000,"Вы уменьшили цену в несколько раз, товар попадет в карантин цен","")))),"")</f>
      </c>
    </row>
    <row r="1570">
      <c r="A1570" s="2" t="inlineStr">
        <is>
          <t>CuteShop</t>
        </is>
      </c>
      <c r="B1570" s="2" t="inlineStr">
        <is>
          <t>Аксессуары для рукоделия</t>
        </is>
      </c>
      <c r="C1570" s="2">
        <v>138945999</v>
      </c>
      <c r="D1570" s="2" t="inlineStr">
        <is>
          <t>Ser-Straz-Azhursin-2</t>
        </is>
      </c>
      <c r="E1570" s="2" t="inlineStr">
        <is>
          <t>2037255607614</t>
        </is>
      </c>
      <c r="F1570" s="2">
        <v>0</v>
      </c>
      <c r="G1570" s="2">
        <v>1</v>
      </c>
      <c r="H1570" s="2" t="inlineStr">
        <is>
          <t/>
        </is>
      </c>
      <c r="I1570" s="2" t="inlineStr">
        <is>
          <t>320</t>
        </is>
      </c>
      <c r="J1570" s="4"/>
      <c r="K1570" s="2">
        <v>10</v>
      </c>
      <c r="L1570" s="6"/>
      <c r="M1570" s="2" t="str">
        <f>IF(J1570="",ROUND(I1570*(1-IF(ISBLANK(L1570),K1570,L1570)/100),2),ROUND(J1570*(1-IF(ISBLANK(L1570),K1570,L1570)/100),2))</f>
      </c>
      <c r="N1570" s="7" t="str">
        <f>IF(NOT(AND(J1570="",L1570="")),IF(OR(AND(L1570&lt;&gt;"",NOT(ISNUMBER(L1570))),IFERROR(MOD(L1570,1),1)&gt;0,AND(ISNUMBER(L1570),OR(L1570&lt;0,L1570&gt;95))),"Введите целое число от 0 до 95",IF(OR(AND(J1570&lt;&gt;"",NOT(ISNUMBER(J1570))),IFERROR(MOD(J1570,1),1)&gt;0,AND(ISNUMBER(J1570),OR(J1570&lt;50,J1570&gt;20000000))),"Введите целое число от 50 до 20000000",IF(NOT(ABS(IFERROR(VALUE(LEFT(M1570,FIND("-",M1570)-1)),M1570)*100-(5000+2000000000)/2)&lt;=ABS(5000-2000000000)/2),"Цена со скидкой должна быть от 50 до 20000000",IF(IFERROR(VALUE(LEFT(M1570,FIND("-",M1570)-1)),M1570)*190&lt;28800,"Вы уменьшили цену в несколько раз, товар попадет в карантин цен","")))),"")</f>
      </c>
    </row>
    <row r="1571">
      <c r="A1571" s="2" t="inlineStr">
        <is>
          <t>CuteShop</t>
        </is>
      </c>
      <c r="B1571" s="2" t="inlineStr">
        <is>
          <t>Бусины</t>
        </is>
      </c>
      <c r="C1571" s="2">
        <v>222442848</v>
      </c>
      <c r="D1571" s="2" t="inlineStr">
        <is>
          <t>Rond-Prozr-8-100</t>
        </is>
      </c>
      <c r="E1571" s="2" t="inlineStr">
        <is>
          <t>2039791531521</t>
        </is>
      </c>
      <c r="F1571" s="2">
        <v>0</v>
      </c>
      <c r="G1571" s="2">
        <v>0</v>
      </c>
      <c r="H1571" s="2" t="inlineStr">
        <is>
          <t/>
        </is>
      </c>
      <c r="I1571" s="2" t="inlineStr">
        <is>
          <t>440</t>
        </is>
      </c>
      <c r="J1571" s="4"/>
      <c r="K1571" s="2">
        <v>0</v>
      </c>
      <c r="L1571" s="6"/>
      <c r="M1571" s="2" t="str">
        <f>IF(J1571="",ROUND(I1571*(1-IF(ISBLANK(L1571),K1571,L1571)/100),2),ROUND(J1571*(1-IF(ISBLANK(L1571),K1571,L1571)/100),2))</f>
      </c>
      <c r="N1571" s="7" t="str">
        <f>IF(NOT(AND(J1571="",L1571="")),IF(OR(AND(L1571&lt;&gt;"",NOT(ISNUMBER(L1571))),IFERROR(MOD(L1571,1),1)&gt;0,AND(ISNUMBER(L1571),OR(L1571&lt;0,L1571&gt;95))),"Введите целое число от 0 до 95",IF(OR(AND(J1571&lt;&gt;"",NOT(ISNUMBER(J1571))),IFERROR(MOD(J1571,1),1)&gt;0,AND(ISNUMBER(J1571),OR(J1571&lt;50,J1571&gt;20000000))),"Введите целое число от 50 до 20000000",IF(NOT(ABS(IFERROR(VALUE(LEFT(M1571,FIND("-",M1571)-1)),M1571)*100-(5000+2000000000)/2)&lt;=ABS(5000-2000000000)/2),"Цена со скидкой должна быть от 50 до 20000000",IF(IFERROR(VALUE(LEFT(M1571,FIND("-",M1571)-1)),M1571)*190&lt;44000,"Вы уменьшили цену в несколько раз, товар попадет в карантин цен","")))),"")</f>
      </c>
    </row>
    <row r="1572">
      <c r="A1572" s="2" t="inlineStr">
        <is>
          <t>CuteShop</t>
        </is>
      </c>
      <c r="B1572" s="2" t="inlineStr">
        <is>
          <t>Аксессуары для рукоделия</t>
        </is>
      </c>
      <c r="C1572" s="2">
        <v>138944477</v>
      </c>
      <c r="D1572" s="2" t="inlineStr">
        <is>
          <t>Ser-Straz-RaduzhBig2</t>
        </is>
      </c>
      <c r="E1572" s="2" t="inlineStr">
        <is>
          <t>2037255589989</t>
        </is>
      </c>
      <c r="F1572" s="2">
        <v>0</v>
      </c>
      <c r="G1572" s="2">
        <v>0</v>
      </c>
      <c r="H1572" s="2" t="inlineStr">
        <is>
          <t/>
        </is>
      </c>
      <c r="I1572" s="2" t="inlineStr">
        <is>
          <t>320</t>
        </is>
      </c>
      <c r="J1572" s="4"/>
      <c r="K1572" s="2">
        <v>0</v>
      </c>
      <c r="L1572" s="6"/>
      <c r="M1572" s="2" t="str">
        <f>IF(J1572="",ROUND(I1572*(1-IF(ISBLANK(L1572),K1572,L1572)/100),2),ROUND(J1572*(1-IF(ISBLANK(L1572),K1572,L1572)/100),2))</f>
      </c>
      <c r="N1572" s="7" t="str">
        <f>IF(NOT(AND(J1572="",L1572="")),IF(OR(AND(L1572&lt;&gt;"",NOT(ISNUMBER(L1572))),IFERROR(MOD(L1572,1),1)&gt;0,AND(ISNUMBER(L1572),OR(L1572&lt;0,L1572&gt;95))),"Введите целое число от 0 до 95",IF(OR(AND(J1572&lt;&gt;"",NOT(ISNUMBER(J1572))),IFERROR(MOD(J1572,1),1)&gt;0,AND(ISNUMBER(J1572),OR(J1572&lt;50,J1572&gt;20000000))),"Введите целое число от 50 до 20000000",IF(NOT(ABS(IFERROR(VALUE(LEFT(M1572,FIND("-",M1572)-1)),M1572)*100-(5000+2000000000)/2)&lt;=ABS(5000-2000000000)/2),"Цена со скидкой должна быть от 50 до 20000000",IF(IFERROR(VALUE(LEFT(M1572,FIND("-",M1572)-1)),M1572)*190&lt;32000,"Вы уменьшили цену в несколько раз, товар попадет в карантин цен","")))),"")</f>
      </c>
    </row>
    <row r="1573">
      <c r="A1573" s="2" t="inlineStr">
        <is>
          <t/>
        </is>
      </c>
      <c r="B1573" s="2" t="inlineStr">
        <is>
          <t>Ткани для рукоделия</t>
        </is>
      </c>
      <c r="C1573" s="2">
        <v>189550255</v>
      </c>
      <c r="D1573" s="2" t="inlineStr">
        <is>
          <t>Fatin-Goroh15-TemnZel-8</t>
        </is>
      </c>
      <c r="E1573" s="2" t="inlineStr">
        <is>
          <t>2038979522863</t>
        </is>
      </c>
      <c r="F1573" s="2">
        <v>0</v>
      </c>
      <c r="G1573" s="2">
        <v>0</v>
      </c>
      <c r="H1573" s="2" t="inlineStr">
        <is>
          <t/>
        </is>
      </c>
      <c r="I1573" s="2" t="inlineStr">
        <is>
          <t>390</t>
        </is>
      </c>
      <c r="J1573" s="4"/>
      <c r="K1573" s="2">
        <v>0</v>
      </c>
      <c r="L1573" s="6"/>
      <c r="M1573" s="2" t="str">
        <f>IF(J1573="",ROUND(I1573*(1-IF(ISBLANK(L1573),K1573,L1573)/100),2),ROUND(J1573*(1-IF(ISBLANK(L1573),K1573,L1573)/100),2))</f>
      </c>
      <c r="N1573" s="7" t="str">
        <f>IF(NOT(AND(J1573="",L1573="")),IF(OR(AND(L1573&lt;&gt;"",NOT(ISNUMBER(L1573))),IFERROR(MOD(L1573,1),1)&gt;0,AND(ISNUMBER(L1573),OR(L1573&lt;0,L1573&gt;95))),"Введите целое число от 0 до 95",IF(OR(AND(J1573&lt;&gt;"",NOT(ISNUMBER(J1573))),IFERROR(MOD(J1573,1),1)&gt;0,AND(ISNUMBER(J1573),OR(J1573&lt;50,J1573&gt;20000000))),"Введите целое число от 50 до 20000000",IF(NOT(ABS(IFERROR(VALUE(LEFT(M1573,FIND("-",M1573)-1)),M1573)*100-(5000+2000000000)/2)&lt;=ABS(5000-2000000000)/2),"Цена со скидкой должна быть от 50 до 20000000",IF(IFERROR(VALUE(LEFT(M1573,FIND("-",M1573)-1)),M1573)*190&lt;39000,"Вы уменьшили цену в несколько раз, товар попадет в карантин цен","")))),"")</f>
      </c>
    </row>
    <row r="1574">
      <c r="A1574" s="2" t="inlineStr">
        <is>
          <t>CuteShop</t>
        </is>
      </c>
      <c r="B1574" s="2" t="inlineStr">
        <is>
          <t>Бусины</t>
        </is>
      </c>
      <c r="C1574" s="2">
        <v>222442843</v>
      </c>
      <c r="D1574" s="2" t="inlineStr">
        <is>
          <t>Rond-NebGol-8-100</t>
        </is>
      </c>
      <c r="E1574" s="2" t="inlineStr">
        <is>
          <t>2039791520778</t>
        </is>
      </c>
      <c r="F1574" s="2">
        <v>0</v>
      </c>
      <c r="G1574" s="2">
        <v>0</v>
      </c>
      <c r="H1574" s="2" t="inlineStr">
        <is>
          <t/>
        </is>
      </c>
      <c r="I1574" s="2" t="inlineStr">
        <is>
          <t>440</t>
        </is>
      </c>
      <c r="J1574" s="4"/>
      <c r="K1574" s="2">
        <v>0</v>
      </c>
      <c r="L1574" s="6"/>
      <c r="M1574" s="2" t="str">
        <f>IF(J1574="",ROUND(I1574*(1-IF(ISBLANK(L1574),K1574,L1574)/100),2),ROUND(J1574*(1-IF(ISBLANK(L1574),K1574,L1574)/100),2))</f>
      </c>
      <c r="N1574" s="7" t="str">
        <f>IF(NOT(AND(J1574="",L1574="")),IF(OR(AND(L1574&lt;&gt;"",NOT(ISNUMBER(L1574))),IFERROR(MOD(L1574,1),1)&gt;0,AND(ISNUMBER(L1574),OR(L1574&lt;0,L1574&gt;95))),"Введите целое число от 0 до 95",IF(OR(AND(J1574&lt;&gt;"",NOT(ISNUMBER(J1574))),IFERROR(MOD(J1574,1),1)&gt;0,AND(ISNUMBER(J1574),OR(J1574&lt;50,J1574&gt;20000000))),"Введите целое число от 50 до 20000000",IF(NOT(ABS(IFERROR(VALUE(LEFT(M1574,FIND("-",M1574)-1)),M1574)*100-(5000+2000000000)/2)&lt;=ABS(5000-2000000000)/2),"Цена со скидкой должна быть от 50 до 20000000",IF(IFERROR(VALUE(LEFT(M1574,FIND("-",M1574)-1)),M1574)*190&lt;44000,"Вы уменьшили цену в несколько раз, товар попадет в карантин цен","")))),"")</f>
      </c>
    </row>
    <row r="1575">
      <c r="A1575" s="2" t="inlineStr">
        <is>
          <t>CuteShop</t>
        </is>
      </c>
      <c r="B1575" s="2" t="inlineStr">
        <is>
          <t>Аксессуары для рукоделия</t>
        </is>
      </c>
      <c r="C1575" s="2">
        <v>139459561</v>
      </c>
      <c r="D1575" s="2" t="inlineStr">
        <is>
          <t>Ser-Straz-1.4-Bel-15</t>
        </is>
      </c>
      <c r="E1575" s="2" t="inlineStr">
        <is>
          <t>2037275906629</t>
        </is>
      </c>
      <c r="F1575" s="2">
        <v>0</v>
      </c>
      <c r="G1575" s="2">
        <v>0</v>
      </c>
      <c r="H1575" s="2">
        <v>0</v>
      </c>
      <c r="I1575" s="2" t="inlineStr">
        <is>
          <t>300</t>
        </is>
      </c>
      <c r="J1575" s="4"/>
      <c r="K1575" s="2">
        <v>5</v>
      </c>
      <c r="L1575" s="6"/>
      <c r="M1575" s="2" t="str">
        <f>IF(J1575="",ROUND(I1575*(1-IF(ISBLANK(L1575),K1575,L1575)/100),2),ROUND(J1575*(1-IF(ISBLANK(L1575),K1575,L1575)/100),2))</f>
      </c>
      <c r="N1575" s="7" t="str">
        <f>IF(NOT(AND(J1575="",L1575="")),IF(OR(AND(L1575&lt;&gt;"",NOT(ISNUMBER(L1575))),IFERROR(MOD(L1575,1),1)&gt;0,AND(ISNUMBER(L1575),OR(L1575&lt;0,L1575&gt;95))),"Введите целое число от 0 до 95",IF(OR(AND(J1575&lt;&gt;"",NOT(ISNUMBER(J1575))),IFERROR(MOD(J1575,1),1)&gt;0,AND(ISNUMBER(J1575),OR(J1575&lt;50,J1575&gt;20000000))),"Введите целое число от 50 до 20000000",IF(NOT(ABS(IFERROR(VALUE(LEFT(M1575,FIND("-",M1575)-1)),M1575)*100-(5000+2000000000)/2)&lt;=ABS(5000-2000000000)/2),"Цена со скидкой должна быть от 50 до 20000000",IF(IFERROR(VALUE(LEFT(M1575,FIND("-",M1575)-1)),M1575)*190&lt;28500,"Вы уменьшили цену в несколько раз, товар попадет в карантин цен","")))),"")</f>
      </c>
    </row>
    <row r="1576">
      <c r="A1576" s="2" t="inlineStr">
        <is>
          <t/>
        </is>
      </c>
      <c r="B1576" s="2" t="inlineStr">
        <is>
          <t>Ткани для рукоделия</t>
        </is>
      </c>
      <c r="C1576" s="2">
        <v>190301168</v>
      </c>
      <c r="D1576" s="2" t="inlineStr">
        <is>
          <t>Fatin-Snezh-BelSer15-8,5</t>
        </is>
      </c>
      <c r="E1576" s="2" t="inlineStr">
        <is>
          <t>2039005510045</t>
        </is>
      </c>
      <c r="F1576" s="2">
        <v>0</v>
      </c>
      <c r="G1576" s="2">
        <v>0</v>
      </c>
      <c r="H1576" s="2" t="inlineStr">
        <is>
          <t/>
        </is>
      </c>
      <c r="I1576" s="2" t="inlineStr">
        <is>
          <t>470</t>
        </is>
      </c>
      <c r="J1576" s="4"/>
      <c r="K1576" s="2">
        <v>0</v>
      </c>
      <c r="L1576" s="6"/>
      <c r="M1576" s="2" t="str">
        <f>IF(J1576="",ROUND(I1576*(1-IF(ISBLANK(L1576),K1576,L1576)/100),2),ROUND(J1576*(1-IF(ISBLANK(L1576),K1576,L1576)/100),2))</f>
      </c>
      <c r="N1576" s="7" t="str">
        <f>IF(NOT(AND(J1576="",L1576="")),IF(OR(AND(L1576&lt;&gt;"",NOT(ISNUMBER(L1576))),IFERROR(MOD(L1576,1),1)&gt;0,AND(ISNUMBER(L1576),OR(L1576&lt;0,L1576&gt;95))),"Введите целое число от 0 до 95",IF(OR(AND(J1576&lt;&gt;"",NOT(ISNUMBER(J1576))),IFERROR(MOD(J1576,1),1)&gt;0,AND(ISNUMBER(J1576),OR(J1576&lt;50,J1576&gt;20000000))),"Введите целое число от 50 до 20000000",IF(NOT(ABS(IFERROR(VALUE(LEFT(M1576,FIND("-",M1576)-1)),M1576)*100-(5000+2000000000)/2)&lt;=ABS(5000-2000000000)/2),"Цена со скидкой должна быть от 50 до 20000000",IF(IFERROR(VALUE(LEFT(M1576,FIND("-",M1576)-1)),M1576)*190&lt;47000,"Вы уменьшили цену в несколько раз, товар попадет в карантин цен","")))),"")</f>
      </c>
    </row>
    <row r="1577">
      <c r="A1577" s="2" t="inlineStr">
        <is>
          <t>CuteShop</t>
        </is>
      </c>
      <c r="B1577" s="2" t="inlineStr">
        <is>
          <t>Аксессуары для рукоделия</t>
        </is>
      </c>
      <c r="C1577" s="2">
        <v>136539721</v>
      </c>
      <c r="D1577" s="2" t="inlineStr">
        <is>
          <t>Kab-Dev2-10</t>
        </is>
      </c>
      <c r="E1577" s="2" t="inlineStr">
        <is>
          <t>2037188278370</t>
        </is>
      </c>
      <c r="F1577" s="2">
        <v>0</v>
      </c>
      <c r="G1577" s="2">
        <v>0</v>
      </c>
      <c r="H1577" s="2">
        <v>0</v>
      </c>
      <c r="I1577" s="2" t="inlineStr">
        <is>
          <t>340</t>
        </is>
      </c>
      <c r="J1577" s="4"/>
      <c r="K1577" s="2">
        <v>10</v>
      </c>
      <c r="L1577" s="6"/>
      <c r="M1577" s="2" t="str">
        <f>IF(J1577="",ROUND(I1577*(1-IF(ISBLANK(L1577),K1577,L1577)/100),2),ROUND(J1577*(1-IF(ISBLANK(L1577),K1577,L1577)/100),2))</f>
      </c>
      <c r="N1577" s="7" t="str">
        <f>IF(NOT(AND(J1577="",L1577="")),IF(OR(AND(L1577&lt;&gt;"",NOT(ISNUMBER(L1577))),IFERROR(MOD(L1577,1),1)&gt;0,AND(ISNUMBER(L1577),OR(L1577&lt;0,L1577&gt;95))),"Введите целое число от 0 до 95",IF(OR(AND(J1577&lt;&gt;"",NOT(ISNUMBER(J1577))),IFERROR(MOD(J1577,1),1)&gt;0,AND(ISNUMBER(J1577),OR(J1577&lt;50,J1577&gt;20000000))),"Введите целое число от 50 до 20000000",IF(NOT(ABS(IFERROR(VALUE(LEFT(M1577,FIND("-",M1577)-1)),M1577)*100-(5000+2000000000)/2)&lt;=ABS(5000-2000000000)/2),"Цена со скидкой должна быть от 50 до 20000000",IF(IFERROR(VALUE(LEFT(M1577,FIND("-",M1577)-1)),M1577)*190&lt;30600,"Вы уменьшили цену в несколько раз, товар попадет в карантин цен","")))),"")</f>
      </c>
    </row>
    <row r="1578">
      <c r="A1578" s="2" t="inlineStr">
        <is>
          <t>CuteShop</t>
        </is>
      </c>
      <c r="B1578" s="2" t="inlineStr">
        <is>
          <t>Ленты для рукоделия</t>
        </is>
      </c>
      <c r="C1578" s="2">
        <v>192225861</v>
      </c>
      <c r="D1578" s="2" t="inlineStr">
        <is>
          <t>Lenta-Rep-Drakon-5</t>
        </is>
      </c>
      <c r="E1578" s="2" t="inlineStr">
        <is>
          <t>2039070472491</t>
        </is>
      </c>
      <c r="F1578" s="2">
        <v>0</v>
      </c>
      <c r="G1578" s="2">
        <v>0</v>
      </c>
      <c r="H1578" s="2" t="inlineStr">
        <is>
          <t/>
        </is>
      </c>
      <c r="I1578" s="2" t="inlineStr">
        <is>
          <t>330</t>
        </is>
      </c>
      <c r="J1578" s="4"/>
      <c r="K1578" s="2">
        <v>0</v>
      </c>
      <c r="L1578" s="6"/>
      <c r="M1578" s="2" t="str">
        <f>IF(J1578="",ROUND(I1578*(1-IF(ISBLANK(L1578),K1578,L1578)/100),2),ROUND(J1578*(1-IF(ISBLANK(L1578),K1578,L1578)/100),2))</f>
      </c>
      <c r="N1578" s="7" t="str">
        <f>IF(NOT(AND(J1578="",L1578="")),IF(OR(AND(L1578&lt;&gt;"",NOT(ISNUMBER(L1578))),IFERROR(MOD(L1578,1),1)&gt;0,AND(ISNUMBER(L1578),OR(L1578&lt;0,L1578&gt;95))),"Введите целое число от 0 до 95",IF(OR(AND(J1578&lt;&gt;"",NOT(ISNUMBER(J1578))),IFERROR(MOD(J1578,1),1)&gt;0,AND(ISNUMBER(J1578),OR(J1578&lt;50,J1578&gt;20000000))),"Введите целое число от 50 до 20000000",IF(NOT(ABS(IFERROR(VALUE(LEFT(M1578,FIND("-",M1578)-1)),M1578)*100-(5000+2000000000)/2)&lt;=ABS(5000-2000000000)/2),"Цена со скидкой должна быть от 50 до 20000000",IF(IFERROR(VALUE(LEFT(M1578,FIND("-",M1578)-1)),M1578)*190&lt;33000,"Вы уменьшили цену в несколько раз, товар попадет в карантин цен","")))),"")</f>
      </c>
    </row>
    <row r="1579">
      <c r="A1579" s="2" t="inlineStr">
        <is>
          <t>CuteShop</t>
        </is>
      </c>
      <c r="B1579" s="2" t="inlineStr">
        <is>
          <t>Аксессуары для рукоделия</t>
        </is>
      </c>
      <c r="C1579" s="2">
        <v>192313066</v>
      </c>
      <c r="D1579" s="2" t="inlineStr">
        <is>
          <t>LentaKab-Nabor-Zver</t>
        </is>
      </c>
      <c r="E1579" s="2" t="inlineStr">
        <is>
          <t>2039073774981</t>
        </is>
      </c>
      <c r="F1579" s="2">
        <v>0</v>
      </c>
      <c r="G1579" s="2">
        <v>0</v>
      </c>
      <c r="H1579" s="2" t="inlineStr">
        <is>
          <t/>
        </is>
      </c>
      <c r="I1579" s="2" t="inlineStr">
        <is>
          <t>460</t>
        </is>
      </c>
      <c r="J1579" s="4"/>
      <c r="K1579" s="2">
        <v>0</v>
      </c>
      <c r="L1579" s="6"/>
      <c r="M1579" s="2" t="str">
        <f>IF(J1579="",ROUND(I1579*(1-IF(ISBLANK(L1579),K1579,L1579)/100),2),ROUND(J1579*(1-IF(ISBLANK(L1579),K1579,L1579)/100),2))</f>
      </c>
      <c r="N1579" s="7" t="str">
        <f>IF(NOT(AND(J1579="",L1579="")),IF(OR(AND(L1579&lt;&gt;"",NOT(ISNUMBER(L1579))),IFERROR(MOD(L1579,1),1)&gt;0,AND(ISNUMBER(L1579),OR(L1579&lt;0,L1579&gt;95))),"Введите целое число от 0 до 95",IF(OR(AND(J1579&lt;&gt;"",NOT(ISNUMBER(J1579))),IFERROR(MOD(J1579,1),1)&gt;0,AND(ISNUMBER(J1579),OR(J1579&lt;50,J1579&gt;20000000))),"Введите целое число от 50 до 20000000",IF(NOT(ABS(IFERROR(VALUE(LEFT(M1579,FIND("-",M1579)-1)),M1579)*100-(5000+2000000000)/2)&lt;=ABS(5000-2000000000)/2),"Цена со скидкой должна быть от 50 до 20000000",IF(IFERROR(VALUE(LEFT(M1579,FIND("-",M1579)-1)),M1579)*190&lt;46000,"Вы уменьшили цену в несколько раз, товар попадет в карантин цен","")))),"")</f>
      </c>
    </row>
    <row r="1580">
      <c r="A1580" s="2" t="inlineStr">
        <is>
          <t>Bosch</t>
        </is>
      </c>
      <c r="B1580" s="2" t="inlineStr">
        <is>
          <t>Щетки стеклоочистителя</t>
        </is>
      </c>
      <c r="C1580" s="2">
        <v>211630044</v>
      </c>
      <c r="D1580" s="2" t="inlineStr">
        <is>
          <t>RIR-3397004990-C</t>
        </is>
      </c>
      <c r="E1580" s="2" t="inlineStr">
        <is>
          <t>2039540095489</t>
        </is>
      </c>
      <c r="F1580" s="2">
        <v>0</v>
      </c>
      <c r="G1580" s="2">
        <v>1</v>
      </c>
      <c r="H1580" s="2" t="inlineStr">
        <is>
          <t/>
        </is>
      </c>
      <c r="I1580" s="2" t="inlineStr">
        <is>
          <t>1080</t>
        </is>
      </c>
      <c r="J1580" s="4"/>
      <c r="K1580" s="2">
        <v>2</v>
      </c>
      <c r="L1580" s="6"/>
      <c r="M1580" s="2" t="str">
        <f>IF(J1580="",ROUND(I1580*(1-IF(ISBLANK(L1580),K1580,L1580)/100),2),ROUND(J1580*(1-IF(ISBLANK(L1580),K1580,L1580)/100),2))</f>
      </c>
      <c r="N1580" s="7" t="str">
        <f>IF(NOT(AND(J1580="",L1580="")),IF(OR(AND(L1580&lt;&gt;"",NOT(ISNUMBER(L1580))),IFERROR(MOD(L1580,1),1)&gt;0,AND(ISNUMBER(L1580),OR(L1580&lt;0,L1580&gt;95))),"Введите целое число от 0 до 95",IF(OR(AND(J1580&lt;&gt;"",NOT(ISNUMBER(J1580))),IFERROR(MOD(J1580,1),1)&gt;0,AND(ISNUMBER(J1580),OR(J1580&lt;50,J1580&gt;20000000))),"Введите целое число от 50 до 20000000",IF(NOT(ABS(IFERROR(VALUE(LEFT(M1580,FIND("-",M1580)-1)),M1580)*100-(5000+2000000000)/2)&lt;=ABS(5000-2000000000)/2),"Цена со скидкой должна быть от 50 до 20000000",IF(IFERROR(VALUE(LEFT(M1580,FIND("-",M1580)-1)),M1580)*200&lt;105840,"Вы уменьшили цену в несколько раз, товар попадет в карантин цен","")))),"")</f>
      </c>
    </row>
    <row r="1581">
      <c r="A1581" s="2" t="inlineStr">
        <is>
          <t>LYNXauto</t>
        </is>
      </c>
      <c r="B1581" s="2" t="inlineStr">
        <is>
          <t>Щетки стеклоочистителя</t>
        </is>
      </c>
      <c r="C1581" s="2">
        <v>211622880</v>
      </c>
      <c r="D1581" s="2" t="inlineStr">
        <is>
          <t>RIR-LR30A-N</t>
        </is>
      </c>
      <c r="E1581" s="2" t="inlineStr">
        <is>
          <t>2039539988396</t>
        </is>
      </c>
      <c r="F1581" s="2">
        <v>0</v>
      </c>
      <c r="G1581" s="2">
        <v>0</v>
      </c>
      <c r="H1581" s="2" t="inlineStr">
        <is>
          <t/>
        </is>
      </c>
      <c r="I1581" s="2" t="inlineStr">
        <is>
          <t>700</t>
        </is>
      </c>
      <c r="J1581" s="4"/>
      <c r="K1581" s="2">
        <v>0</v>
      </c>
      <c r="L1581" s="6"/>
      <c r="M1581" s="2" t="str">
        <f>IF(J1581="",ROUND(I1581*(1-IF(ISBLANK(L1581),K1581,L1581)/100),2),ROUND(J1581*(1-IF(ISBLANK(L1581),K1581,L1581)/100),2))</f>
      </c>
      <c r="N1581" s="7" t="str">
        <f>IF(NOT(AND(J1581="",L1581="")),IF(OR(AND(L1581&lt;&gt;"",NOT(ISNUMBER(L1581))),IFERROR(MOD(L1581,1),1)&gt;0,AND(ISNUMBER(L1581),OR(L1581&lt;0,L1581&gt;95))),"Введите целое число от 0 до 95",IF(OR(AND(J1581&lt;&gt;"",NOT(ISNUMBER(J1581))),IFERROR(MOD(J1581,1),1)&gt;0,AND(ISNUMBER(J1581),OR(J1581&lt;50,J1581&gt;20000000))),"Введите целое число от 50 до 20000000",IF(NOT(ABS(IFERROR(VALUE(LEFT(M1581,FIND("-",M1581)-1)),M1581)*100-(5000+2000000000)/2)&lt;=ABS(5000-2000000000)/2),"Цена со скидкой должна быть от 50 до 20000000",IF(IFERROR(VALUE(LEFT(M1581,FIND("-",M1581)-1)),M1581)*200&lt;70000,"Вы уменьшили цену в несколько раз, товар попадет в карантин цен","")))),"")</f>
      </c>
    </row>
  </sheetData>
  <conditionalFormatting sqref="J2:J1581">
    <cfRule type="containsBlanks" priority="1" stopIfTrue="true">
      <formula>LEN(TRIM(J2))=0</formula>
    </cfRule>
    <cfRule type="cellIs" dxfId="1" priority="2" operator="notBetween">
      <formula>50</formula>
      <formula>20000000</formula>
    </cfRule>
  </conditionalFormatting>
  <conditionalFormatting sqref="L2:L1581">
    <cfRule type="containsBlanks" priority="3" stopIfTrue="true">
      <formula>LEN(TRIM(L2))=0</formula>
    </cfRule>
    <cfRule type="cellIs" dxfId="1" priority="4" operator="notBetween">
      <formula>0</formula>
      <formula>95</formula>
    </cfRule>
  </conditionalFormatting>
  <conditionalFormatting sqref="N2:N1581">
    <cfRule type="cellIs" dxfId="2" priority="5" operator="equal">
      <formula>"Вы уменьшили цену в несколько раз, товар попадет в карантин цен"</formula>
    </cfRule>
    <cfRule type="cellIs" dxfId="1" priority="6" operator="notEqual">
      <formula>""</formula>
    </cfRule>
  </conditionalFormatting>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